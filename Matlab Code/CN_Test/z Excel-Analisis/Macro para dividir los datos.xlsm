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pher\Documents\AVANCES-TESIS\Avance_2\"/>
    </mc:Choice>
  </mc:AlternateContent>
  <xr:revisionPtr revIDLastSave="0" documentId="13_ncr:1_{E30F9418-B1D8-4130-B2D8-7795DFF84E12}" xr6:coauthVersionLast="45" xr6:coauthVersionMax="45" xr10:uidLastSave="{00000000-0000-0000-0000-000000000000}"/>
  <bookViews>
    <workbookView xWindow="-120" yWindow="-120" windowWidth="20730" windowHeight="11760" tabRatio="789" activeTab="2" xr2:uid="{00000000-000D-0000-FFFF-FFFF00000000}"/>
  </bookViews>
  <sheets>
    <sheet name="Desgloce" sheetId="1" r:id="rId1"/>
    <sheet name="Random" sheetId="4" r:id="rId2"/>
    <sheet name="Resultados" sheetId="7" r:id="rId3"/>
    <sheet name="Analisis Aromaticos" sheetId="9" r:id="rId4"/>
    <sheet name="LICSS Programs" sheetId="8" r:id="rId5"/>
  </sheets>
  <functionGroups builtInGroupCount="19"/>
  <definedNames>
    <definedName name="_xlchart.v1.0" hidden="1">'Analisis Aromaticos'!$A$7</definedName>
    <definedName name="_xlchart.v1.1" hidden="1">'Analisis Aromaticos'!$A$8:$A$86</definedName>
    <definedName name="_xlchart.v1.10" hidden="1">'Analisis Aromaticos'!$B$7:$E$86</definedName>
    <definedName name="_xlchart.v1.11" hidden="1">'Analisis Aromaticos'!$F$6</definedName>
    <definedName name="_xlchart.v1.12" hidden="1">'Analisis Aromaticos'!$F$7:$F$86</definedName>
    <definedName name="_xlchart.v1.13" hidden="1">'Analisis Aromaticos'!$G$6</definedName>
    <definedName name="_xlchart.v1.14" hidden="1">'Analisis Aromaticos'!$G$7:$G$86</definedName>
    <definedName name="_xlchart.v1.15" hidden="1">'Analisis Aromaticos'!$H$6</definedName>
    <definedName name="_xlchart.v1.16" hidden="1">'Analisis Aromaticos'!$H$7:$H$86</definedName>
    <definedName name="_xlchart.v1.2" hidden="1">'Analisis Aromaticos'!$B$7:$E$86</definedName>
    <definedName name="_xlchart.v1.3" hidden="1">'Analisis Aromaticos'!$C$7:$C$86</definedName>
    <definedName name="_xlchart.v1.4" hidden="1">'Analisis Aromaticos'!$F$6</definedName>
    <definedName name="_xlchart.v1.5" hidden="1">'Analisis Aromaticos'!$F$7:$F$86</definedName>
    <definedName name="_xlchart.v1.6" hidden="1">'Analisis Aromaticos'!$G$6</definedName>
    <definedName name="_xlchart.v1.7" hidden="1">'Analisis Aromaticos'!$G$7:$G$86</definedName>
    <definedName name="_xlchart.v1.8" hidden="1">'Analisis Aromaticos'!$H$6</definedName>
    <definedName name="_xlchart.v1.9" hidden="1">'Analisis Aromaticos'!$H$7:$H$86</definedName>
    <definedName name="LICSS">TRUE</definedName>
    <definedName name="Lista1">#REF!</definedName>
    <definedName name="logmiu">Desgloce!$B$1:$G$738</definedName>
    <definedName name="Smiles" localSheetId="0">Desgloce!$B$2:$B$738</definedName>
    <definedName name="Smiles" localSheetId="2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7" l="1"/>
  <c r="V4" i="7"/>
  <c r="V5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6" i="7"/>
  <c r="L9" i="9"/>
  <c r="L10" i="9"/>
  <c r="L8" i="9"/>
  <c r="B356" i="7"/>
  <c r="B644" i="7"/>
  <c r="A739" i="7"/>
  <c r="C739" i="7" s="1"/>
  <c r="A346" i="7"/>
  <c r="B346" i="7" s="1"/>
  <c r="A347" i="7"/>
  <c r="B347" i="7" s="1"/>
  <c r="A348" i="7"/>
  <c r="B348" i="7" s="1"/>
  <c r="A349" i="7"/>
  <c r="B349" i="7" s="1"/>
  <c r="A350" i="7"/>
  <c r="B350" i="7" s="1"/>
  <c r="A351" i="7"/>
  <c r="B351" i="7" s="1"/>
  <c r="A352" i="7"/>
  <c r="B352" i="7" s="1"/>
  <c r="A353" i="7"/>
  <c r="B353" i="7" s="1"/>
  <c r="A354" i="7"/>
  <c r="B354" i="7" s="1"/>
  <c r="A355" i="7"/>
  <c r="B355" i="7" s="1"/>
  <c r="A356" i="7"/>
  <c r="A357" i="7"/>
  <c r="B357" i="7" s="1"/>
  <c r="A358" i="7"/>
  <c r="B358" i="7" s="1"/>
  <c r="A359" i="7"/>
  <c r="B359" i="7" s="1"/>
  <c r="A360" i="7"/>
  <c r="B360" i="7" s="1"/>
  <c r="A361" i="7"/>
  <c r="B361" i="7" s="1"/>
  <c r="A362" i="7"/>
  <c r="B362" i="7" s="1"/>
  <c r="A363" i="7"/>
  <c r="B363" i="7" s="1"/>
  <c r="A364" i="7"/>
  <c r="B364" i="7" s="1"/>
  <c r="A365" i="7"/>
  <c r="B365" i="7" s="1"/>
  <c r="A366" i="7"/>
  <c r="B366" i="7" s="1"/>
  <c r="A367" i="7"/>
  <c r="B367" i="7" s="1"/>
  <c r="A368" i="7"/>
  <c r="B368" i="7" s="1"/>
  <c r="A369" i="7"/>
  <c r="B369" i="7" s="1"/>
  <c r="A370" i="7"/>
  <c r="B370" i="7" s="1"/>
  <c r="A371" i="7"/>
  <c r="B371" i="7" s="1"/>
  <c r="A372" i="7"/>
  <c r="B372" i="7" s="1"/>
  <c r="A373" i="7"/>
  <c r="B373" i="7" s="1"/>
  <c r="A374" i="7"/>
  <c r="B374" i="7" s="1"/>
  <c r="A375" i="7"/>
  <c r="B375" i="7" s="1"/>
  <c r="A376" i="7"/>
  <c r="B376" i="7" s="1"/>
  <c r="A377" i="7"/>
  <c r="B377" i="7" s="1"/>
  <c r="A378" i="7"/>
  <c r="B378" i="7" s="1"/>
  <c r="A379" i="7"/>
  <c r="B379" i="7" s="1"/>
  <c r="A380" i="7"/>
  <c r="B380" i="7" s="1"/>
  <c r="A381" i="7"/>
  <c r="B381" i="7" s="1"/>
  <c r="A382" i="7"/>
  <c r="B382" i="7" s="1"/>
  <c r="A383" i="7"/>
  <c r="B383" i="7" s="1"/>
  <c r="A384" i="7"/>
  <c r="B384" i="7" s="1"/>
  <c r="A385" i="7"/>
  <c r="B385" i="7" s="1"/>
  <c r="A386" i="7"/>
  <c r="B386" i="7" s="1"/>
  <c r="A387" i="7"/>
  <c r="B387" i="7" s="1"/>
  <c r="A388" i="7"/>
  <c r="B388" i="7" s="1"/>
  <c r="A389" i="7"/>
  <c r="B389" i="7" s="1"/>
  <c r="A390" i="7"/>
  <c r="B390" i="7" s="1"/>
  <c r="A391" i="7"/>
  <c r="B391" i="7" s="1"/>
  <c r="A392" i="7"/>
  <c r="B392" i="7" s="1"/>
  <c r="A393" i="7"/>
  <c r="B393" i="7" s="1"/>
  <c r="A394" i="7"/>
  <c r="B394" i="7" s="1"/>
  <c r="A395" i="7"/>
  <c r="B395" i="7" s="1"/>
  <c r="A396" i="7"/>
  <c r="B396" i="7" s="1"/>
  <c r="A397" i="7"/>
  <c r="B397" i="7" s="1"/>
  <c r="A398" i="7"/>
  <c r="B398" i="7" s="1"/>
  <c r="A399" i="7"/>
  <c r="B399" i="7" s="1"/>
  <c r="A400" i="7"/>
  <c r="B400" i="7" s="1"/>
  <c r="A401" i="7"/>
  <c r="B401" i="7" s="1"/>
  <c r="A402" i="7"/>
  <c r="B402" i="7" s="1"/>
  <c r="A403" i="7"/>
  <c r="B403" i="7" s="1"/>
  <c r="A404" i="7"/>
  <c r="B404" i="7" s="1"/>
  <c r="A405" i="7"/>
  <c r="B405" i="7" s="1"/>
  <c r="A406" i="7"/>
  <c r="B406" i="7" s="1"/>
  <c r="A407" i="7"/>
  <c r="B407" i="7" s="1"/>
  <c r="A408" i="7"/>
  <c r="B408" i="7" s="1"/>
  <c r="A409" i="7"/>
  <c r="B409" i="7" s="1"/>
  <c r="A410" i="7"/>
  <c r="B410" i="7" s="1"/>
  <c r="A411" i="7"/>
  <c r="B411" i="7" s="1"/>
  <c r="A412" i="7"/>
  <c r="B412" i="7" s="1"/>
  <c r="A413" i="7"/>
  <c r="B413" i="7" s="1"/>
  <c r="A414" i="7"/>
  <c r="B414" i="7" s="1"/>
  <c r="A415" i="7"/>
  <c r="B415" i="7" s="1"/>
  <c r="A416" i="7"/>
  <c r="B416" i="7" s="1"/>
  <c r="A417" i="7"/>
  <c r="B417" i="7" s="1"/>
  <c r="A418" i="7"/>
  <c r="B418" i="7" s="1"/>
  <c r="A419" i="7"/>
  <c r="B419" i="7" s="1"/>
  <c r="A420" i="7"/>
  <c r="B420" i="7" s="1"/>
  <c r="A421" i="7"/>
  <c r="B421" i="7" s="1"/>
  <c r="A422" i="7"/>
  <c r="B422" i="7" s="1"/>
  <c r="A423" i="7"/>
  <c r="B423" i="7" s="1"/>
  <c r="A424" i="7"/>
  <c r="B424" i="7" s="1"/>
  <c r="A425" i="7"/>
  <c r="B425" i="7" s="1"/>
  <c r="A426" i="7"/>
  <c r="B426" i="7" s="1"/>
  <c r="A427" i="7"/>
  <c r="B427" i="7" s="1"/>
  <c r="A428" i="7"/>
  <c r="B428" i="7" s="1"/>
  <c r="A429" i="7"/>
  <c r="B429" i="7" s="1"/>
  <c r="A430" i="7"/>
  <c r="B430" i="7" s="1"/>
  <c r="A431" i="7"/>
  <c r="B431" i="7" s="1"/>
  <c r="A432" i="7"/>
  <c r="B432" i="7" s="1"/>
  <c r="A433" i="7"/>
  <c r="B433" i="7" s="1"/>
  <c r="A434" i="7"/>
  <c r="B434" i="7" s="1"/>
  <c r="A435" i="7"/>
  <c r="B435" i="7" s="1"/>
  <c r="A436" i="7"/>
  <c r="B436" i="7" s="1"/>
  <c r="A437" i="7"/>
  <c r="B437" i="7" s="1"/>
  <c r="A438" i="7"/>
  <c r="B438" i="7" s="1"/>
  <c r="A439" i="7"/>
  <c r="B439" i="7" s="1"/>
  <c r="A440" i="7"/>
  <c r="B440" i="7" s="1"/>
  <c r="A441" i="7"/>
  <c r="B441" i="7" s="1"/>
  <c r="A442" i="7"/>
  <c r="B442" i="7" s="1"/>
  <c r="A443" i="7"/>
  <c r="B443" i="7" s="1"/>
  <c r="A444" i="7"/>
  <c r="B444" i="7" s="1"/>
  <c r="A445" i="7"/>
  <c r="B445" i="7" s="1"/>
  <c r="A446" i="7"/>
  <c r="B446" i="7" s="1"/>
  <c r="A447" i="7"/>
  <c r="B447" i="7" s="1"/>
  <c r="A448" i="7"/>
  <c r="B448" i="7" s="1"/>
  <c r="A449" i="7"/>
  <c r="B449" i="7" s="1"/>
  <c r="A450" i="7"/>
  <c r="B450" i="7" s="1"/>
  <c r="A451" i="7"/>
  <c r="B451" i="7" s="1"/>
  <c r="A452" i="7"/>
  <c r="B452" i="7" s="1"/>
  <c r="A453" i="7"/>
  <c r="B453" i="7" s="1"/>
  <c r="A454" i="7"/>
  <c r="B454" i="7" s="1"/>
  <c r="A455" i="7"/>
  <c r="B455" i="7" s="1"/>
  <c r="A456" i="7"/>
  <c r="B456" i="7" s="1"/>
  <c r="A457" i="7"/>
  <c r="B457" i="7" s="1"/>
  <c r="A458" i="7"/>
  <c r="B458" i="7" s="1"/>
  <c r="A459" i="7"/>
  <c r="B459" i="7" s="1"/>
  <c r="A460" i="7"/>
  <c r="B460" i="7" s="1"/>
  <c r="A461" i="7"/>
  <c r="B461" i="7" s="1"/>
  <c r="A462" i="7"/>
  <c r="B462" i="7" s="1"/>
  <c r="A463" i="7"/>
  <c r="B463" i="7" s="1"/>
  <c r="A464" i="7"/>
  <c r="B464" i="7" s="1"/>
  <c r="A465" i="7"/>
  <c r="B465" i="7" s="1"/>
  <c r="A466" i="7"/>
  <c r="B466" i="7" s="1"/>
  <c r="A467" i="7"/>
  <c r="B467" i="7" s="1"/>
  <c r="A468" i="7"/>
  <c r="B468" i="7" s="1"/>
  <c r="A469" i="7"/>
  <c r="B469" i="7" s="1"/>
  <c r="A470" i="7"/>
  <c r="B470" i="7" s="1"/>
  <c r="A471" i="7"/>
  <c r="B471" i="7" s="1"/>
  <c r="A472" i="7"/>
  <c r="B472" i="7" s="1"/>
  <c r="A473" i="7"/>
  <c r="B473" i="7" s="1"/>
  <c r="A474" i="7"/>
  <c r="B474" i="7" s="1"/>
  <c r="A475" i="7"/>
  <c r="B475" i="7" s="1"/>
  <c r="A476" i="7"/>
  <c r="B476" i="7" s="1"/>
  <c r="A477" i="7"/>
  <c r="B477" i="7" s="1"/>
  <c r="A478" i="7"/>
  <c r="B478" i="7" s="1"/>
  <c r="A479" i="7"/>
  <c r="B479" i="7" s="1"/>
  <c r="A480" i="7"/>
  <c r="B480" i="7" s="1"/>
  <c r="A481" i="7"/>
  <c r="B481" i="7" s="1"/>
  <c r="A482" i="7"/>
  <c r="B482" i="7" s="1"/>
  <c r="A483" i="7"/>
  <c r="B483" i="7" s="1"/>
  <c r="A484" i="7"/>
  <c r="B484" i="7" s="1"/>
  <c r="A485" i="7"/>
  <c r="B485" i="7" s="1"/>
  <c r="A486" i="7"/>
  <c r="B486" i="7" s="1"/>
  <c r="A487" i="7"/>
  <c r="B487" i="7" s="1"/>
  <c r="A488" i="7"/>
  <c r="B488" i="7" s="1"/>
  <c r="A489" i="7"/>
  <c r="B489" i="7" s="1"/>
  <c r="A490" i="7"/>
  <c r="B490" i="7" s="1"/>
  <c r="A491" i="7"/>
  <c r="B491" i="7" s="1"/>
  <c r="A492" i="7"/>
  <c r="B492" i="7" s="1"/>
  <c r="A493" i="7"/>
  <c r="B493" i="7" s="1"/>
  <c r="A494" i="7"/>
  <c r="B494" i="7" s="1"/>
  <c r="A495" i="7"/>
  <c r="B495" i="7" s="1"/>
  <c r="A496" i="7"/>
  <c r="B496" i="7" s="1"/>
  <c r="A497" i="7"/>
  <c r="B497" i="7" s="1"/>
  <c r="A498" i="7"/>
  <c r="B498" i="7" s="1"/>
  <c r="A499" i="7"/>
  <c r="B499" i="7" s="1"/>
  <c r="A500" i="7"/>
  <c r="B500" i="7" s="1"/>
  <c r="A501" i="7"/>
  <c r="B501" i="7" s="1"/>
  <c r="A502" i="7"/>
  <c r="B502" i="7" s="1"/>
  <c r="A503" i="7"/>
  <c r="B503" i="7" s="1"/>
  <c r="A504" i="7"/>
  <c r="B504" i="7" s="1"/>
  <c r="A505" i="7"/>
  <c r="B505" i="7" s="1"/>
  <c r="A506" i="7"/>
  <c r="B506" i="7" s="1"/>
  <c r="A507" i="7"/>
  <c r="B507" i="7" s="1"/>
  <c r="A508" i="7"/>
  <c r="B508" i="7" s="1"/>
  <c r="A509" i="7"/>
  <c r="B509" i="7" s="1"/>
  <c r="A510" i="7"/>
  <c r="B510" i="7" s="1"/>
  <c r="A511" i="7"/>
  <c r="B511" i="7" s="1"/>
  <c r="A512" i="7"/>
  <c r="B512" i="7" s="1"/>
  <c r="A513" i="7"/>
  <c r="B513" i="7" s="1"/>
  <c r="A514" i="7"/>
  <c r="B514" i="7" s="1"/>
  <c r="A515" i="7"/>
  <c r="B515" i="7" s="1"/>
  <c r="A516" i="7"/>
  <c r="B516" i="7" s="1"/>
  <c r="A517" i="7"/>
  <c r="B517" i="7" s="1"/>
  <c r="A518" i="7"/>
  <c r="B518" i="7" s="1"/>
  <c r="A519" i="7"/>
  <c r="B519" i="7" s="1"/>
  <c r="A520" i="7"/>
  <c r="B520" i="7" s="1"/>
  <c r="A521" i="7"/>
  <c r="B521" i="7" s="1"/>
  <c r="A522" i="7"/>
  <c r="B522" i="7" s="1"/>
  <c r="A523" i="7"/>
  <c r="B523" i="7" s="1"/>
  <c r="A524" i="7"/>
  <c r="B524" i="7" s="1"/>
  <c r="A525" i="7"/>
  <c r="B525" i="7" s="1"/>
  <c r="A526" i="7"/>
  <c r="B526" i="7" s="1"/>
  <c r="A527" i="7"/>
  <c r="B527" i="7" s="1"/>
  <c r="A528" i="7"/>
  <c r="B528" i="7" s="1"/>
  <c r="A529" i="7"/>
  <c r="B529" i="7" s="1"/>
  <c r="A530" i="7"/>
  <c r="B530" i="7" s="1"/>
  <c r="A531" i="7"/>
  <c r="B531" i="7" s="1"/>
  <c r="A532" i="7"/>
  <c r="B532" i="7" s="1"/>
  <c r="A533" i="7"/>
  <c r="B533" i="7" s="1"/>
  <c r="A534" i="7"/>
  <c r="B534" i="7" s="1"/>
  <c r="A535" i="7"/>
  <c r="B535" i="7" s="1"/>
  <c r="A536" i="7"/>
  <c r="B536" i="7" s="1"/>
  <c r="A537" i="7"/>
  <c r="B537" i="7" s="1"/>
  <c r="A538" i="7"/>
  <c r="B538" i="7" s="1"/>
  <c r="A539" i="7"/>
  <c r="B539" i="7" s="1"/>
  <c r="A540" i="7"/>
  <c r="B540" i="7" s="1"/>
  <c r="A541" i="7"/>
  <c r="B541" i="7" s="1"/>
  <c r="A542" i="7"/>
  <c r="B542" i="7" s="1"/>
  <c r="A543" i="7"/>
  <c r="B543" i="7" s="1"/>
  <c r="A544" i="7"/>
  <c r="B544" i="7" s="1"/>
  <c r="A545" i="7"/>
  <c r="B545" i="7" s="1"/>
  <c r="A546" i="7"/>
  <c r="B546" i="7" s="1"/>
  <c r="A547" i="7"/>
  <c r="B547" i="7" s="1"/>
  <c r="A548" i="7"/>
  <c r="B548" i="7" s="1"/>
  <c r="A549" i="7"/>
  <c r="B549" i="7" s="1"/>
  <c r="A550" i="7"/>
  <c r="B550" i="7" s="1"/>
  <c r="A551" i="7"/>
  <c r="B551" i="7" s="1"/>
  <c r="A552" i="7"/>
  <c r="B552" i="7" s="1"/>
  <c r="A553" i="7"/>
  <c r="B553" i="7" s="1"/>
  <c r="A554" i="7"/>
  <c r="B554" i="7" s="1"/>
  <c r="A555" i="7"/>
  <c r="B555" i="7" s="1"/>
  <c r="A556" i="7"/>
  <c r="B556" i="7" s="1"/>
  <c r="A557" i="7"/>
  <c r="B557" i="7" s="1"/>
  <c r="A558" i="7"/>
  <c r="B558" i="7" s="1"/>
  <c r="A559" i="7"/>
  <c r="B559" i="7" s="1"/>
  <c r="A560" i="7"/>
  <c r="B560" i="7" s="1"/>
  <c r="A561" i="7"/>
  <c r="B561" i="7" s="1"/>
  <c r="A562" i="7"/>
  <c r="B562" i="7" s="1"/>
  <c r="A563" i="7"/>
  <c r="B563" i="7" s="1"/>
  <c r="A564" i="7"/>
  <c r="B564" i="7" s="1"/>
  <c r="A565" i="7"/>
  <c r="B565" i="7" s="1"/>
  <c r="A566" i="7"/>
  <c r="B566" i="7" s="1"/>
  <c r="A567" i="7"/>
  <c r="B567" i="7" s="1"/>
  <c r="A568" i="7"/>
  <c r="B568" i="7" s="1"/>
  <c r="A569" i="7"/>
  <c r="B569" i="7" s="1"/>
  <c r="A570" i="7"/>
  <c r="B570" i="7" s="1"/>
  <c r="A571" i="7"/>
  <c r="B571" i="7" s="1"/>
  <c r="A572" i="7"/>
  <c r="B572" i="7" s="1"/>
  <c r="A573" i="7"/>
  <c r="B573" i="7" s="1"/>
  <c r="A574" i="7"/>
  <c r="B574" i="7" s="1"/>
  <c r="A575" i="7"/>
  <c r="B575" i="7" s="1"/>
  <c r="A576" i="7"/>
  <c r="B576" i="7" s="1"/>
  <c r="A577" i="7"/>
  <c r="B577" i="7" s="1"/>
  <c r="A578" i="7"/>
  <c r="B578" i="7" s="1"/>
  <c r="A579" i="7"/>
  <c r="B579" i="7" s="1"/>
  <c r="A580" i="7"/>
  <c r="B580" i="7" s="1"/>
  <c r="A581" i="7"/>
  <c r="B581" i="7" s="1"/>
  <c r="A582" i="7"/>
  <c r="B582" i="7" s="1"/>
  <c r="A583" i="7"/>
  <c r="B583" i="7" s="1"/>
  <c r="A584" i="7"/>
  <c r="B584" i="7" s="1"/>
  <c r="A585" i="7"/>
  <c r="B585" i="7" s="1"/>
  <c r="A586" i="7"/>
  <c r="B586" i="7" s="1"/>
  <c r="A587" i="7"/>
  <c r="B587" i="7" s="1"/>
  <c r="A588" i="7"/>
  <c r="B588" i="7" s="1"/>
  <c r="A589" i="7"/>
  <c r="B589" i="7" s="1"/>
  <c r="A590" i="7"/>
  <c r="B590" i="7" s="1"/>
  <c r="A591" i="7"/>
  <c r="B591" i="7" s="1"/>
  <c r="A592" i="7"/>
  <c r="B592" i="7" s="1"/>
  <c r="A593" i="7"/>
  <c r="B593" i="7" s="1"/>
  <c r="A594" i="7"/>
  <c r="B594" i="7" s="1"/>
  <c r="A595" i="7"/>
  <c r="B595" i="7" s="1"/>
  <c r="A596" i="7"/>
  <c r="B596" i="7" s="1"/>
  <c r="A597" i="7"/>
  <c r="B597" i="7" s="1"/>
  <c r="A598" i="7"/>
  <c r="B598" i="7" s="1"/>
  <c r="A599" i="7"/>
  <c r="B599" i="7" s="1"/>
  <c r="A600" i="7"/>
  <c r="B600" i="7" s="1"/>
  <c r="A601" i="7"/>
  <c r="B601" i="7" s="1"/>
  <c r="A602" i="7"/>
  <c r="B602" i="7" s="1"/>
  <c r="A603" i="7"/>
  <c r="B603" i="7" s="1"/>
  <c r="A604" i="7"/>
  <c r="B604" i="7" s="1"/>
  <c r="A605" i="7"/>
  <c r="B605" i="7" s="1"/>
  <c r="A606" i="7"/>
  <c r="B606" i="7" s="1"/>
  <c r="A607" i="7"/>
  <c r="B607" i="7" s="1"/>
  <c r="A608" i="7"/>
  <c r="B608" i="7" s="1"/>
  <c r="A609" i="7"/>
  <c r="B609" i="7" s="1"/>
  <c r="A610" i="7"/>
  <c r="B610" i="7" s="1"/>
  <c r="A611" i="7"/>
  <c r="B611" i="7" s="1"/>
  <c r="A612" i="7"/>
  <c r="B612" i="7" s="1"/>
  <c r="A613" i="7"/>
  <c r="B613" i="7" s="1"/>
  <c r="A614" i="7"/>
  <c r="B614" i="7" s="1"/>
  <c r="A615" i="7"/>
  <c r="B615" i="7" s="1"/>
  <c r="A616" i="7"/>
  <c r="B616" i="7" s="1"/>
  <c r="A617" i="7"/>
  <c r="B617" i="7" s="1"/>
  <c r="A618" i="7"/>
  <c r="B618" i="7" s="1"/>
  <c r="A619" i="7"/>
  <c r="B619" i="7" s="1"/>
  <c r="A620" i="7"/>
  <c r="B620" i="7" s="1"/>
  <c r="A621" i="7"/>
  <c r="B621" i="7" s="1"/>
  <c r="A622" i="7"/>
  <c r="B622" i="7" s="1"/>
  <c r="A623" i="7"/>
  <c r="B623" i="7" s="1"/>
  <c r="A624" i="7"/>
  <c r="B624" i="7" s="1"/>
  <c r="A625" i="7"/>
  <c r="B625" i="7" s="1"/>
  <c r="A626" i="7"/>
  <c r="B626" i="7" s="1"/>
  <c r="A627" i="7"/>
  <c r="B627" i="7" s="1"/>
  <c r="A628" i="7"/>
  <c r="B628" i="7" s="1"/>
  <c r="A629" i="7"/>
  <c r="B629" i="7" s="1"/>
  <c r="A630" i="7"/>
  <c r="B630" i="7" s="1"/>
  <c r="A631" i="7"/>
  <c r="B631" i="7" s="1"/>
  <c r="A632" i="7"/>
  <c r="B632" i="7" s="1"/>
  <c r="A633" i="7"/>
  <c r="B633" i="7" s="1"/>
  <c r="A634" i="7"/>
  <c r="B634" i="7" s="1"/>
  <c r="A635" i="7"/>
  <c r="B635" i="7" s="1"/>
  <c r="A636" i="7"/>
  <c r="B636" i="7" s="1"/>
  <c r="A637" i="7"/>
  <c r="B637" i="7" s="1"/>
  <c r="A638" i="7"/>
  <c r="B638" i="7" s="1"/>
  <c r="A639" i="7"/>
  <c r="B639" i="7" s="1"/>
  <c r="A640" i="7"/>
  <c r="B640" i="7" s="1"/>
  <c r="A641" i="7"/>
  <c r="B641" i="7" s="1"/>
  <c r="A642" i="7"/>
  <c r="B642" i="7" s="1"/>
  <c r="A643" i="7"/>
  <c r="B643" i="7" s="1"/>
  <c r="A644" i="7"/>
  <c r="A645" i="7"/>
  <c r="B645" i="7" s="1"/>
  <c r="A646" i="7"/>
  <c r="B646" i="7" s="1"/>
  <c r="A647" i="7"/>
  <c r="B647" i="7" s="1"/>
  <c r="A648" i="7"/>
  <c r="B648" i="7" s="1"/>
  <c r="A649" i="7"/>
  <c r="B649" i="7" s="1"/>
  <c r="A650" i="7"/>
  <c r="B650" i="7" s="1"/>
  <c r="A651" i="7"/>
  <c r="B651" i="7" s="1"/>
  <c r="A652" i="7"/>
  <c r="B652" i="7" s="1"/>
  <c r="A653" i="7"/>
  <c r="B653" i="7" s="1"/>
  <c r="A654" i="7"/>
  <c r="B654" i="7" s="1"/>
  <c r="A655" i="7"/>
  <c r="B655" i="7" s="1"/>
  <c r="A656" i="7"/>
  <c r="B656" i="7" s="1"/>
  <c r="A657" i="7"/>
  <c r="B657" i="7" s="1"/>
  <c r="A658" i="7"/>
  <c r="B658" i="7" s="1"/>
  <c r="A659" i="7"/>
  <c r="B659" i="7" s="1"/>
  <c r="A660" i="7"/>
  <c r="B660" i="7" s="1"/>
  <c r="A661" i="7"/>
  <c r="B661" i="7" s="1"/>
  <c r="A662" i="7"/>
  <c r="B662" i="7" s="1"/>
  <c r="A663" i="7"/>
  <c r="B663" i="7" s="1"/>
  <c r="A664" i="7"/>
  <c r="B664" i="7" s="1"/>
  <c r="A665" i="7"/>
  <c r="B665" i="7" s="1"/>
  <c r="A666" i="7"/>
  <c r="B666" i="7" s="1"/>
  <c r="A667" i="7"/>
  <c r="B667" i="7" s="1"/>
  <c r="A668" i="7"/>
  <c r="B668" i="7" s="1"/>
  <c r="A669" i="7"/>
  <c r="B669" i="7" s="1"/>
  <c r="A670" i="7"/>
  <c r="B670" i="7" s="1"/>
  <c r="A671" i="7"/>
  <c r="B671" i="7" s="1"/>
  <c r="A672" i="7"/>
  <c r="B672" i="7" s="1"/>
  <c r="A673" i="7"/>
  <c r="B673" i="7" s="1"/>
  <c r="A674" i="7"/>
  <c r="B674" i="7" s="1"/>
  <c r="A675" i="7"/>
  <c r="B675" i="7" s="1"/>
  <c r="A676" i="7"/>
  <c r="B676" i="7" s="1"/>
  <c r="A677" i="7"/>
  <c r="B677" i="7" s="1"/>
  <c r="A678" i="7"/>
  <c r="B678" i="7" s="1"/>
  <c r="A679" i="7"/>
  <c r="B679" i="7" s="1"/>
  <c r="A680" i="7"/>
  <c r="B680" i="7" s="1"/>
  <c r="A681" i="7"/>
  <c r="B681" i="7" s="1"/>
  <c r="A682" i="7"/>
  <c r="B682" i="7" s="1"/>
  <c r="A683" i="7"/>
  <c r="B683" i="7" s="1"/>
  <c r="A684" i="7"/>
  <c r="B684" i="7" s="1"/>
  <c r="A685" i="7"/>
  <c r="B685" i="7" s="1"/>
  <c r="A686" i="7"/>
  <c r="B686" i="7" s="1"/>
  <c r="A687" i="7"/>
  <c r="B687" i="7" s="1"/>
  <c r="A688" i="7"/>
  <c r="B688" i="7" s="1"/>
  <c r="A689" i="7"/>
  <c r="B689" i="7" s="1"/>
  <c r="A690" i="7"/>
  <c r="B690" i="7" s="1"/>
  <c r="A691" i="7"/>
  <c r="B691" i="7" s="1"/>
  <c r="A692" i="7"/>
  <c r="B692" i="7" s="1"/>
  <c r="A693" i="7"/>
  <c r="B693" i="7" s="1"/>
  <c r="A694" i="7"/>
  <c r="B694" i="7" s="1"/>
  <c r="A695" i="7"/>
  <c r="B695" i="7" s="1"/>
  <c r="A696" i="7"/>
  <c r="B696" i="7" s="1"/>
  <c r="A697" i="7"/>
  <c r="B697" i="7" s="1"/>
  <c r="A698" i="7"/>
  <c r="B698" i="7" s="1"/>
  <c r="A699" i="7"/>
  <c r="B699" i="7" s="1"/>
  <c r="A700" i="7"/>
  <c r="B700" i="7" s="1"/>
  <c r="A701" i="7"/>
  <c r="B701" i="7" s="1"/>
  <c r="A702" i="7"/>
  <c r="B702" i="7" s="1"/>
  <c r="A703" i="7"/>
  <c r="B703" i="7" s="1"/>
  <c r="A704" i="7"/>
  <c r="B704" i="7" s="1"/>
  <c r="A705" i="7"/>
  <c r="B705" i="7" s="1"/>
  <c r="A706" i="7"/>
  <c r="B706" i="7" s="1"/>
  <c r="A707" i="7"/>
  <c r="B707" i="7" s="1"/>
  <c r="A708" i="7"/>
  <c r="B708" i="7" s="1"/>
  <c r="A709" i="7"/>
  <c r="B709" i="7" s="1"/>
  <c r="A710" i="7"/>
  <c r="B710" i="7" s="1"/>
  <c r="A711" i="7"/>
  <c r="B711" i="7" s="1"/>
  <c r="A712" i="7"/>
  <c r="B712" i="7" s="1"/>
  <c r="A713" i="7"/>
  <c r="B713" i="7" s="1"/>
  <c r="A714" i="7"/>
  <c r="B714" i="7" s="1"/>
  <c r="A715" i="7"/>
  <c r="B715" i="7" s="1"/>
  <c r="A716" i="7"/>
  <c r="B716" i="7" s="1"/>
  <c r="A717" i="7"/>
  <c r="B717" i="7" s="1"/>
  <c r="A718" i="7"/>
  <c r="B718" i="7" s="1"/>
  <c r="A719" i="7"/>
  <c r="B719" i="7" s="1"/>
  <c r="A720" i="7"/>
  <c r="B720" i="7" s="1"/>
  <c r="A721" i="7"/>
  <c r="B721" i="7" s="1"/>
  <c r="A722" i="7"/>
  <c r="B722" i="7" s="1"/>
  <c r="A723" i="7"/>
  <c r="B723" i="7" s="1"/>
  <c r="A724" i="7"/>
  <c r="B724" i="7" s="1"/>
  <c r="A725" i="7"/>
  <c r="B725" i="7" s="1"/>
  <c r="A726" i="7"/>
  <c r="B726" i="7" s="1"/>
  <c r="A727" i="7"/>
  <c r="B727" i="7" s="1"/>
  <c r="A728" i="7"/>
  <c r="B728" i="7" s="1"/>
  <c r="A729" i="7"/>
  <c r="B729" i="7" s="1"/>
  <c r="A730" i="7"/>
  <c r="B730" i="7" s="1"/>
  <c r="A731" i="7"/>
  <c r="B731" i="7" s="1"/>
  <c r="A732" i="7"/>
  <c r="B732" i="7" s="1"/>
  <c r="A733" i="7"/>
  <c r="B733" i="7" s="1"/>
  <c r="A734" i="7"/>
  <c r="B734" i="7" s="1"/>
  <c r="A735" i="7"/>
  <c r="B735" i="7" s="1"/>
  <c r="A736" i="7"/>
  <c r="B736" i="7" s="1"/>
  <c r="A737" i="7"/>
  <c r="B737" i="7" s="1"/>
  <c r="A738" i="7"/>
  <c r="B738" i="7" s="1"/>
  <c r="B739" i="7" l="1"/>
  <c r="D739" i="7" s="1"/>
  <c r="E739" i="7" s="1"/>
  <c r="J732" i="7"/>
  <c r="J716" i="7"/>
  <c r="J430" i="7"/>
  <c r="D398" i="7"/>
  <c r="E398" i="7" s="1"/>
  <c r="D684" i="7"/>
  <c r="E684" i="7" s="1"/>
  <c r="D572" i="7"/>
  <c r="E572" i="7" s="1"/>
  <c r="J428" i="7"/>
  <c r="J499" i="7"/>
  <c r="J658" i="7"/>
  <c r="D642" i="7"/>
  <c r="E642" i="7" s="1"/>
  <c r="J530" i="7"/>
  <c r="J378" i="7"/>
  <c r="D374" i="7"/>
  <c r="E374" i="7" s="1"/>
  <c r="D607" i="7"/>
  <c r="E607" i="7" s="1"/>
  <c r="J621" i="7"/>
  <c r="D536" i="7"/>
  <c r="E536" i="7" s="1"/>
  <c r="D532" i="7"/>
  <c r="E532" i="7" s="1"/>
  <c r="D456" i="7"/>
  <c r="E456" i="7" s="1"/>
  <c r="D448" i="7"/>
  <c r="E448" i="7" s="1"/>
  <c r="J416" i="7"/>
  <c r="D728" i="7"/>
  <c r="E728" i="7" s="1"/>
  <c r="G728" i="7" s="1"/>
  <c r="J726" i="7"/>
  <c r="D614" i="7"/>
  <c r="E614" i="7" s="1"/>
  <c r="J588" i="7"/>
  <c r="J547" i="7"/>
  <c r="J528" i="7"/>
  <c r="J522" i="7"/>
  <c r="J512" i="7"/>
  <c r="J509" i="7"/>
  <c r="D506" i="7"/>
  <c r="E506" i="7" s="1"/>
  <c r="J496" i="7"/>
  <c r="J461" i="7"/>
  <c r="J458" i="7"/>
  <c r="J442" i="7"/>
  <c r="D613" i="7"/>
  <c r="E613" i="7" s="1"/>
  <c r="J578" i="7"/>
  <c r="J486" i="7"/>
  <c r="J470" i="7"/>
  <c r="D454" i="7"/>
  <c r="E454" i="7" s="1"/>
  <c r="J441" i="7"/>
  <c r="D406" i="7"/>
  <c r="E406" i="7" s="1"/>
  <c r="D373" i="7"/>
  <c r="E373" i="7" s="1"/>
  <c r="J736" i="7"/>
  <c r="J517" i="7"/>
  <c r="J501" i="7"/>
  <c r="J488" i="7"/>
  <c r="J469" i="7"/>
  <c r="D447" i="7"/>
  <c r="E447" i="7" s="1"/>
  <c r="D402" i="7"/>
  <c r="E402" i="7" s="1"/>
  <c r="J372" i="7"/>
  <c r="D358" i="7"/>
  <c r="E358" i="7" s="1"/>
  <c r="J350" i="7"/>
  <c r="J675" i="7"/>
  <c r="J693" i="7"/>
  <c r="J703" i="7"/>
  <c r="D729" i="7"/>
  <c r="E729" i="7" s="1"/>
  <c r="G729" i="7" s="1"/>
  <c r="D721" i="7"/>
  <c r="E721" i="7" s="1"/>
  <c r="G721" i="7" s="1"/>
  <c r="D689" i="7"/>
  <c r="E689" i="7" s="1"/>
  <c r="D663" i="7"/>
  <c r="E663" i="7" s="1"/>
  <c r="J647" i="7"/>
  <c r="J618" i="7"/>
  <c r="D612" i="7"/>
  <c r="E612" i="7" s="1"/>
  <c r="J561" i="7"/>
  <c r="D526" i="7"/>
  <c r="E526" i="7" s="1"/>
  <c r="D523" i="7"/>
  <c r="E523" i="7" s="1"/>
  <c r="D507" i="7"/>
  <c r="E507" i="7" s="1"/>
  <c r="D491" i="7"/>
  <c r="E491" i="7" s="1"/>
  <c r="J462" i="7"/>
  <c r="J421" i="7"/>
  <c r="D405" i="7"/>
  <c r="E405" i="7" s="1"/>
  <c r="D392" i="7"/>
  <c r="E392" i="7" s="1"/>
  <c r="J389" i="7"/>
  <c r="J382" i="7"/>
  <c r="D388" i="7"/>
  <c r="E388" i="7" s="1"/>
  <c r="J605" i="7"/>
  <c r="J602" i="7"/>
  <c r="J586" i="7"/>
  <c r="J551" i="7"/>
  <c r="J548" i="7"/>
  <c r="J510" i="7"/>
  <c r="D478" i="7"/>
  <c r="E478" i="7" s="1"/>
  <c r="J433" i="7"/>
  <c r="D385" i="7"/>
  <c r="E385" i="7" s="1"/>
  <c r="J364" i="7"/>
  <c r="D357" i="7"/>
  <c r="E357" i="7" s="1"/>
  <c r="D349" i="7"/>
  <c r="E349" i="7" s="1"/>
  <c r="D383" i="7"/>
  <c r="E383" i="7" s="1"/>
  <c r="J701" i="7"/>
  <c r="J648" i="7"/>
  <c r="J590" i="7"/>
  <c r="D530" i="7"/>
  <c r="E530" i="7" s="1"/>
  <c r="J485" i="7"/>
  <c r="D428" i="7"/>
  <c r="E428" i="7" s="1"/>
  <c r="J409" i="7"/>
  <c r="D356" i="7"/>
  <c r="E356" i="7" s="1"/>
  <c r="J353" i="7"/>
  <c r="J661" i="7"/>
  <c r="J637" i="7"/>
  <c r="J616" i="7"/>
  <c r="J595" i="7"/>
  <c r="J474" i="7"/>
  <c r="J600" i="7"/>
  <c r="J592" i="7"/>
  <c r="D558" i="7"/>
  <c r="E558" i="7" s="1"/>
  <c r="J453" i="7"/>
  <c r="D347" i="7"/>
  <c r="E347" i="7" s="1"/>
  <c r="D623" i="7"/>
  <c r="E623" i="7" s="1"/>
  <c r="J610" i="7"/>
  <c r="J552" i="7"/>
  <c r="D508" i="7"/>
  <c r="E508" i="7" s="1"/>
  <c r="J481" i="7"/>
  <c r="D376" i="7"/>
  <c r="E376" i="7" s="1"/>
  <c r="J707" i="7"/>
  <c r="J681" i="7"/>
  <c r="J657" i="7"/>
  <c r="J465" i="7"/>
  <c r="J717" i="7"/>
  <c r="D662" i="7"/>
  <c r="E662" i="7" s="1"/>
  <c r="D528" i="7"/>
  <c r="E528" i="7" s="1"/>
  <c r="D346" i="7"/>
  <c r="E346" i="7" s="1"/>
  <c r="J667" i="7"/>
  <c r="J594" i="7"/>
  <c r="J521" i="7"/>
  <c r="J500" i="7"/>
  <c r="J492" i="7"/>
  <c r="D476" i="7"/>
  <c r="E476" i="7" s="1"/>
  <c r="D418" i="7"/>
  <c r="E418" i="7" s="1"/>
  <c r="D360" i="7"/>
  <c r="E360" i="7" s="1"/>
  <c r="D352" i="7"/>
  <c r="E352" i="7" s="1"/>
  <c r="J440" i="7"/>
  <c r="J432" i="7"/>
  <c r="J354" i="7"/>
  <c r="J583" i="7"/>
  <c r="D575" i="7"/>
  <c r="E575" i="7" s="1"/>
  <c r="J494" i="7"/>
  <c r="J466" i="7"/>
  <c r="J546" i="7"/>
  <c r="D473" i="7"/>
  <c r="E473" i="7" s="1"/>
  <c r="J425" i="7"/>
  <c r="J422" i="7"/>
  <c r="D417" i="7"/>
  <c r="E417" i="7" s="1"/>
  <c r="J401" i="7"/>
  <c r="J393" i="7"/>
  <c r="D351" i="7"/>
  <c r="E351" i="7" s="1"/>
  <c r="J651" i="7"/>
  <c r="D672" i="7"/>
  <c r="E672" i="7" s="1"/>
  <c r="D690" i="7"/>
  <c r="E690" i="7" s="1"/>
  <c r="J674" i="7"/>
  <c r="J650" i="7"/>
  <c r="D616" i="7"/>
  <c r="E616" i="7" s="1"/>
  <c r="D606" i="7"/>
  <c r="E606" i="7" s="1"/>
  <c r="J585" i="7"/>
  <c r="J572" i="7"/>
  <c r="D719" i="7"/>
  <c r="E719" i="7" s="1"/>
  <c r="D685" i="7"/>
  <c r="E685" i="7" s="1"/>
  <c r="J713" i="7"/>
  <c r="D652" i="7"/>
  <c r="E652" i="7" s="1"/>
  <c r="J553" i="7"/>
  <c r="D540" i="7"/>
  <c r="E540" i="7" s="1"/>
  <c r="J504" i="7"/>
  <c r="D382" i="7"/>
  <c r="E382" i="7" s="1"/>
  <c r="D366" i="7"/>
  <c r="E366" i="7" s="1"/>
  <c r="J576" i="7"/>
  <c r="J534" i="7"/>
  <c r="D408" i="7"/>
  <c r="E408" i="7" s="1"/>
  <c r="J384" i="7"/>
  <c r="J371" i="7"/>
  <c r="J368" i="7"/>
  <c r="D697" i="7"/>
  <c r="E697" i="7" s="1"/>
  <c r="J694" i="7"/>
  <c r="D687" i="7"/>
  <c r="E687" i="7" s="1"/>
  <c r="D682" i="7"/>
  <c r="E682" i="7" s="1"/>
  <c r="D648" i="7"/>
  <c r="E648" i="7" s="1"/>
  <c r="D644" i="7"/>
  <c r="E644" i="7" s="1"/>
  <c r="J641" i="7"/>
  <c r="J620" i="7"/>
  <c r="J604" i="7"/>
  <c r="J549" i="7"/>
  <c r="J537" i="7"/>
  <c r="J684" i="7"/>
  <c r="D564" i="7"/>
  <c r="E564" i="7" s="1"/>
  <c r="D556" i="7"/>
  <c r="E556" i="7" s="1"/>
  <c r="D544" i="7"/>
  <c r="E544" i="7" s="1"/>
  <c r="D522" i="7"/>
  <c r="E522" i="7" s="1"/>
  <c r="D495" i="7"/>
  <c r="E495" i="7" s="1"/>
  <c r="D480" i="7"/>
  <c r="E480" i="7" s="1"/>
  <c r="J468" i="7"/>
  <c r="J451" i="7"/>
  <c r="D427" i="7"/>
  <c r="E427" i="7" s="1"/>
  <c r="D415" i="7"/>
  <c r="E415" i="7" s="1"/>
  <c r="D410" i="7"/>
  <c r="E410" i="7" s="1"/>
  <c r="D362" i="7"/>
  <c r="E362" i="7" s="1"/>
  <c r="D725" i="7"/>
  <c r="E725" i="7" s="1"/>
  <c r="G725" i="7" s="1"/>
  <c r="J710" i="7"/>
  <c r="D737" i="7"/>
  <c r="E737" i="7" s="1"/>
  <c r="G737" i="7" s="1"/>
  <c r="D727" i="7"/>
  <c r="E727" i="7" s="1"/>
  <c r="J704" i="7"/>
  <c r="J638" i="7"/>
  <c r="J635" i="7"/>
  <c r="J627" i="7"/>
  <c r="J606" i="7"/>
  <c r="D596" i="7"/>
  <c r="E596" i="7" s="1"/>
  <c r="D546" i="7"/>
  <c r="E546" i="7" s="1"/>
  <c r="J541" i="7"/>
  <c r="D531" i="7"/>
  <c r="E531" i="7" s="1"/>
  <c r="D524" i="7"/>
  <c r="E524" i="7" s="1"/>
  <c r="J514" i="7"/>
  <c r="D505" i="7"/>
  <c r="E505" i="7" s="1"/>
  <c r="J497" i="7"/>
  <c r="J490" i="7"/>
  <c r="D470" i="7"/>
  <c r="E470" i="7" s="1"/>
  <c r="D458" i="7"/>
  <c r="E458" i="7" s="1"/>
  <c r="D436" i="7"/>
  <c r="E436" i="7" s="1"/>
  <c r="D422" i="7"/>
  <c r="E422" i="7" s="1"/>
  <c r="D412" i="7"/>
  <c r="E412" i="7" s="1"/>
  <c r="J405" i="7"/>
  <c r="D403" i="7"/>
  <c r="E403" i="7" s="1"/>
  <c r="J400" i="7"/>
  <c r="J398" i="7"/>
  <c r="D390" i="7"/>
  <c r="E390" i="7" s="1"/>
  <c r="D380" i="7"/>
  <c r="E380" i="7" s="1"/>
  <c r="J619" i="7"/>
  <c r="J603" i="7"/>
  <c r="D576" i="7"/>
  <c r="E576" i="7" s="1"/>
  <c r="J540" i="7"/>
  <c r="J533" i="7"/>
  <c r="D516" i="7"/>
  <c r="E516" i="7" s="1"/>
  <c r="J511" i="7"/>
  <c r="D494" i="7"/>
  <c r="E494" i="7" s="1"/>
  <c r="J484" i="7"/>
  <c r="J467" i="7"/>
  <c r="J450" i="7"/>
  <c r="D387" i="7"/>
  <c r="E387" i="7" s="1"/>
  <c r="D368" i="7"/>
  <c r="E368" i="7" s="1"/>
  <c r="D701" i="7"/>
  <c r="E701" i="7" s="1"/>
  <c r="D716" i="7"/>
  <c r="E716" i="7" s="1"/>
  <c r="D693" i="7"/>
  <c r="E693" i="7" s="1"/>
  <c r="J690" i="7"/>
  <c r="J678" i="7"/>
  <c r="D600" i="7"/>
  <c r="E600" i="7" s="1"/>
  <c r="D598" i="7"/>
  <c r="E598" i="7" s="1"/>
  <c r="D588" i="7"/>
  <c r="E588" i="7" s="1"/>
  <c r="J581" i="7"/>
  <c r="J573" i="7"/>
  <c r="D560" i="7"/>
  <c r="E560" i="7" s="1"/>
  <c r="D550" i="7"/>
  <c r="E550" i="7" s="1"/>
  <c r="J538" i="7"/>
  <c r="D486" i="7"/>
  <c r="E486" i="7" s="1"/>
  <c r="D474" i="7"/>
  <c r="E474" i="7" s="1"/>
  <c r="D464" i="7"/>
  <c r="E464" i="7" s="1"/>
  <c r="D457" i="7"/>
  <c r="E457" i="7" s="1"/>
  <c r="D686" i="7"/>
  <c r="E686" i="7" s="1"/>
  <c r="D733" i="7"/>
  <c r="E733" i="7" s="1"/>
  <c r="J725" i="7"/>
  <c r="J723" i="7"/>
  <c r="J720" i="7"/>
  <c r="J705" i="7"/>
  <c r="J644" i="7"/>
  <c r="J639" i="7"/>
  <c r="J634" i="7"/>
  <c r="J612" i="7"/>
  <c r="D590" i="7"/>
  <c r="E590" i="7" s="1"/>
  <c r="J554" i="7"/>
  <c r="J545" i="7"/>
  <c r="J452" i="7"/>
  <c r="J449" i="7"/>
  <c r="J418" i="7"/>
  <c r="J408" i="7"/>
  <c r="D404" i="7"/>
  <c r="E404" i="7" s="1"/>
  <c r="J376" i="7"/>
  <c r="J355" i="7"/>
  <c r="J352" i="7"/>
  <c r="J347" i="7"/>
  <c r="J508" i="7"/>
  <c r="J483" i="7"/>
  <c r="J420" i="7"/>
  <c r="J410" i="7"/>
  <c r="J362" i="7"/>
  <c r="D640" i="7"/>
  <c r="E640" i="7" s="1"/>
  <c r="J640" i="7"/>
  <c r="D731" i="7"/>
  <c r="E731" i="7" s="1"/>
  <c r="D680" i="7"/>
  <c r="E680" i="7" s="1"/>
  <c r="D664" i="7"/>
  <c r="J664" i="7"/>
  <c r="J691" i="7"/>
  <c r="J671" i="7"/>
  <c r="D738" i="7"/>
  <c r="E738" i="7" s="1"/>
  <c r="G738" i="7" s="1"/>
  <c r="J738" i="7"/>
  <c r="J688" i="7"/>
  <c r="J666" i="7"/>
  <c r="J598" i="7"/>
  <c r="D542" i="7"/>
  <c r="E542" i="7" s="1"/>
  <c r="J542" i="7"/>
  <c r="D502" i="7"/>
  <c r="E502" i="7" s="1"/>
  <c r="J502" i="7"/>
  <c r="D717" i="7"/>
  <c r="E717" i="7" s="1"/>
  <c r="D712" i="7"/>
  <c r="D647" i="7"/>
  <c r="E647" i="7" s="1"/>
  <c r="D630" i="7"/>
  <c r="E630" i="7" s="1"/>
  <c r="D582" i="7"/>
  <c r="E582" i="7" s="1"/>
  <c r="J582" i="7"/>
  <c r="D570" i="7"/>
  <c r="E570" i="7" s="1"/>
  <c r="J570" i="7"/>
  <c r="D718" i="7"/>
  <c r="E718" i="7" s="1"/>
  <c r="G718" i="7" s="1"/>
  <c r="D700" i="7"/>
  <c r="E700" i="7" s="1"/>
  <c r="J700" i="7"/>
  <c r="J697" i="7"/>
  <c r="J695" i="7"/>
  <c r="J670" i="7"/>
  <c r="J660" i="7"/>
  <c r="D653" i="7"/>
  <c r="E653" i="7" s="1"/>
  <c r="D636" i="7"/>
  <c r="E636" i="7" s="1"/>
  <c r="J636" i="7"/>
  <c r="D426" i="7"/>
  <c r="E426" i="7" s="1"/>
  <c r="J426" i="7"/>
  <c r="J654" i="7"/>
  <c r="D584" i="7"/>
  <c r="E584" i="7" s="1"/>
  <c r="J584" i="7"/>
  <c r="D722" i="7"/>
  <c r="E722" i="7" s="1"/>
  <c r="G722" i="7" s="1"/>
  <c r="J719" i="7"/>
  <c r="D706" i="7"/>
  <c r="E706" i="7" s="1"/>
  <c r="J706" i="7"/>
  <c r="D735" i="7"/>
  <c r="E735" i="7" s="1"/>
  <c r="J735" i="7"/>
  <c r="D713" i="7"/>
  <c r="E713" i="7" s="1"/>
  <c r="J708" i="7"/>
  <c r="J687" i="7"/>
  <c r="J685" i="7"/>
  <c r="J680" i="7"/>
  <c r="D677" i="7"/>
  <c r="E677" i="7" s="1"/>
  <c r="J677" i="7"/>
  <c r="J672" i="7"/>
  <c r="J655" i="7"/>
  <c r="D624" i="7"/>
  <c r="E624" i="7" s="1"/>
  <c r="D618" i="7"/>
  <c r="E618" i="7" s="1"/>
  <c r="D520" i="7"/>
  <c r="E520" i="7" s="1"/>
  <c r="J520" i="7"/>
  <c r="J630" i="7"/>
  <c r="J607" i="7"/>
  <c r="J589" i="7"/>
  <c r="D394" i="7"/>
  <c r="E394" i="7" s="1"/>
  <c r="J394" i="7"/>
  <c r="D626" i="7"/>
  <c r="E626" i="7" s="1"/>
  <c r="J626" i="7"/>
  <c r="J623" i="7"/>
  <c r="J577" i="7"/>
  <c r="J396" i="7"/>
  <c r="D396" i="7"/>
  <c r="E396" i="7" s="1"/>
  <c r="J611" i="7"/>
  <c r="D678" i="7"/>
  <c r="E678" i="7" s="1"/>
  <c r="D676" i="7"/>
  <c r="E676" i="7" s="1"/>
  <c r="J669" i="7"/>
  <c r="D657" i="7"/>
  <c r="E657" i="7" s="1"/>
  <c r="J652" i="7"/>
  <c r="J646" i="7"/>
  <c r="J614" i="7"/>
  <c r="D599" i="7"/>
  <c r="E599" i="7" s="1"/>
  <c r="D557" i="7"/>
  <c r="E557" i="7" s="1"/>
  <c r="D538" i="7"/>
  <c r="E538" i="7" s="1"/>
  <c r="D510" i="7"/>
  <c r="E510" i="7" s="1"/>
  <c r="J480" i="7"/>
  <c r="J476" i="7"/>
  <c r="J464" i="7"/>
  <c r="J448" i="7"/>
  <c r="J446" i="7"/>
  <c r="J436" i="7"/>
  <c r="J404" i="7"/>
  <c r="D400" i="7"/>
  <c r="E400" i="7" s="1"/>
  <c r="J370" i="7"/>
  <c r="J357" i="7"/>
  <c r="J348" i="7"/>
  <c r="J346" i="7"/>
  <c r="J550" i="7"/>
  <c r="J531" i="7"/>
  <c r="J478" i="7"/>
  <c r="J412" i="7"/>
  <c r="J366" i="7"/>
  <c r="J721" i="7"/>
  <c r="D709" i="7"/>
  <c r="D703" i="7"/>
  <c r="E703" i="7" s="1"/>
  <c r="D673" i="7"/>
  <c r="E673" i="7" s="1"/>
  <c r="D667" i="7"/>
  <c r="E667" i="7" s="1"/>
  <c r="D660" i="7"/>
  <c r="E660" i="7" s="1"/>
  <c r="D629" i="7"/>
  <c r="E629" i="7" s="1"/>
  <c r="D610" i="7"/>
  <c r="E610" i="7" s="1"/>
  <c r="D594" i="7"/>
  <c r="E594" i="7" s="1"/>
  <c r="D586" i="7"/>
  <c r="E586" i="7" s="1"/>
  <c r="J574" i="7"/>
  <c r="J556" i="7"/>
  <c r="J390" i="7"/>
  <c r="D378" i="7"/>
  <c r="E378" i="7" s="1"/>
  <c r="D372" i="7"/>
  <c r="E372" i="7" s="1"/>
  <c r="D705" i="7"/>
  <c r="E705" i="7" s="1"/>
  <c r="D699" i="7"/>
  <c r="E699" i="7" s="1"/>
  <c r="D671" i="7"/>
  <c r="E671" i="7" s="1"/>
  <c r="J632" i="7"/>
  <c r="D608" i="7"/>
  <c r="E608" i="7" s="1"/>
  <c r="J737" i="7"/>
  <c r="J733" i="7"/>
  <c r="D732" i="7"/>
  <c r="E732" i="7" s="1"/>
  <c r="G732" i="7" s="1"/>
  <c r="D668" i="7"/>
  <c r="E668" i="7" s="1"/>
  <c r="J662" i="7"/>
  <c r="D658" i="7"/>
  <c r="E658" i="7" s="1"/>
  <c r="D656" i="7"/>
  <c r="E656" i="7" s="1"/>
  <c r="D634" i="7"/>
  <c r="E634" i="7" s="1"/>
  <c r="J622" i="7"/>
  <c r="D621" i="7"/>
  <c r="E621" i="7" s="1"/>
  <c r="D615" i="7"/>
  <c r="E615" i="7" s="1"/>
  <c r="D604" i="7"/>
  <c r="E604" i="7" s="1"/>
  <c r="D592" i="7"/>
  <c r="E592" i="7" s="1"/>
  <c r="J565" i="7"/>
  <c r="D554" i="7"/>
  <c r="E554" i="7" s="1"/>
  <c r="D552" i="7"/>
  <c r="E552" i="7" s="1"/>
  <c r="J516" i="7"/>
  <c r="D490" i="7"/>
  <c r="E490" i="7" s="1"/>
  <c r="D488" i="7"/>
  <c r="E488" i="7" s="1"/>
  <c r="D482" i="7"/>
  <c r="E482" i="7" s="1"/>
  <c r="D468" i="7"/>
  <c r="E468" i="7" s="1"/>
  <c r="D466" i="7"/>
  <c r="E466" i="7" s="1"/>
  <c r="D452" i="7"/>
  <c r="E452" i="7" s="1"/>
  <c r="D438" i="7"/>
  <c r="E438" i="7" s="1"/>
  <c r="D414" i="7"/>
  <c r="E414" i="7" s="1"/>
  <c r="J403" i="7"/>
  <c r="D399" i="7"/>
  <c r="E399" i="7" s="1"/>
  <c r="D395" i="7"/>
  <c r="E395" i="7" s="1"/>
  <c r="J388" i="7"/>
  <c r="D384" i="7"/>
  <c r="E384" i="7" s="1"/>
  <c r="J373" i="7"/>
  <c r="J369" i="7"/>
  <c r="J544" i="7"/>
  <c r="J518" i="7"/>
  <c r="D511" i="7"/>
  <c r="E511" i="7" s="1"/>
  <c r="D496" i="7"/>
  <c r="E496" i="7" s="1"/>
  <c r="D484" i="7"/>
  <c r="E484" i="7" s="1"/>
  <c r="D445" i="7"/>
  <c r="E445" i="7" s="1"/>
  <c r="D435" i="7"/>
  <c r="E435" i="7" s="1"/>
  <c r="D416" i="7"/>
  <c r="E416" i="7" s="1"/>
  <c r="J349" i="7"/>
  <c r="D479" i="7"/>
  <c r="E479" i="7" s="1"/>
  <c r="D477" i="7"/>
  <c r="E477" i="7" s="1"/>
  <c r="D475" i="7"/>
  <c r="E475" i="7" s="1"/>
  <c r="D463" i="7"/>
  <c r="E463" i="7" s="1"/>
  <c r="D461" i="7"/>
  <c r="E461" i="7" s="1"/>
  <c r="D459" i="7"/>
  <c r="E459" i="7" s="1"/>
  <c r="J437" i="7"/>
  <c r="D430" i="7"/>
  <c r="E430" i="7" s="1"/>
  <c r="D420" i="7"/>
  <c r="E420" i="7" s="1"/>
  <c r="D411" i="7"/>
  <c r="E411" i="7" s="1"/>
  <c r="D379" i="7"/>
  <c r="E379" i="7" s="1"/>
  <c r="D367" i="7"/>
  <c r="E367" i="7" s="1"/>
  <c r="D363" i="7"/>
  <c r="E363" i="7" s="1"/>
  <c r="J356" i="7"/>
  <c r="J564" i="7"/>
  <c r="J560" i="7"/>
  <c r="J513" i="7"/>
  <c r="D512" i="7"/>
  <c r="E512" i="7" s="1"/>
  <c r="D509" i="7"/>
  <c r="E509" i="7" s="1"/>
  <c r="D504" i="7"/>
  <c r="E504" i="7" s="1"/>
  <c r="D500" i="7"/>
  <c r="E500" i="7" s="1"/>
  <c r="J434" i="7"/>
  <c r="J417" i="7"/>
  <c r="J406" i="7"/>
  <c r="J387" i="7"/>
  <c r="J374" i="7"/>
  <c r="D734" i="7"/>
  <c r="E734" i="7" s="1"/>
  <c r="G734" i="7" s="1"/>
  <c r="J734" i="7"/>
  <c r="D702" i="7"/>
  <c r="E702" i="7" s="1"/>
  <c r="J702" i="7"/>
  <c r="D597" i="7"/>
  <c r="E597" i="7" s="1"/>
  <c r="J597" i="7"/>
  <c r="J729" i="7"/>
  <c r="D683" i="7"/>
  <c r="E683" i="7" s="1"/>
  <c r="J683" i="7"/>
  <c r="J722" i="7"/>
  <c r="D715" i="7"/>
  <c r="E715" i="7" s="1"/>
  <c r="G715" i="7" s="1"/>
  <c r="J715" i="7"/>
  <c r="J709" i="7"/>
  <c r="D643" i="7"/>
  <c r="E643" i="7" s="1"/>
  <c r="J643" i="7"/>
  <c r="D567" i="7"/>
  <c r="E567" i="7" s="1"/>
  <c r="J567" i="7"/>
  <c r="D628" i="7"/>
  <c r="E628" i="7" s="1"/>
  <c r="J628" i="7"/>
  <c r="D579" i="7"/>
  <c r="E579" i="7" s="1"/>
  <c r="J579" i="7"/>
  <c r="J714" i="7"/>
  <c r="J642" i="7"/>
  <c r="D649" i="7"/>
  <c r="E649" i="7" s="1"/>
  <c r="J649" i="7"/>
  <c r="D696" i="7"/>
  <c r="E696" i="7" s="1"/>
  <c r="J696" i="7"/>
  <c r="J682" i="7"/>
  <c r="H725" i="7"/>
  <c r="J728" i="7"/>
  <c r="J656" i="7"/>
  <c r="D591" i="7"/>
  <c r="E591" i="7" s="1"/>
  <c r="D535" i="7"/>
  <c r="E535" i="7" s="1"/>
  <c r="J535" i="7"/>
  <c r="D498" i="7"/>
  <c r="E498" i="7" s="1"/>
  <c r="J498" i="7"/>
  <c r="J676" i="7"/>
  <c r="J727" i="7"/>
  <c r="D726" i="7"/>
  <c r="E726" i="7" s="1"/>
  <c r="G726" i="7" s="1"/>
  <c r="D720" i="7"/>
  <c r="E720" i="7" s="1"/>
  <c r="G720" i="7" s="1"/>
  <c r="D707" i="7"/>
  <c r="E707" i="7" s="1"/>
  <c r="D694" i="7"/>
  <c r="E694" i="7" s="1"/>
  <c r="D688" i="7"/>
  <c r="E688" i="7" s="1"/>
  <c r="D681" i="7"/>
  <c r="E681" i="7" s="1"/>
  <c r="D675" i="7"/>
  <c r="E675" i="7" s="1"/>
  <c r="D674" i="7"/>
  <c r="E674" i="7" s="1"/>
  <c r="D661" i="7"/>
  <c r="E661" i="7" s="1"/>
  <c r="D655" i="7"/>
  <c r="E655" i="7" s="1"/>
  <c r="D654" i="7"/>
  <c r="E654" i="7" s="1"/>
  <c r="D641" i="7"/>
  <c r="E641" i="7" s="1"/>
  <c r="D620" i="7"/>
  <c r="E620" i="7" s="1"/>
  <c r="J596" i="7"/>
  <c r="D569" i="7"/>
  <c r="E569" i="7" s="1"/>
  <c r="J569" i="7"/>
  <c r="D714" i="7"/>
  <c r="E714" i="7" s="1"/>
  <c r="G714" i="7" s="1"/>
  <c r="J668" i="7"/>
  <c r="D666" i="7"/>
  <c r="E666" i="7" s="1"/>
  <c r="D646" i="7"/>
  <c r="E646" i="7" s="1"/>
  <c r="D632" i="7"/>
  <c r="E632" i="7" s="1"/>
  <c r="D622" i="7"/>
  <c r="E622" i="7" s="1"/>
  <c r="D566" i="7"/>
  <c r="E566" i="7" s="1"/>
  <c r="J566" i="7"/>
  <c r="D519" i="7"/>
  <c r="E519" i="7" s="1"/>
  <c r="J519" i="7"/>
  <c r="J460" i="7"/>
  <c r="D460" i="7"/>
  <c r="E460" i="7" s="1"/>
  <c r="D708" i="7"/>
  <c r="E708" i="7" s="1"/>
  <c r="D633" i="7"/>
  <c r="E633" i="7" s="1"/>
  <c r="J633" i="7"/>
  <c r="D631" i="7"/>
  <c r="E631" i="7" s="1"/>
  <c r="J631" i="7"/>
  <c r="D617" i="7"/>
  <c r="E617" i="7" s="1"/>
  <c r="J617" i="7"/>
  <c r="D563" i="7"/>
  <c r="E563" i="7" s="1"/>
  <c r="J563" i="7"/>
  <c r="D669" i="7"/>
  <c r="E669" i="7" s="1"/>
  <c r="J731" i="7"/>
  <c r="D724" i="7"/>
  <c r="E724" i="7" s="1"/>
  <c r="G724" i="7" s="1"/>
  <c r="J712" i="7"/>
  <c r="D711" i="7"/>
  <c r="J699" i="7"/>
  <c r="D698" i="7"/>
  <c r="E698" i="7" s="1"/>
  <c r="D692" i="7"/>
  <c r="E692" i="7" s="1"/>
  <c r="J686" i="7"/>
  <c r="D679" i="7"/>
  <c r="E679" i="7" s="1"/>
  <c r="J673" i="7"/>
  <c r="D665" i="7"/>
  <c r="D659" i="7"/>
  <c r="E659" i="7" s="1"/>
  <c r="J653" i="7"/>
  <c r="D645" i="7"/>
  <c r="E645" i="7" s="1"/>
  <c r="D639" i="7"/>
  <c r="E639" i="7" s="1"/>
  <c r="J624" i="7"/>
  <c r="D580" i="7"/>
  <c r="E580" i="7" s="1"/>
  <c r="J580" i="7"/>
  <c r="D568" i="7"/>
  <c r="E568" i="7" s="1"/>
  <c r="J568" i="7"/>
  <c r="D525" i="7"/>
  <c r="E525" i="7" s="1"/>
  <c r="J525" i="7"/>
  <c r="D695" i="7"/>
  <c r="E695" i="7" s="1"/>
  <c r="D730" i="7"/>
  <c r="E730" i="7" s="1"/>
  <c r="G730" i="7" s="1"/>
  <c r="J718" i="7"/>
  <c r="D736" i="7"/>
  <c r="E736" i="7" s="1"/>
  <c r="G736" i="7" s="1"/>
  <c r="J730" i="7"/>
  <c r="J724" i="7"/>
  <c r="D723" i="7"/>
  <c r="E723" i="7" s="1"/>
  <c r="G723" i="7" s="1"/>
  <c r="J711" i="7"/>
  <c r="D710" i="7"/>
  <c r="D704" i="7"/>
  <c r="E704" i="7" s="1"/>
  <c r="J698" i="7"/>
  <c r="J692" i="7"/>
  <c r="D691" i="7"/>
  <c r="E691" i="7" s="1"/>
  <c r="J679" i="7"/>
  <c r="J665" i="7"/>
  <c r="J659" i="7"/>
  <c r="D651" i="7"/>
  <c r="E651" i="7" s="1"/>
  <c r="D650" i="7"/>
  <c r="E650" i="7" s="1"/>
  <c r="J645" i="7"/>
  <c r="D637" i="7"/>
  <c r="E637" i="7" s="1"/>
  <c r="D635" i="7"/>
  <c r="E635" i="7" s="1"/>
  <c r="J629" i="7"/>
  <c r="J608" i="7"/>
  <c r="D472" i="7"/>
  <c r="E472" i="7" s="1"/>
  <c r="J472" i="7"/>
  <c r="D670" i="7"/>
  <c r="E670" i="7" s="1"/>
  <c r="D601" i="7"/>
  <c r="E601" i="7" s="1"/>
  <c r="J601" i="7"/>
  <c r="J591" i="7"/>
  <c r="D562" i="7"/>
  <c r="E562" i="7" s="1"/>
  <c r="J562" i="7"/>
  <c r="J558" i="7"/>
  <c r="D638" i="7"/>
  <c r="E638" i="7" s="1"/>
  <c r="D627" i="7"/>
  <c r="E627" i="7" s="1"/>
  <c r="D611" i="7"/>
  <c r="E611" i="7" s="1"/>
  <c r="D595" i="7"/>
  <c r="E595" i="7" s="1"/>
  <c r="D589" i="7"/>
  <c r="E589" i="7" s="1"/>
  <c r="D577" i="7"/>
  <c r="E577" i="7" s="1"/>
  <c r="J557" i="7"/>
  <c r="D527" i="7"/>
  <c r="E527" i="7" s="1"/>
  <c r="J527" i="7"/>
  <c r="J524" i="7"/>
  <c r="D587" i="7"/>
  <c r="E587" i="7" s="1"/>
  <c r="J587" i="7"/>
  <c r="D574" i="7"/>
  <c r="E574" i="7" s="1"/>
  <c r="D529" i="7"/>
  <c r="E529" i="7" s="1"/>
  <c r="J529" i="7"/>
  <c r="D419" i="7"/>
  <c r="E419" i="7" s="1"/>
  <c r="J419" i="7"/>
  <c r="D539" i="7"/>
  <c r="E539" i="7" s="1"/>
  <c r="J539" i="7"/>
  <c r="D518" i="7"/>
  <c r="E518" i="7" s="1"/>
  <c r="D493" i="7"/>
  <c r="E493" i="7" s="1"/>
  <c r="J493" i="7"/>
  <c r="D625" i="7"/>
  <c r="E625" i="7" s="1"/>
  <c r="J615" i="7"/>
  <c r="D609" i="7"/>
  <c r="E609" i="7" s="1"/>
  <c r="J599" i="7"/>
  <c r="D593" i="7"/>
  <c r="E593" i="7" s="1"/>
  <c r="D585" i="7"/>
  <c r="E585" i="7" s="1"/>
  <c r="J575" i="7"/>
  <c r="D573" i="7"/>
  <c r="E573" i="7" s="1"/>
  <c r="D545" i="7"/>
  <c r="E545" i="7" s="1"/>
  <c r="D543" i="7"/>
  <c r="E543" i="7" s="1"/>
  <c r="J543" i="7"/>
  <c r="D541" i="7"/>
  <c r="E541" i="7" s="1"/>
  <c r="J625" i="7"/>
  <c r="D619" i="7"/>
  <c r="E619" i="7" s="1"/>
  <c r="J609" i="7"/>
  <c r="D603" i="7"/>
  <c r="E603" i="7" s="1"/>
  <c r="J593" i="7"/>
  <c r="D583" i="7"/>
  <c r="E583" i="7" s="1"/>
  <c r="D571" i="7"/>
  <c r="E571" i="7" s="1"/>
  <c r="J571" i="7"/>
  <c r="D555" i="7"/>
  <c r="E555" i="7" s="1"/>
  <c r="J555" i="7"/>
  <c r="D551" i="7"/>
  <c r="E551" i="7" s="1"/>
  <c r="J536" i="7"/>
  <c r="D534" i="7"/>
  <c r="E534" i="7" s="1"/>
  <c r="F478" i="7"/>
  <c r="D559" i="7"/>
  <c r="E559" i="7" s="1"/>
  <c r="J559" i="7"/>
  <c r="D517" i="7"/>
  <c r="E517" i="7" s="1"/>
  <c r="D514" i="7"/>
  <c r="E514" i="7" s="1"/>
  <c r="D455" i="7"/>
  <c r="E455" i="7" s="1"/>
  <c r="J455" i="7"/>
  <c r="J445" i="7"/>
  <c r="D443" i="7"/>
  <c r="E443" i="7" s="1"/>
  <c r="J443" i="7"/>
  <c r="D581" i="7"/>
  <c r="E581" i="7" s="1"/>
  <c r="D565" i="7"/>
  <c r="E565" i="7" s="1"/>
  <c r="D549" i="7"/>
  <c r="E549" i="7" s="1"/>
  <c r="D533" i="7"/>
  <c r="E533" i="7" s="1"/>
  <c r="D515" i="7"/>
  <c r="E515" i="7" s="1"/>
  <c r="D492" i="7"/>
  <c r="E492" i="7" s="1"/>
  <c r="D471" i="7"/>
  <c r="E471" i="7" s="1"/>
  <c r="J471" i="7"/>
  <c r="J456" i="7"/>
  <c r="D553" i="7"/>
  <c r="E553" i="7" s="1"/>
  <c r="D537" i="7"/>
  <c r="E537" i="7" s="1"/>
  <c r="D521" i="7"/>
  <c r="E521" i="7" s="1"/>
  <c r="J515" i="7"/>
  <c r="J506" i="7"/>
  <c r="D487" i="7"/>
  <c r="E487" i="7" s="1"/>
  <c r="J487" i="7"/>
  <c r="J482" i="7"/>
  <c r="J477" i="7"/>
  <c r="D450" i="7"/>
  <c r="E450" i="7" s="1"/>
  <c r="D442" i="7"/>
  <c r="E442" i="7" s="1"/>
  <c r="D432" i="7"/>
  <c r="E432" i="7" s="1"/>
  <c r="D397" i="7"/>
  <c r="E397" i="7" s="1"/>
  <c r="J397" i="7"/>
  <c r="D503" i="7"/>
  <c r="E503" i="7" s="1"/>
  <c r="J503" i="7"/>
  <c r="D444" i="7"/>
  <c r="E444" i="7" s="1"/>
  <c r="J444" i="7"/>
  <c r="D424" i="7"/>
  <c r="E424" i="7" s="1"/>
  <c r="J424" i="7"/>
  <c r="D513" i="7"/>
  <c r="E513" i="7" s="1"/>
  <c r="D497" i="7"/>
  <c r="E497" i="7" s="1"/>
  <c r="D481" i="7"/>
  <c r="E481" i="7" s="1"/>
  <c r="D465" i="7"/>
  <c r="E465" i="7" s="1"/>
  <c r="D449" i="7"/>
  <c r="E449" i="7" s="1"/>
  <c r="J435" i="7"/>
  <c r="D434" i="7"/>
  <c r="E434" i="7" s="1"/>
  <c r="J402" i="7"/>
  <c r="D370" i="7"/>
  <c r="E370" i="7" s="1"/>
  <c r="J360" i="7"/>
  <c r="D429" i="7"/>
  <c r="E429" i="7" s="1"/>
  <c r="J429" i="7"/>
  <c r="J507" i="7"/>
  <c r="D501" i="7"/>
  <c r="E501" i="7" s="1"/>
  <c r="J491" i="7"/>
  <c r="D485" i="7"/>
  <c r="E485" i="7" s="1"/>
  <c r="J475" i="7"/>
  <c r="D469" i="7"/>
  <c r="E469" i="7" s="1"/>
  <c r="J459" i="7"/>
  <c r="D453" i="7"/>
  <c r="E453" i="7" s="1"/>
  <c r="D354" i="7"/>
  <c r="E354" i="7" s="1"/>
  <c r="D348" i="7"/>
  <c r="E348" i="7" s="1"/>
  <c r="D446" i="7"/>
  <c r="E446" i="7" s="1"/>
  <c r="D439" i="7"/>
  <c r="E439" i="7" s="1"/>
  <c r="J439" i="7"/>
  <c r="D413" i="7"/>
  <c r="E413" i="7" s="1"/>
  <c r="J413" i="7"/>
  <c r="D381" i="7"/>
  <c r="E381" i="7" s="1"/>
  <c r="J381" i="7"/>
  <c r="J495" i="7"/>
  <c r="D489" i="7"/>
  <c r="E489" i="7" s="1"/>
  <c r="J479" i="7"/>
  <c r="J463" i="7"/>
  <c r="J447" i="7"/>
  <c r="D386" i="7"/>
  <c r="E386" i="7" s="1"/>
  <c r="J386" i="7"/>
  <c r="J505" i="7"/>
  <c r="D499" i="7"/>
  <c r="E499" i="7" s="1"/>
  <c r="J489" i="7"/>
  <c r="D483" i="7"/>
  <c r="E483" i="7" s="1"/>
  <c r="J473" i="7"/>
  <c r="D467" i="7"/>
  <c r="E467" i="7" s="1"/>
  <c r="J457" i="7"/>
  <c r="D451" i="7"/>
  <c r="E451" i="7" s="1"/>
  <c r="D440" i="7"/>
  <c r="E440" i="7" s="1"/>
  <c r="J438" i="7"/>
  <c r="D431" i="7"/>
  <c r="E431" i="7" s="1"/>
  <c r="J431" i="7"/>
  <c r="J414" i="7"/>
  <c r="D365" i="7"/>
  <c r="E365" i="7" s="1"/>
  <c r="J365" i="7"/>
  <c r="D423" i="7"/>
  <c r="E423" i="7" s="1"/>
  <c r="D407" i="7"/>
  <c r="E407" i="7" s="1"/>
  <c r="D391" i="7"/>
  <c r="E391" i="7" s="1"/>
  <c r="D375" i="7"/>
  <c r="E375" i="7" s="1"/>
  <c r="D359" i="7"/>
  <c r="E359" i="7" s="1"/>
  <c r="D433" i="7"/>
  <c r="E433" i="7" s="1"/>
  <c r="J423" i="7"/>
  <c r="J407" i="7"/>
  <c r="H403" i="7"/>
  <c r="D401" i="7"/>
  <c r="E401" i="7" s="1"/>
  <c r="J391" i="7"/>
  <c r="J375" i="7"/>
  <c r="D369" i="7"/>
  <c r="E369" i="7" s="1"/>
  <c r="J359" i="7"/>
  <c r="D353" i="7"/>
  <c r="E353" i="7" s="1"/>
  <c r="D437" i="7"/>
  <c r="E437" i="7" s="1"/>
  <c r="J427" i="7"/>
  <c r="J411" i="7"/>
  <c r="J395" i="7"/>
  <c r="J379" i="7"/>
  <c r="J363" i="7"/>
  <c r="D441" i="7"/>
  <c r="E441" i="7" s="1"/>
  <c r="D425" i="7"/>
  <c r="E425" i="7" s="1"/>
  <c r="J415" i="7"/>
  <c r="D409" i="7"/>
  <c r="E409" i="7" s="1"/>
  <c r="J399" i="7"/>
  <c r="D393" i="7"/>
  <c r="E393" i="7" s="1"/>
  <c r="J383" i="7"/>
  <c r="D377" i="7"/>
  <c r="E377" i="7" s="1"/>
  <c r="J367" i="7"/>
  <c r="D361" i="7"/>
  <c r="E361" i="7" s="1"/>
  <c r="J351" i="7"/>
  <c r="J377" i="7"/>
  <c r="D371" i="7"/>
  <c r="E371" i="7" s="1"/>
  <c r="J361" i="7"/>
  <c r="D355" i="7"/>
  <c r="E355" i="7" s="1"/>
  <c r="C3" i="4"/>
  <c r="C17" i="4"/>
  <c r="C4" i="4"/>
  <c r="C5" i="4"/>
  <c r="C6" i="4"/>
  <c r="T6" i="7" s="1"/>
  <c r="C7" i="4"/>
  <c r="T7" i="7" s="1"/>
  <c r="C8" i="4"/>
  <c r="T8" i="7" s="1"/>
  <c r="C9" i="4"/>
  <c r="C10" i="4"/>
  <c r="C11" i="4"/>
  <c r="C12" i="4"/>
  <c r="C13" i="4"/>
  <c r="C14" i="4"/>
  <c r="C15" i="4"/>
  <c r="C16" i="4"/>
  <c r="C18" i="4"/>
  <c r="C19" i="4"/>
  <c r="C20" i="4"/>
  <c r="C21" i="4"/>
  <c r="C22" i="4"/>
  <c r="D8" i="4"/>
  <c r="E710" i="7" l="1"/>
  <c r="G710" i="7" s="1"/>
  <c r="E709" i="7"/>
  <c r="E712" i="7"/>
  <c r="G712" i="7" s="1"/>
  <c r="E711" i="7"/>
  <c r="G711" i="7" s="1"/>
  <c r="G423" i="7"/>
  <c r="G453" i="7"/>
  <c r="G595" i="7"/>
  <c r="H525" i="7"/>
  <c r="G678" i="7"/>
  <c r="G524" i="7"/>
  <c r="F415" i="7"/>
  <c r="F349" i="7"/>
  <c r="G405" i="7"/>
  <c r="G612" i="7"/>
  <c r="G696" i="7"/>
  <c r="F394" i="7"/>
  <c r="G428" i="7"/>
  <c r="G357" i="7"/>
  <c r="G572" i="7"/>
  <c r="H361" i="7"/>
  <c r="G425" i="7"/>
  <c r="G353" i="7"/>
  <c r="G365" i="7"/>
  <c r="F467" i="7"/>
  <c r="G413" i="7"/>
  <c r="G469" i="7"/>
  <c r="G449" i="7"/>
  <c r="F444" i="7"/>
  <c r="G442" i="7"/>
  <c r="G521" i="7"/>
  <c r="G515" i="7"/>
  <c r="H559" i="7"/>
  <c r="G571" i="7"/>
  <c r="G541" i="7"/>
  <c r="G539" i="7"/>
  <c r="H627" i="7"/>
  <c r="G601" i="7"/>
  <c r="G635" i="7"/>
  <c r="G691" i="7"/>
  <c r="F568" i="7"/>
  <c r="G519" i="7"/>
  <c r="G661" i="7"/>
  <c r="H582" i="7"/>
  <c r="G542" i="7"/>
  <c r="G686" i="7"/>
  <c r="G390" i="7"/>
  <c r="G707" i="7"/>
  <c r="G430" i="7"/>
  <c r="G570" i="7"/>
  <c r="F506" i="7"/>
  <c r="G386" i="7"/>
  <c r="G492" i="7"/>
  <c r="G416" i="7"/>
  <c r="H631" i="7"/>
  <c r="G674" i="7"/>
  <c r="G649" i="7"/>
  <c r="G628" i="7"/>
  <c r="F702" i="7"/>
  <c r="G500" i="7"/>
  <c r="G384" i="7"/>
  <c r="G658" i="7"/>
  <c r="F671" i="7"/>
  <c r="G630" i="7"/>
  <c r="G687" i="7"/>
  <c r="F685" i="7"/>
  <c r="F690" i="7"/>
  <c r="G623" i="7"/>
  <c r="G385" i="7"/>
  <c r="G491" i="7"/>
  <c r="F663" i="7"/>
  <c r="G358" i="7"/>
  <c r="G613" i="7"/>
  <c r="H448" i="7"/>
  <c r="H397" i="7"/>
  <c r="G654" i="7"/>
  <c r="G414" i="7"/>
  <c r="G550" i="7"/>
  <c r="F443" i="7"/>
  <c r="G611" i="7"/>
  <c r="G441" i="7"/>
  <c r="G369" i="7"/>
  <c r="F553" i="7"/>
  <c r="G549" i="7"/>
  <c r="G455" i="7"/>
  <c r="G534" i="7"/>
  <c r="F543" i="7"/>
  <c r="G419" i="7"/>
  <c r="G527" i="7"/>
  <c r="G580" i="7"/>
  <c r="H679" i="7"/>
  <c r="G566" i="7"/>
  <c r="G569" i="7"/>
  <c r="G675" i="7"/>
  <c r="F484" i="7"/>
  <c r="G699" i="7"/>
  <c r="G677" i="7"/>
  <c r="G680" i="7"/>
  <c r="F464" i="7"/>
  <c r="G588" i="7"/>
  <c r="G480" i="7"/>
  <c r="G366" i="7"/>
  <c r="F347" i="7"/>
  <c r="G373" i="7"/>
  <c r="G456" i="7"/>
  <c r="G434" i="7"/>
  <c r="F585" i="7"/>
  <c r="G667" i="7"/>
  <c r="H624" i="7"/>
  <c r="G437" i="7"/>
  <c r="H432" i="7"/>
  <c r="G593" i="7"/>
  <c r="G659" i="7"/>
  <c r="G655" i="7"/>
  <c r="F579" i="7"/>
  <c r="G438" i="7"/>
  <c r="G673" i="7"/>
  <c r="F404" i="7"/>
  <c r="F433" i="7"/>
  <c r="G533" i="7"/>
  <c r="G670" i="7"/>
  <c r="G446" i="7"/>
  <c r="F370" i="7"/>
  <c r="G514" i="7"/>
  <c r="G603" i="7"/>
  <c r="G545" i="7"/>
  <c r="F625" i="7"/>
  <c r="G472" i="7"/>
  <c r="G650" i="7"/>
  <c r="G704" i="7"/>
  <c r="H669" i="7"/>
  <c r="G633" i="7"/>
  <c r="G622" i="7"/>
  <c r="G681" i="7"/>
  <c r="F567" i="7"/>
  <c r="G683" i="7"/>
  <c r="G509" i="7"/>
  <c r="G482" i="7"/>
  <c r="H668" i="7"/>
  <c r="G705" i="7"/>
  <c r="G657" i="7"/>
  <c r="G700" i="7"/>
  <c r="H474" i="7"/>
  <c r="G387" i="7"/>
  <c r="G495" i="7"/>
  <c r="G382" i="7"/>
  <c r="F352" i="7"/>
  <c r="G523" i="7"/>
  <c r="G402" i="7"/>
  <c r="F406" i="7"/>
  <c r="G642" i="7"/>
  <c r="G381" i="7"/>
  <c r="G424" i="7"/>
  <c r="G518" i="7"/>
  <c r="H535" i="7"/>
  <c r="H575" i="7"/>
  <c r="G587" i="7"/>
  <c r="G584" i="7"/>
  <c r="H429" i="7"/>
  <c r="G450" i="7"/>
  <c r="G537" i="7"/>
  <c r="G583" i="7"/>
  <c r="H609" i="7"/>
  <c r="G638" i="7"/>
  <c r="G377" i="7"/>
  <c r="G359" i="7"/>
  <c r="H483" i="7"/>
  <c r="G485" i="7"/>
  <c r="G355" i="7"/>
  <c r="G375" i="7"/>
  <c r="F489" i="7"/>
  <c r="G499" i="7"/>
  <c r="G348" i="7"/>
  <c r="G513" i="7"/>
  <c r="G551" i="7"/>
  <c r="G573" i="7"/>
  <c r="G577" i="7"/>
  <c r="G695" i="7"/>
  <c r="G639" i="7"/>
  <c r="G692" i="7"/>
  <c r="G708" i="7"/>
  <c r="G632" i="7"/>
  <c r="F620" i="7"/>
  <c r="G688" i="7"/>
  <c r="G498" i="7"/>
  <c r="G512" i="7"/>
  <c r="H477" i="7"/>
  <c r="G511" i="7"/>
  <c r="G399" i="7"/>
  <c r="G488" i="7"/>
  <c r="H615" i="7"/>
  <c r="F372" i="7"/>
  <c r="G629" i="7"/>
  <c r="H629" i="7"/>
  <c r="H400" i="7"/>
  <c r="F510" i="7"/>
  <c r="G520" i="7"/>
  <c r="H636" i="7"/>
  <c r="F636" i="7"/>
  <c r="G600" i="7"/>
  <c r="H362" i="7"/>
  <c r="F522" i="7"/>
  <c r="H360" i="7"/>
  <c r="F346" i="7"/>
  <c r="H558" i="7"/>
  <c r="G526" i="7"/>
  <c r="G447" i="7"/>
  <c r="H447" i="7"/>
  <c r="F536" i="7"/>
  <c r="F409" i="7"/>
  <c r="G451" i="7"/>
  <c r="G471" i="7"/>
  <c r="G555" i="7"/>
  <c r="H666" i="7"/>
  <c r="G557" i="7"/>
  <c r="G502" i="7"/>
  <c r="H590" i="7"/>
  <c r="H616" i="7"/>
  <c r="F476" i="7"/>
  <c r="G662" i="7"/>
  <c r="F662" i="7"/>
  <c r="F617" i="7"/>
  <c r="G591" i="7"/>
  <c r="G597" i="7"/>
  <c r="G380" i="7"/>
  <c r="F427" i="7"/>
  <c r="G465" i="7"/>
  <c r="G637" i="7"/>
  <c r="G439" i="7"/>
  <c r="H481" i="7"/>
  <c r="G431" i="7"/>
  <c r="G497" i="7"/>
  <c r="G565" i="7"/>
  <c r="H393" i="7"/>
  <c r="G391" i="7"/>
  <c r="G501" i="7"/>
  <c r="G503" i="7"/>
  <c r="H581" i="7"/>
  <c r="G517" i="7"/>
  <c r="G529" i="7"/>
  <c r="G651" i="7"/>
  <c r="F371" i="7"/>
  <c r="G401" i="7"/>
  <c r="G407" i="7"/>
  <c r="G440" i="7"/>
  <c r="H354" i="7"/>
  <c r="G487" i="7"/>
  <c r="G619" i="7"/>
  <c r="G493" i="7"/>
  <c r="H574" i="7"/>
  <c r="G589" i="7"/>
  <c r="G562" i="7"/>
  <c r="G645" i="7"/>
  <c r="H698" i="7"/>
  <c r="G563" i="7"/>
  <c r="G460" i="7"/>
  <c r="G646" i="7"/>
  <c r="F641" i="7"/>
  <c r="G694" i="7"/>
  <c r="G643" i="7"/>
  <c r="F378" i="7"/>
  <c r="H676" i="7"/>
  <c r="G618" i="7"/>
  <c r="G653" i="7"/>
  <c r="G412" i="7"/>
  <c r="G410" i="7"/>
  <c r="G540" i="7"/>
  <c r="G418" i="7"/>
  <c r="H418" i="7"/>
  <c r="F356" i="7"/>
  <c r="F383" i="7"/>
  <c r="G392" i="7"/>
  <c r="G454" i="7"/>
  <c r="F614" i="7"/>
  <c r="F447" i="7"/>
  <c r="H387" i="7"/>
  <c r="F718" i="7"/>
  <c r="F600" i="7"/>
  <c r="F448" i="7"/>
  <c r="F418" i="7"/>
  <c r="H416" i="7"/>
  <c r="D7" i="4"/>
  <c r="D6" i="4"/>
  <c r="H662" i="7"/>
  <c r="H476" i="7"/>
  <c r="G398" i="7"/>
  <c r="H398" i="7"/>
  <c r="F398" i="7"/>
  <c r="H399" i="7"/>
  <c r="H488" i="7"/>
  <c r="F491" i="7"/>
  <c r="J739" i="7"/>
  <c r="F399" i="7"/>
  <c r="F488" i="7"/>
  <c r="H491" i="7"/>
  <c r="H572" i="7"/>
  <c r="H685" i="7"/>
  <c r="F572" i="7"/>
  <c r="G374" i="7"/>
  <c r="F374" i="7"/>
  <c r="G739" i="7"/>
  <c r="F739" i="7"/>
  <c r="H739" i="7"/>
  <c r="G536" i="7"/>
  <c r="H612" i="7"/>
  <c r="F712" i="7"/>
  <c r="F612" i="7"/>
  <c r="H712" i="7"/>
  <c r="F687" i="7"/>
  <c r="H687" i="7"/>
  <c r="F416" i="7"/>
  <c r="D421" i="7"/>
  <c r="E421" i="7" s="1"/>
  <c r="F414" i="7"/>
  <c r="D561" i="7"/>
  <c r="E561" i="7" s="1"/>
  <c r="H667" i="7"/>
  <c r="D602" i="7"/>
  <c r="E602" i="7" s="1"/>
  <c r="D578" i="7"/>
  <c r="E578" i="7" s="1"/>
  <c r="H600" i="7"/>
  <c r="F721" i="7"/>
  <c r="H414" i="7"/>
  <c r="H406" i="7"/>
  <c r="H412" i="7"/>
  <c r="F412" i="7"/>
  <c r="H382" i="7"/>
  <c r="F382" i="7"/>
  <c r="H721" i="7"/>
  <c r="H388" i="7"/>
  <c r="G388" i="7"/>
  <c r="F379" i="7"/>
  <c r="G379" i="7"/>
  <c r="F475" i="7"/>
  <c r="G475" i="7"/>
  <c r="F468" i="7"/>
  <c r="G468" i="7"/>
  <c r="F592" i="7"/>
  <c r="G592" i="7"/>
  <c r="H594" i="7"/>
  <c r="G594" i="7"/>
  <c r="F426" i="7"/>
  <c r="G426" i="7"/>
  <c r="H647" i="7"/>
  <c r="G647" i="7"/>
  <c r="H560" i="7"/>
  <c r="G560" i="7"/>
  <c r="F693" i="7"/>
  <c r="G693" i="7"/>
  <c r="F494" i="7"/>
  <c r="G494" i="7"/>
  <c r="F436" i="7"/>
  <c r="G436" i="7"/>
  <c r="F531" i="7"/>
  <c r="G531" i="7"/>
  <c r="F564" i="7"/>
  <c r="G564" i="7"/>
  <c r="H648" i="7"/>
  <c r="G648" i="7"/>
  <c r="F408" i="7"/>
  <c r="G408" i="7"/>
  <c r="F606" i="7"/>
  <c r="G606" i="7"/>
  <c r="F360" i="7"/>
  <c r="G360" i="7"/>
  <c r="F411" i="7"/>
  <c r="G411" i="7"/>
  <c r="H496" i="7"/>
  <c r="G496" i="7"/>
  <c r="F395" i="7"/>
  <c r="G395" i="7"/>
  <c r="H604" i="7"/>
  <c r="G604" i="7"/>
  <c r="F610" i="7"/>
  <c r="G610" i="7"/>
  <c r="F731" i="7"/>
  <c r="G731" i="7"/>
  <c r="F716" i="7"/>
  <c r="G716" i="7"/>
  <c r="F458" i="7"/>
  <c r="G458" i="7"/>
  <c r="F727" i="7"/>
  <c r="G727" i="7"/>
  <c r="F682" i="7"/>
  <c r="G682" i="7"/>
  <c r="G346" i="7"/>
  <c r="F376" i="7"/>
  <c r="G376" i="7"/>
  <c r="H478" i="7"/>
  <c r="G478" i="7"/>
  <c r="H420" i="7"/>
  <c r="G420" i="7"/>
  <c r="F479" i="7"/>
  <c r="G479" i="7"/>
  <c r="H372" i="7"/>
  <c r="G372" i="7"/>
  <c r="F400" i="7"/>
  <c r="G400" i="7"/>
  <c r="F624" i="7"/>
  <c r="G624" i="7"/>
  <c r="G636" i="7"/>
  <c r="H717" i="7"/>
  <c r="G717" i="7"/>
  <c r="H457" i="7"/>
  <c r="G457" i="7"/>
  <c r="F701" i="7"/>
  <c r="G701" i="7"/>
  <c r="H516" i="7"/>
  <c r="G516" i="7"/>
  <c r="F470" i="7"/>
  <c r="G470" i="7"/>
  <c r="H546" i="7"/>
  <c r="G546" i="7"/>
  <c r="H652" i="7"/>
  <c r="G652" i="7"/>
  <c r="G575" i="7"/>
  <c r="H528" i="7"/>
  <c r="G528" i="7"/>
  <c r="H356" i="7"/>
  <c r="G356" i="7"/>
  <c r="G383" i="7"/>
  <c r="G614" i="7"/>
  <c r="H490" i="7"/>
  <c r="G490" i="7"/>
  <c r="H621" i="7"/>
  <c r="G621" i="7"/>
  <c r="F660" i="7"/>
  <c r="G660" i="7"/>
  <c r="F538" i="7"/>
  <c r="G538" i="7"/>
  <c r="F713" i="7"/>
  <c r="G713" i="7"/>
  <c r="F640" i="7"/>
  <c r="G640" i="7"/>
  <c r="F368" i="7"/>
  <c r="G368" i="7"/>
  <c r="H596" i="7"/>
  <c r="G596" i="7"/>
  <c r="F417" i="7"/>
  <c r="G417" i="7"/>
  <c r="F508" i="7"/>
  <c r="G508" i="7"/>
  <c r="F532" i="7"/>
  <c r="G532" i="7"/>
  <c r="G590" i="7"/>
  <c r="H598" i="7"/>
  <c r="G598" i="7"/>
  <c r="F403" i="7"/>
  <c r="G403" i="7"/>
  <c r="F697" i="7"/>
  <c r="G697" i="7"/>
  <c r="F507" i="7"/>
  <c r="G507" i="7"/>
  <c r="F459" i="7"/>
  <c r="G459" i="7"/>
  <c r="F552" i="7"/>
  <c r="G552" i="7"/>
  <c r="F634" i="7"/>
  <c r="G634" i="7"/>
  <c r="F608" i="7"/>
  <c r="G608" i="7"/>
  <c r="F735" i="7"/>
  <c r="G735" i="7"/>
  <c r="H404" i="7"/>
  <c r="G404" i="7"/>
  <c r="F486" i="7"/>
  <c r="G486" i="7"/>
  <c r="F576" i="7"/>
  <c r="G576" i="7"/>
  <c r="H505" i="7"/>
  <c r="G505" i="7"/>
  <c r="H522" i="7"/>
  <c r="G522" i="7"/>
  <c r="H719" i="7"/>
  <c r="G719" i="7"/>
  <c r="H672" i="7"/>
  <c r="G672" i="7"/>
  <c r="F363" i="7"/>
  <c r="G363" i="7"/>
  <c r="F461" i="7"/>
  <c r="G461" i="7"/>
  <c r="H435" i="7"/>
  <c r="G435" i="7"/>
  <c r="F452" i="7"/>
  <c r="G452" i="7"/>
  <c r="H554" i="7"/>
  <c r="G554" i="7"/>
  <c r="H656" i="7"/>
  <c r="G656" i="7"/>
  <c r="F703" i="7"/>
  <c r="G703" i="7"/>
  <c r="F599" i="7"/>
  <c r="G599" i="7"/>
  <c r="F733" i="7"/>
  <c r="G733" i="7"/>
  <c r="F544" i="7"/>
  <c r="G544" i="7"/>
  <c r="F473" i="7"/>
  <c r="G473" i="7"/>
  <c r="F530" i="7"/>
  <c r="G530" i="7"/>
  <c r="F689" i="7"/>
  <c r="G689" i="7"/>
  <c r="F504" i="7"/>
  <c r="G504" i="7"/>
  <c r="H367" i="7"/>
  <c r="G367" i="7"/>
  <c r="F463" i="7"/>
  <c r="G463" i="7"/>
  <c r="F445" i="7"/>
  <c r="G445" i="7"/>
  <c r="F466" i="7"/>
  <c r="G466" i="7"/>
  <c r="F586" i="7"/>
  <c r="G586" i="7"/>
  <c r="F709" i="7"/>
  <c r="G709" i="7"/>
  <c r="H626" i="7"/>
  <c r="G626" i="7"/>
  <c r="H706" i="7"/>
  <c r="G706" i="7"/>
  <c r="F422" i="7"/>
  <c r="G422" i="7"/>
  <c r="H415" i="7"/>
  <c r="G415" i="7"/>
  <c r="F556" i="7"/>
  <c r="G556" i="7"/>
  <c r="F644" i="7"/>
  <c r="G644" i="7"/>
  <c r="F351" i="7"/>
  <c r="G351" i="7"/>
  <c r="H428" i="7"/>
  <c r="F500" i="7"/>
  <c r="H718" i="7"/>
  <c r="F680" i="7"/>
  <c r="H576" i="7"/>
  <c r="D548" i="7"/>
  <c r="E548" i="7" s="1"/>
  <c r="H557" i="7"/>
  <c r="F672" i="7"/>
  <c r="J454" i="7"/>
  <c r="J385" i="7"/>
  <c r="H530" i="7"/>
  <c r="F554" i="7"/>
  <c r="H713" i="7"/>
  <c r="F390" i="7"/>
  <c r="H644" i="7"/>
  <c r="H556" i="7"/>
  <c r="H680" i="7"/>
  <c r="F430" i="7"/>
  <c r="H677" i="7"/>
  <c r="H461" i="7"/>
  <c r="D350" i="7"/>
  <c r="E350" i="7" s="1"/>
  <c r="H374" i="7"/>
  <c r="F387" i="7"/>
  <c r="D389" i="7"/>
  <c r="E389" i="7" s="1"/>
  <c r="F505" i="7"/>
  <c r="H693" i="7"/>
  <c r="J523" i="7"/>
  <c r="F623" i="7"/>
  <c r="J358" i="7"/>
  <c r="H735" i="7"/>
  <c r="J663" i="7"/>
  <c r="H509" i="7"/>
  <c r="F380" i="7"/>
  <c r="H445" i="7"/>
  <c r="H379" i="7"/>
  <c r="H459" i="7"/>
  <c r="F509" i="7"/>
  <c r="F435" i="7"/>
  <c r="F648" i="7"/>
  <c r="H507" i="7"/>
  <c r="H716" i="7"/>
  <c r="H564" i="7"/>
  <c r="H500" i="7"/>
  <c r="H380" i="7"/>
  <c r="F428" i="7"/>
  <c r="H703" i="7"/>
  <c r="F557" i="7"/>
  <c r="H634" i="7"/>
  <c r="H473" i="7"/>
  <c r="F367" i="7"/>
  <c r="F502" i="7"/>
  <c r="H475" i="7"/>
  <c r="F546" i="7"/>
  <c r="F725" i="7"/>
  <c r="H508" i="7"/>
  <c r="H552" i="7"/>
  <c r="H570" i="7"/>
  <c r="H640" i="7"/>
  <c r="H673" i="7"/>
  <c r="H390" i="7"/>
  <c r="H458" i="7"/>
  <c r="F457" i="7"/>
  <c r="H511" i="7"/>
  <c r="F520" i="7"/>
  <c r="F570" i="7"/>
  <c r="H351" i="7"/>
  <c r="H470" i="7"/>
  <c r="H727" i="7"/>
  <c r="F496" i="7"/>
  <c r="F420" i="7"/>
  <c r="H540" i="7"/>
  <c r="F699" i="7"/>
  <c r="H606" i="7"/>
  <c r="H502" i="7"/>
  <c r="F540" i="7"/>
  <c r="F482" i="7"/>
  <c r="H623" i="7"/>
  <c r="F737" i="7"/>
  <c r="E12" i="4"/>
  <c r="T12" i="7"/>
  <c r="D11" i="4"/>
  <c r="T11" i="7"/>
  <c r="D17" i="4"/>
  <c r="T17" i="7"/>
  <c r="E19" i="4"/>
  <c r="T19" i="7"/>
  <c r="E10" i="4"/>
  <c r="T10" i="7"/>
  <c r="D3" i="4"/>
  <c r="T3" i="7"/>
  <c r="E4" i="4"/>
  <c r="T4" i="7"/>
  <c r="E18" i="4"/>
  <c r="T18" i="7"/>
  <c r="E9" i="4"/>
  <c r="T9" i="7"/>
  <c r="E20" i="4"/>
  <c r="T20" i="7"/>
  <c r="D16" i="4"/>
  <c r="T16" i="7"/>
  <c r="E21" i="4"/>
  <c r="T21" i="7"/>
  <c r="D15" i="4"/>
  <c r="T15" i="7"/>
  <c r="D14" i="4"/>
  <c r="T14" i="7"/>
  <c r="D22" i="4"/>
  <c r="T22" i="7"/>
  <c r="E13" i="4"/>
  <c r="T13" i="7"/>
  <c r="E5" i="4"/>
  <c r="T5" i="7"/>
  <c r="F526" i="7"/>
  <c r="H526" i="7"/>
  <c r="F358" i="7"/>
  <c r="H358" i="7"/>
  <c r="F357" i="7"/>
  <c r="H357" i="7"/>
  <c r="F392" i="7"/>
  <c r="H392" i="7"/>
  <c r="F454" i="7"/>
  <c r="H454" i="7"/>
  <c r="J392" i="7"/>
  <c r="F596" i="7"/>
  <c r="F656" i="7"/>
  <c r="D605" i="7"/>
  <c r="E605" i="7" s="1"/>
  <c r="D364" i="7"/>
  <c r="E364" i="7" s="1"/>
  <c r="J380" i="7"/>
  <c r="H366" i="7"/>
  <c r="H378" i="7"/>
  <c r="H699" i="7"/>
  <c r="F594" i="7"/>
  <c r="F677" i="7"/>
  <c r="J613" i="7"/>
  <c r="J689" i="7"/>
  <c r="H722" i="7"/>
  <c r="H682" i="7"/>
  <c r="H550" i="7"/>
  <c r="H363" i="7"/>
  <c r="F366" i="7"/>
  <c r="F490" i="7"/>
  <c r="J532" i="7"/>
  <c r="F550" i="7"/>
  <c r="D462" i="7"/>
  <c r="E462" i="7" s="1"/>
  <c r="F722" i="7"/>
  <c r="F652" i="7"/>
  <c r="F388" i="7"/>
  <c r="H504" i="7"/>
  <c r="J526" i="7"/>
  <c r="D547" i="7"/>
  <c r="E547" i="7" s="1"/>
  <c r="H737" i="7"/>
  <c r="F516" i="7"/>
  <c r="H544" i="7"/>
  <c r="F673" i="7"/>
  <c r="H709" i="7"/>
  <c r="H653" i="7"/>
  <c r="F686" i="7"/>
  <c r="H368" i="7"/>
  <c r="H376" i="7"/>
  <c r="H436" i="7"/>
  <c r="H689" i="7"/>
  <c r="H531" i="7"/>
  <c r="H686" i="7"/>
  <c r="F598" i="7"/>
  <c r="H532" i="7"/>
  <c r="F528" i="7"/>
  <c r="F705" i="7"/>
  <c r="F584" i="7"/>
  <c r="F495" i="7"/>
  <c r="H395" i="7"/>
  <c r="H422" i="7"/>
  <c r="H430" i="7"/>
  <c r="H486" i="7"/>
  <c r="H524" i="7"/>
  <c r="H588" i="7"/>
  <c r="H660" i="7"/>
  <c r="H697" i="7"/>
  <c r="H701" i="7"/>
  <c r="F524" i="7"/>
  <c r="H705" i="7"/>
  <c r="H408" i="7"/>
  <c r="H495" i="7"/>
  <c r="H538" i="7"/>
  <c r="H657" i="7"/>
  <c r="F719" i="7"/>
  <c r="F373" i="7"/>
  <c r="H618" i="7"/>
  <c r="H610" i="7"/>
  <c r="H729" i="7"/>
  <c r="F657" i="7"/>
  <c r="F560" i="7"/>
  <c r="F717" i="7"/>
  <c r="H373" i="7"/>
  <c r="H482" i="7"/>
  <c r="F729" i="7"/>
  <c r="F653" i="7"/>
  <c r="F604" i="7"/>
  <c r="H733" i="7"/>
  <c r="F588" i="7"/>
  <c r="H417" i="7"/>
  <c r="H494" i="7"/>
  <c r="F700" i="7"/>
  <c r="H479" i="7"/>
  <c r="H468" i="7"/>
  <c r="H592" i="7"/>
  <c r="F706" i="7"/>
  <c r="H411" i="7"/>
  <c r="F511" i="7"/>
  <c r="F618" i="7"/>
  <c r="H584" i="7"/>
  <c r="H731" i="7"/>
  <c r="F658" i="7"/>
  <c r="H658" i="7"/>
  <c r="F626" i="7"/>
  <c r="F647" i="7"/>
  <c r="H700" i="7"/>
  <c r="H732" i="7"/>
  <c r="F732" i="7"/>
  <c r="F629" i="7"/>
  <c r="F384" i="7"/>
  <c r="H466" i="7"/>
  <c r="H613" i="7"/>
  <c r="H586" i="7"/>
  <c r="F621" i="7"/>
  <c r="F542" i="7"/>
  <c r="H542" i="7"/>
  <c r="H738" i="7"/>
  <c r="F738" i="7"/>
  <c r="F667" i="7"/>
  <c r="H599" i="7"/>
  <c r="F678" i="7"/>
  <c r="H678" i="7"/>
  <c r="H384" i="7"/>
  <c r="F613" i="7"/>
  <c r="F512" i="7"/>
  <c r="H512" i="7"/>
  <c r="H463" i="7"/>
  <c r="F438" i="7"/>
  <c r="H438" i="7"/>
  <c r="H608" i="7"/>
  <c r="H520" i="7"/>
  <c r="H452" i="7"/>
  <c r="H426" i="7"/>
  <c r="F630" i="7"/>
  <c r="H630" i="7"/>
  <c r="F649" i="7"/>
  <c r="H649" i="7"/>
  <c r="F393" i="7"/>
  <c r="F565" i="7"/>
  <c r="H565" i="7"/>
  <c r="H517" i="7"/>
  <c r="F517" i="7"/>
  <c r="H555" i="7"/>
  <c r="F555" i="7"/>
  <c r="F518" i="7"/>
  <c r="H518" i="7"/>
  <c r="F574" i="7"/>
  <c r="H595" i="7"/>
  <c r="F595" i="7"/>
  <c r="F562" i="7"/>
  <c r="H562" i="7"/>
  <c r="F472" i="7"/>
  <c r="H472" i="7"/>
  <c r="F669" i="7"/>
  <c r="F569" i="7"/>
  <c r="H569" i="7"/>
  <c r="F681" i="7"/>
  <c r="H681" i="7"/>
  <c r="F535" i="7"/>
  <c r="F355" i="7"/>
  <c r="H355" i="7"/>
  <c r="F549" i="7"/>
  <c r="H549" i="7"/>
  <c r="F730" i="7"/>
  <c r="H730" i="7"/>
  <c r="F659" i="7"/>
  <c r="H659" i="7"/>
  <c r="F460" i="7"/>
  <c r="H460" i="7"/>
  <c r="F401" i="7"/>
  <c r="H401" i="7"/>
  <c r="H453" i="7"/>
  <c r="F453" i="7"/>
  <c r="F402" i="7"/>
  <c r="H402" i="7"/>
  <c r="F465" i="7"/>
  <c r="H465" i="7"/>
  <c r="H523" i="7"/>
  <c r="F523" i="7"/>
  <c r="F541" i="7"/>
  <c r="H541" i="7"/>
  <c r="F593" i="7"/>
  <c r="H593" i="7"/>
  <c r="H529" i="7"/>
  <c r="F529" i="7"/>
  <c r="H611" i="7"/>
  <c r="F611" i="7"/>
  <c r="F691" i="7"/>
  <c r="H691" i="7"/>
  <c r="H723" i="7"/>
  <c r="F723" i="7"/>
  <c r="F695" i="7"/>
  <c r="H695" i="7"/>
  <c r="F580" i="7"/>
  <c r="H580" i="7"/>
  <c r="H654" i="7"/>
  <c r="F654" i="7"/>
  <c r="F688" i="7"/>
  <c r="H688" i="7"/>
  <c r="F696" i="7"/>
  <c r="H696" i="7"/>
  <c r="F437" i="7"/>
  <c r="H437" i="7"/>
  <c r="F492" i="7"/>
  <c r="H492" i="7"/>
  <c r="H514" i="7"/>
  <c r="F514" i="7"/>
  <c r="F619" i="7"/>
  <c r="H619" i="7"/>
  <c r="F493" i="7"/>
  <c r="H493" i="7"/>
  <c r="F419" i="7"/>
  <c r="H419" i="7"/>
  <c r="H589" i="7"/>
  <c r="F589" i="7"/>
  <c r="F601" i="7"/>
  <c r="H601" i="7"/>
  <c r="F637" i="7"/>
  <c r="H637" i="7"/>
  <c r="F622" i="7"/>
  <c r="H622" i="7"/>
  <c r="F391" i="7"/>
  <c r="H391" i="7"/>
  <c r="F483" i="7"/>
  <c r="F487" i="7"/>
  <c r="H487" i="7"/>
  <c r="F455" i="7"/>
  <c r="H455" i="7"/>
  <c r="F571" i="7"/>
  <c r="H571" i="7"/>
  <c r="H587" i="7"/>
  <c r="F587" i="7"/>
  <c r="F650" i="7"/>
  <c r="H650" i="7"/>
  <c r="F519" i="7"/>
  <c r="H519" i="7"/>
  <c r="H632" i="7"/>
  <c r="F632" i="7"/>
  <c r="F655" i="7"/>
  <c r="H655" i="7"/>
  <c r="F694" i="7"/>
  <c r="H694" i="7"/>
  <c r="F591" i="7"/>
  <c r="H591" i="7"/>
  <c r="F597" i="7"/>
  <c r="H597" i="7"/>
  <c r="F734" i="7"/>
  <c r="H734" i="7"/>
  <c r="F449" i="7"/>
  <c r="H449" i="7"/>
  <c r="F381" i="7"/>
  <c r="H381" i="7"/>
  <c r="F353" i="7"/>
  <c r="H353" i="7"/>
  <c r="F386" i="7"/>
  <c r="H386" i="7"/>
  <c r="H405" i="7"/>
  <c r="F405" i="7"/>
  <c r="F407" i="7"/>
  <c r="H407" i="7"/>
  <c r="F431" i="7"/>
  <c r="H431" i="7"/>
  <c r="H469" i="7"/>
  <c r="F469" i="7"/>
  <c r="F429" i="7"/>
  <c r="F497" i="7"/>
  <c r="H497" i="7"/>
  <c r="F503" i="7"/>
  <c r="H503" i="7"/>
  <c r="F534" i="7"/>
  <c r="H534" i="7"/>
  <c r="H583" i="7"/>
  <c r="F583" i="7"/>
  <c r="F638" i="7"/>
  <c r="H638" i="7"/>
  <c r="H651" i="7"/>
  <c r="F651" i="7"/>
  <c r="F679" i="7"/>
  <c r="F711" i="7"/>
  <c r="H646" i="7"/>
  <c r="F646" i="7"/>
  <c r="H620" i="7"/>
  <c r="F707" i="7"/>
  <c r="H707" i="7"/>
  <c r="F375" i="7"/>
  <c r="H375" i="7"/>
  <c r="F361" i="7"/>
  <c r="F425" i="7"/>
  <c r="H425" i="7"/>
  <c r="F369" i="7"/>
  <c r="H369" i="7"/>
  <c r="F423" i="7"/>
  <c r="H423" i="7"/>
  <c r="F499" i="7"/>
  <c r="H499" i="7"/>
  <c r="F439" i="7"/>
  <c r="H439" i="7"/>
  <c r="F513" i="7"/>
  <c r="H513" i="7"/>
  <c r="F442" i="7"/>
  <c r="H442" i="7"/>
  <c r="F471" i="7"/>
  <c r="H471" i="7"/>
  <c r="H515" i="7"/>
  <c r="F515" i="7"/>
  <c r="F545" i="7"/>
  <c r="H545" i="7"/>
  <c r="H736" i="7"/>
  <c r="F736" i="7"/>
  <c r="F645" i="7"/>
  <c r="H645" i="7"/>
  <c r="F566" i="7"/>
  <c r="H566" i="7"/>
  <c r="F661" i="7"/>
  <c r="H661" i="7"/>
  <c r="F720" i="7"/>
  <c r="H720" i="7"/>
  <c r="F643" i="7"/>
  <c r="H643" i="7"/>
  <c r="H501" i="7"/>
  <c r="F501" i="7"/>
  <c r="H710" i="7"/>
  <c r="F710" i="7"/>
  <c r="F365" i="7"/>
  <c r="H365" i="7"/>
  <c r="F450" i="7"/>
  <c r="H450" i="7"/>
  <c r="F521" i="7"/>
  <c r="H521" i="7"/>
  <c r="F603" i="7"/>
  <c r="H603" i="7"/>
  <c r="H539" i="7"/>
  <c r="F539" i="7"/>
  <c r="F704" i="7"/>
  <c r="H704" i="7"/>
  <c r="F724" i="7"/>
  <c r="H724" i="7"/>
  <c r="F563" i="7"/>
  <c r="H563" i="7"/>
  <c r="F633" i="7"/>
  <c r="H633" i="7"/>
  <c r="H674" i="7"/>
  <c r="F674" i="7"/>
  <c r="H726" i="7"/>
  <c r="F726" i="7"/>
  <c r="F628" i="7"/>
  <c r="H628" i="7"/>
  <c r="F441" i="7"/>
  <c r="H441" i="7"/>
  <c r="F440" i="7"/>
  <c r="H440" i="7"/>
  <c r="F446" i="7"/>
  <c r="H446" i="7"/>
  <c r="H485" i="7"/>
  <c r="F485" i="7"/>
  <c r="F377" i="7"/>
  <c r="H377" i="7"/>
  <c r="F385" i="7"/>
  <c r="H385" i="7"/>
  <c r="F359" i="7"/>
  <c r="H359" i="7"/>
  <c r="F451" i="7"/>
  <c r="H451" i="7"/>
  <c r="F413" i="7"/>
  <c r="H413" i="7"/>
  <c r="F348" i="7"/>
  <c r="H348" i="7"/>
  <c r="F434" i="7"/>
  <c r="H434" i="7"/>
  <c r="F424" i="7"/>
  <c r="H424" i="7"/>
  <c r="F537" i="7"/>
  <c r="H537" i="7"/>
  <c r="F533" i="7"/>
  <c r="H533" i="7"/>
  <c r="F573" i="7"/>
  <c r="H573" i="7"/>
  <c r="H527" i="7"/>
  <c r="F527" i="7"/>
  <c r="F577" i="7"/>
  <c r="H577" i="7"/>
  <c r="F670" i="7"/>
  <c r="H670" i="7"/>
  <c r="H635" i="7"/>
  <c r="F635" i="7"/>
  <c r="F692" i="7"/>
  <c r="H692" i="7"/>
  <c r="F708" i="7"/>
  <c r="H708" i="7"/>
  <c r="F714" i="7"/>
  <c r="H714" i="7"/>
  <c r="F675" i="7"/>
  <c r="H675" i="7"/>
  <c r="F498" i="7"/>
  <c r="H498" i="7"/>
  <c r="F728" i="7"/>
  <c r="H728" i="7"/>
  <c r="H663" i="7"/>
  <c r="F715" i="7"/>
  <c r="H715" i="7"/>
  <c r="F683" i="7"/>
  <c r="H683" i="7"/>
  <c r="E3" i="4"/>
  <c r="E17" i="4"/>
  <c r="F17" i="4" s="1"/>
  <c r="G17" i="4" s="1"/>
  <c r="E11" i="4"/>
  <c r="D13" i="4"/>
  <c r="D5" i="4"/>
  <c r="D21" i="4"/>
  <c r="D12" i="4"/>
  <c r="D4" i="4"/>
  <c r="E16" i="4"/>
  <c r="E8" i="4"/>
  <c r="D20" i="4"/>
  <c r="D10" i="4"/>
  <c r="E15" i="4"/>
  <c r="E7" i="4"/>
  <c r="D19" i="4"/>
  <c r="D9" i="4"/>
  <c r="E14" i="4"/>
  <c r="E6" i="4"/>
  <c r="D18" i="4"/>
  <c r="E22" i="4"/>
  <c r="H711" i="7" l="1"/>
  <c r="F684" i="7"/>
  <c r="H684" i="7"/>
  <c r="F666" i="7"/>
  <c r="H371" i="7"/>
  <c r="H409" i="7"/>
  <c r="H383" i="7"/>
  <c r="H347" i="7"/>
  <c r="F362" i="7"/>
  <c r="G676" i="7"/>
  <c r="G641" i="7"/>
  <c r="G698" i="7"/>
  <c r="G574" i="7"/>
  <c r="G354" i="7"/>
  <c r="G371" i="7"/>
  <c r="G581" i="7"/>
  <c r="G393" i="7"/>
  <c r="G481" i="7"/>
  <c r="G427" i="7"/>
  <c r="G617" i="7"/>
  <c r="G616" i="7"/>
  <c r="G666" i="7"/>
  <c r="G409" i="7"/>
  <c r="G558" i="7"/>
  <c r="G362" i="7"/>
  <c r="G510" i="7"/>
  <c r="G615" i="7"/>
  <c r="G477" i="7"/>
  <c r="G620" i="7"/>
  <c r="G489" i="7"/>
  <c r="G483" i="7"/>
  <c r="G609" i="7"/>
  <c r="G429" i="7"/>
  <c r="G535" i="7"/>
  <c r="G668" i="7"/>
  <c r="G669" i="7"/>
  <c r="G625" i="7"/>
  <c r="G370" i="7"/>
  <c r="G433" i="7"/>
  <c r="G579" i="7"/>
  <c r="G432" i="7"/>
  <c r="G585" i="7"/>
  <c r="G347" i="7"/>
  <c r="G464" i="7"/>
  <c r="G484" i="7"/>
  <c r="G679" i="7"/>
  <c r="G543" i="7"/>
  <c r="G553" i="7"/>
  <c r="G443" i="7"/>
  <c r="G397" i="7"/>
  <c r="G663" i="7"/>
  <c r="G690" i="7"/>
  <c r="G671" i="7"/>
  <c r="G702" i="7"/>
  <c r="G631" i="7"/>
  <c r="G506" i="7"/>
  <c r="G684" i="7"/>
  <c r="F582" i="7"/>
  <c r="G568" i="7"/>
  <c r="G627" i="7"/>
  <c r="G559" i="7"/>
  <c r="G444" i="7"/>
  <c r="G467" i="7"/>
  <c r="G361" i="7"/>
  <c r="G394" i="7"/>
  <c r="G349" i="7"/>
  <c r="G525" i="7"/>
  <c r="H551" i="7"/>
  <c r="F559" i="7"/>
  <c r="H433" i="7"/>
  <c r="F354" i="7"/>
  <c r="H444" i="7"/>
  <c r="F639" i="7"/>
  <c r="F609" i="7"/>
  <c r="F397" i="7"/>
  <c r="F481" i="7"/>
  <c r="F698" i="7"/>
  <c r="F581" i="7"/>
  <c r="F668" i="7"/>
  <c r="F474" i="7"/>
  <c r="F676" i="7"/>
  <c r="H690" i="7"/>
  <c r="F558" i="7"/>
  <c r="F607" i="7"/>
  <c r="H607" i="7"/>
  <c r="H396" i="7"/>
  <c r="F396" i="7"/>
  <c r="H639" i="7"/>
  <c r="H579" i="7"/>
  <c r="H568" i="7"/>
  <c r="H641" i="7"/>
  <c r="H585" i="7"/>
  <c r="F432" i="7"/>
  <c r="H671" i="7"/>
  <c r="H484" i="7"/>
  <c r="H349" i="7"/>
  <c r="G421" i="7"/>
  <c r="H536" i="7"/>
  <c r="F615" i="7"/>
  <c r="H614" i="7"/>
  <c r="G378" i="7"/>
  <c r="G607" i="7"/>
  <c r="F590" i="7"/>
  <c r="H346" i="7"/>
  <c r="G406" i="7"/>
  <c r="G448" i="7"/>
  <c r="G685" i="7"/>
  <c r="G396" i="7"/>
  <c r="F642" i="7"/>
  <c r="H642" i="7"/>
  <c r="G567" i="7"/>
  <c r="F551" i="7"/>
  <c r="F525" i="7"/>
  <c r="F631" i="7"/>
  <c r="F477" i="7"/>
  <c r="H394" i="7"/>
  <c r="H410" i="7"/>
  <c r="F410" i="7"/>
  <c r="F350" i="7"/>
  <c r="G352" i="7"/>
  <c r="G582" i="7"/>
  <c r="H506" i="7"/>
  <c r="F456" i="7"/>
  <c r="H456" i="7"/>
  <c r="F480" i="7"/>
  <c r="H480" i="7"/>
  <c r="H352" i="7"/>
  <c r="H543" i="7"/>
  <c r="H625" i="7"/>
  <c r="H443" i="7"/>
  <c r="H370" i="7"/>
  <c r="H617" i="7"/>
  <c r="H702" i="7"/>
  <c r="H467" i="7"/>
  <c r="G462" i="7"/>
  <c r="G548" i="7"/>
  <c r="F616" i="7"/>
  <c r="H510" i="7"/>
  <c r="G561" i="7"/>
  <c r="G474" i="7"/>
  <c r="H553" i="7"/>
  <c r="H489" i="7"/>
  <c r="H464" i="7"/>
  <c r="G578" i="7"/>
  <c r="F389" i="7"/>
  <c r="F627" i="7"/>
  <c r="H567" i="7"/>
  <c r="H364" i="7"/>
  <c r="F547" i="7"/>
  <c r="F605" i="7"/>
  <c r="H427" i="7"/>
  <c r="F575" i="7"/>
  <c r="G476" i="7"/>
  <c r="H421" i="7"/>
  <c r="F578" i="7"/>
  <c r="F421" i="7"/>
  <c r="F11" i="4"/>
  <c r="G11" i="4" s="1"/>
  <c r="F548" i="7"/>
  <c r="H389" i="7"/>
  <c r="F462" i="7"/>
  <c r="H462" i="7"/>
  <c r="F3" i="4"/>
  <c r="G3" i="4" s="1"/>
  <c r="I3" i="4" s="1"/>
  <c r="H605" i="7" l="1"/>
  <c r="H350" i="7"/>
  <c r="G605" i="7"/>
  <c r="G389" i="7"/>
  <c r="H561" i="7"/>
  <c r="F561" i="7"/>
  <c r="H578" i="7"/>
  <c r="H547" i="7"/>
  <c r="G547" i="7"/>
  <c r="F602" i="7"/>
  <c r="H602" i="7"/>
  <c r="H548" i="7"/>
  <c r="G602" i="7"/>
  <c r="G364" i="7"/>
  <c r="G350" i="7"/>
  <c r="F364" i="7"/>
  <c r="F22" i="4"/>
  <c r="G22" i="4" s="1"/>
  <c r="F8" i="4" l="1"/>
  <c r="F12" i="4" l="1"/>
  <c r="G12" i="4" s="1"/>
  <c r="F9" i="4"/>
  <c r="G9" i="4" s="1"/>
  <c r="F10" i="4"/>
  <c r="G10" i="4" s="1"/>
  <c r="F13" i="4"/>
  <c r="G13" i="4" s="1"/>
  <c r="G8" i="4"/>
  <c r="F7" i="4"/>
  <c r="G7" i="4" s="1"/>
  <c r="C23" i="4" l="1"/>
  <c r="A89" i="7"/>
  <c r="B89" i="7" s="1"/>
  <c r="A9" i="7"/>
  <c r="B9" i="7" s="1"/>
  <c r="A11" i="7"/>
  <c r="B11" i="7" s="1"/>
  <c r="A61" i="7"/>
  <c r="B61" i="7" s="1"/>
  <c r="A136" i="7"/>
  <c r="B136" i="7" s="1"/>
  <c r="A291" i="7"/>
  <c r="B291" i="7" s="1"/>
  <c r="A174" i="7"/>
  <c r="B174" i="7" s="1"/>
  <c r="A17" i="7"/>
  <c r="B17" i="7" s="1"/>
  <c r="A242" i="7"/>
  <c r="B242" i="7" s="1"/>
  <c r="A341" i="7"/>
  <c r="B341" i="7" s="1"/>
  <c r="A27" i="7"/>
  <c r="B27" i="7" s="1"/>
  <c r="A227" i="7"/>
  <c r="B227" i="7" s="1"/>
  <c r="A4" i="7"/>
  <c r="B4" i="7" s="1"/>
  <c r="A262" i="7"/>
  <c r="B262" i="7" s="1"/>
  <c r="A304" i="7"/>
  <c r="B304" i="7" s="1"/>
  <c r="A225" i="7"/>
  <c r="B225" i="7" s="1"/>
  <c r="A251" i="7"/>
  <c r="B251" i="7" s="1"/>
  <c r="A73" i="7"/>
  <c r="B73" i="7" s="1"/>
  <c r="A26" i="7"/>
  <c r="B26" i="7" s="1"/>
  <c r="A28" i="7"/>
  <c r="B28" i="7" s="1"/>
  <c r="A13" i="7"/>
  <c r="B13" i="7" s="1"/>
  <c r="A150" i="7"/>
  <c r="B150" i="7" s="1"/>
  <c r="A226" i="7"/>
  <c r="B226" i="7" s="1"/>
  <c r="A163" i="7"/>
  <c r="B163" i="7" s="1"/>
  <c r="A344" i="7"/>
  <c r="B344" i="7" s="1"/>
  <c r="A339" i="7"/>
  <c r="B339" i="7" s="1"/>
  <c r="A230" i="7"/>
  <c r="B230" i="7" s="1"/>
  <c r="A159" i="7"/>
  <c r="B159" i="7" s="1"/>
  <c r="A194" i="7"/>
  <c r="B194" i="7" s="1"/>
  <c r="A94" i="7"/>
  <c r="B94" i="7" s="1"/>
  <c r="A302" i="7"/>
  <c r="B302" i="7" s="1"/>
  <c r="A161" i="7"/>
  <c r="B161" i="7" s="1"/>
  <c r="A345" i="7"/>
  <c r="B345" i="7" s="1"/>
  <c r="A54" i="7"/>
  <c r="B54" i="7" s="1"/>
  <c r="A33" i="7"/>
  <c r="B33" i="7" s="1"/>
  <c r="A311" i="7"/>
  <c r="B311" i="7" s="1"/>
  <c r="A236" i="7"/>
  <c r="B236" i="7" s="1"/>
  <c r="A260" i="7"/>
  <c r="B260" i="7" s="1"/>
  <c r="A165" i="7"/>
  <c r="B165" i="7" s="1"/>
  <c r="A41" i="7"/>
  <c r="B41" i="7" s="1"/>
  <c r="A40" i="7"/>
  <c r="B40" i="7" s="1"/>
  <c r="A210" i="7"/>
  <c r="B210" i="7" s="1"/>
  <c r="A217" i="7"/>
  <c r="B217" i="7" s="1"/>
  <c r="A332" i="7"/>
  <c r="B332" i="7" s="1"/>
  <c r="A137" i="7"/>
  <c r="B137" i="7" s="1"/>
  <c r="A324" i="7"/>
  <c r="B324" i="7" s="1"/>
  <c r="A220" i="7"/>
  <c r="B220" i="7" s="1"/>
  <c r="A22" i="7"/>
  <c r="B22" i="7" s="1"/>
  <c r="A53" i="7"/>
  <c r="B53" i="7" s="1"/>
  <c r="A78" i="7"/>
  <c r="B78" i="7" s="1"/>
  <c r="A316" i="7"/>
  <c r="B316" i="7" s="1"/>
  <c r="A42" i="7"/>
  <c r="B42" i="7" s="1"/>
  <c r="A293" i="7"/>
  <c r="B293" i="7" s="1"/>
  <c r="A59" i="7"/>
  <c r="B59" i="7" s="1"/>
  <c r="A303" i="7"/>
  <c r="B303" i="7" s="1"/>
  <c r="A141" i="7"/>
  <c r="B141" i="7" s="1"/>
  <c r="A52" i="7"/>
  <c r="B52" i="7" s="1"/>
  <c r="A203" i="7"/>
  <c r="B203" i="7" s="1"/>
  <c r="A282" i="7"/>
  <c r="B282" i="7" s="1"/>
  <c r="A224" i="7"/>
  <c r="B224" i="7" s="1"/>
  <c r="A253" i="7"/>
  <c r="B253" i="7" s="1"/>
  <c r="A83" i="7"/>
  <c r="B83" i="7" s="1"/>
  <c r="A272" i="7"/>
  <c r="B272" i="7" s="1"/>
  <c r="A19" i="7"/>
  <c r="B19" i="7" s="1"/>
  <c r="A301" i="7"/>
  <c r="B301" i="7" s="1"/>
  <c r="A206" i="7"/>
  <c r="B206" i="7" s="1"/>
  <c r="A6" i="7"/>
  <c r="B6" i="7" s="1"/>
  <c r="A71" i="7"/>
  <c r="B71" i="7" s="1"/>
  <c r="A157" i="7"/>
  <c r="B157" i="7" s="1"/>
  <c r="A47" i="7"/>
  <c r="B47" i="7" s="1"/>
  <c r="A298" i="7"/>
  <c r="B298" i="7" s="1"/>
  <c r="A121" i="7"/>
  <c r="B121" i="7" s="1"/>
  <c r="A212" i="7"/>
  <c r="B212" i="7" s="1"/>
  <c r="A283" i="7"/>
  <c r="B283" i="7" s="1"/>
  <c r="A259" i="7"/>
  <c r="B259" i="7" s="1"/>
  <c r="A187" i="7"/>
  <c r="B187" i="7" s="1"/>
  <c r="A343" i="7"/>
  <c r="B343" i="7" s="1"/>
  <c r="A151" i="7"/>
  <c r="B151" i="7" s="1"/>
  <c r="A256" i="7"/>
  <c r="B256" i="7" s="1"/>
  <c r="A201" i="7"/>
  <c r="B201" i="7" s="1"/>
  <c r="A60" i="7"/>
  <c r="B60" i="7" s="1"/>
  <c r="A250" i="7"/>
  <c r="B250" i="7" s="1"/>
  <c r="A46" i="7"/>
  <c r="B46" i="7" s="1"/>
  <c r="A287" i="7"/>
  <c r="B287" i="7" s="1"/>
  <c r="A317" i="7"/>
  <c r="B317" i="7" s="1"/>
  <c r="A168" i="7"/>
  <c r="B168" i="7" s="1"/>
  <c r="A44" i="7"/>
  <c r="B44" i="7" s="1"/>
  <c r="A122" i="7"/>
  <c r="B122" i="7" s="1"/>
  <c r="A340" i="7"/>
  <c r="B340" i="7" s="1"/>
  <c r="A50" i="7"/>
  <c r="B50" i="7" s="1"/>
  <c r="A87" i="7"/>
  <c r="B87" i="7" s="1"/>
  <c r="A183" i="7"/>
  <c r="B183" i="7" s="1"/>
  <c r="A309" i="7"/>
  <c r="B309" i="7" s="1"/>
  <c r="A109" i="7"/>
  <c r="B109" i="7" s="1"/>
  <c r="A198" i="7"/>
  <c r="B198" i="7" s="1"/>
  <c r="A254" i="7"/>
  <c r="B254" i="7" s="1"/>
  <c r="A35" i="7"/>
  <c r="B35" i="7" s="1"/>
  <c r="A323" i="7"/>
  <c r="B323" i="7" s="1"/>
  <c r="A135" i="7"/>
  <c r="B135" i="7" s="1"/>
  <c r="A290" i="7"/>
  <c r="B290" i="7" s="1"/>
  <c r="A96" i="7"/>
  <c r="B96" i="7" s="1"/>
  <c r="A43" i="7"/>
  <c r="B43" i="7" s="1"/>
  <c r="A88" i="7"/>
  <c r="B88" i="7" s="1"/>
  <c r="A55" i="7"/>
  <c r="B55" i="7" s="1"/>
  <c r="A92" i="7"/>
  <c r="B92" i="7" s="1"/>
  <c r="A195" i="7"/>
  <c r="B195" i="7" s="1"/>
  <c r="A77" i="7"/>
  <c r="B77" i="7" s="1"/>
  <c r="A20" i="7"/>
  <c r="B20" i="7" s="1"/>
  <c r="A276" i="7"/>
  <c r="B276" i="7" s="1"/>
  <c r="A56" i="7"/>
  <c r="B56" i="7" s="1"/>
  <c r="A264" i="7"/>
  <c r="B264" i="7" s="1"/>
  <c r="A333" i="7"/>
  <c r="B333" i="7" s="1"/>
  <c r="A184" i="7"/>
  <c r="B184" i="7" s="1"/>
  <c r="A263" i="7"/>
  <c r="B263" i="7" s="1"/>
  <c r="A58" i="7"/>
  <c r="B58" i="7" s="1"/>
  <c r="A86" i="7"/>
  <c r="B86" i="7" s="1"/>
  <c r="A81" i="7"/>
  <c r="B81" i="7" s="1"/>
  <c r="A51" i="7"/>
  <c r="B51" i="7" s="1"/>
  <c r="A131" i="7"/>
  <c r="B131" i="7" s="1"/>
  <c r="A211" i="7"/>
  <c r="B211" i="7" s="1"/>
  <c r="A207" i="7"/>
  <c r="B207" i="7" s="1"/>
  <c r="A275" i="7"/>
  <c r="B275" i="7" s="1"/>
  <c r="A155" i="7"/>
  <c r="B155" i="7" s="1"/>
  <c r="A113" i="7"/>
  <c r="B113" i="7" s="1"/>
  <c r="A292" i="7"/>
  <c r="B292" i="7" s="1"/>
  <c r="A329" i="7"/>
  <c r="B329" i="7" s="1"/>
  <c r="A307" i="7"/>
  <c r="B307" i="7" s="1"/>
  <c r="A244" i="7"/>
  <c r="B244" i="7" s="1"/>
  <c r="A189" i="7"/>
  <c r="B189" i="7" s="1"/>
  <c r="A162" i="7"/>
  <c r="B162" i="7" s="1"/>
  <c r="A142" i="7"/>
  <c r="B142" i="7" s="1"/>
  <c r="A338" i="7"/>
  <c r="B338" i="7" s="1"/>
  <c r="A102" i="7"/>
  <c r="B102" i="7" s="1"/>
  <c r="A215" i="7"/>
  <c r="B215" i="7" s="1"/>
  <c r="A145" i="7"/>
  <c r="B145" i="7" s="1"/>
  <c r="A3" i="7"/>
  <c r="B3" i="7" s="1"/>
  <c r="A57" i="7"/>
  <c r="B57" i="7" s="1"/>
  <c r="A98" i="7"/>
  <c r="B98" i="7" s="1"/>
  <c r="A177" i="7"/>
  <c r="B177" i="7" s="1"/>
  <c r="A130" i="7"/>
  <c r="B130" i="7" s="1"/>
  <c r="A37" i="7"/>
  <c r="B37" i="7" s="1"/>
  <c r="A72" i="7"/>
  <c r="B72" i="7" s="1"/>
  <c r="A30" i="7"/>
  <c r="B30" i="7" s="1"/>
  <c r="A154" i="7"/>
  <c r="B154" i="7" s="1"/>
  <c r="A285" i="7"/>
  <c r="B285" i="7" s="1"/>
  <c r="A205" i="7"/>
  <c r="B205" i="7" s="1"/>
  <c r="A133" i="7"/>
  <c r="B133" i="7" s="1"/>
  <c r="A80" i="7"/>
  <c r="B80" i="7" s="1"/>
  <c r="A68" i="7"/>
  <c r="B68" i="7" s="1"/>
  <c r="A209" i="7"/>
  <c r="B209" i="7" s="1"/>
  <c r="A318" i="7"/>
  <c r="B318" i="7" s="1"/>
  <c r="A144" i="7"/>
  <c r="B144" i="7" s="1"/>
  <c r="A104" i="7"/>
  <c r="B104" i="7" s="1"/>
  <c r="A176" i="7"/>
  <c r="B176" i="7" s="1"/>
  <c r="A138" i="7"/>
  <c r="B138" i="7" s="1"/>
  <c r="A152" i="7"/>
  <c r="B152" i="7" s="1"/>
  <c r="A319" i="7"/>
  <c r="B319" i="7" s="1"/>
  <c r="A106" i="7"/>
  <c r="B106" i="7" s="1"/>
  <c r="A334" i="7"/>
  <c r="B334" i="7" s="1"/>
  <c r="A95" i="7"/>
  <c r="B95" i="7" s="1"/>
  <c r="A120" i="7"/>
  <c r="B120" i="7" s="1"/>
  <c r="A129" i="7"/>
  <c r="B129" i="7" s="1"/>
  <c r="A76" i="7"/>
  <c r="B76" i="7" s="1"/>
  <c r="A32" i="7"/>
  <c r="B32" i="7" s="1"/>
  <c r="A156" i="7"/>
  <c r="B156" i="7" s="1"/>
  <c r="A111" i="7"/>
  <c r="B111" i="7" s="1"/>
  <c r="A233" i="7"/>
  <c r="B233" i="7" s="1"/>
  <c r="A134" i="7"/>
  <c r="B134" i="7" s="1"/>
  <c r="A192" i="7"/>
  <c r="B192" i="7" s="1"/>
  <c r="A74" i="7"/>
  <c r="B74" i="7" s="1"/>
  <c r="A167" i="7"/>
  <c r="B167" i="7" s="1"/>
  <c r="A103" i="7"/>
  <c r="B103" i="7" s="1"/>
  <c r="A313" i="7"/>
  <c r="B313" i="7" s="1"/>
  <c r="A265" i="7"/>
  <c r="B265" i="7" s="1"/>
  <c r="A119" i="7"/>
  <c r="B119" i="7" s="1"/>
  <c r="A281" i="7"/>
  <c r="B281" i="7" s="1"/>
  <c r="A181" i="7"/>
  <c r="B181" i="7" s="1"/>
  <c r="A116" i="7"/>
  <c r="B116" i="7" s="1"/>
  <c r="A149" i="7"/>
  <c r="B149" i="7" s="1"/>
  <c r="A107" i="7"/>
  <c r="B107" i="7" s="1"/>
  <c r="A249" i="7"/>
  <c r="B249" i="7" s="1"/>
  <c r="A172" i="7"/>
  <c r="B172" i="7" s="1"/>
  <c r="A306" i="7"/>
  <c r="B306" i="7" s="1"/>
  <c r="A79" i="7"/>
  <c r="B79" i="7" s="1"/>
  <c r="A296" i="7"/>
  <c r="B296" i="7" s="1"/>
  <c r="A284" i="7"/>
  <c r="B284" i="7" s="1"/>
  <c r="A166" i="7"/>
  <c r="B166" i="7" s="1"/>
  <c r="A146" i="7"/>
  <c r="B146" i="7" s="1"/>
  <c r="A99" i="7"/>
  <c r="B99" i="7" s="1"/>
  <c r="A237" i="7"/>
  <c r="B237" i="7" s="1"/>
  <c r="A229" i="7"/>
  <c r="B229" i="7" s="1"/>
  <c r="A267" i="7"/>
  <c r="B267" i="7" s="1"/>
  <c r="A273" i="7"/>
  <c r="B273" i="7" s="1"/>
  <c r="A294" i="7"/>
  <c r="B294" i="7" s="1"/>
  <c r="A331" i="7"/>
  <c r="B331" i="7" s="1"/>
  <c r="A91" i="7"/>
  <c r="B91" i="7" s="1"/>
  <c r="A128" i="7"/>
  <c r="B128" i="7" s="1"/>
  <c r="A252" i="7"/>
  <c r="B252" i="7" s="1"/>
  <c r="A66" i="7"/>
  <c r="B66" i="7" s="1"/>
  <c r="A191" i="7"/>
  <c r="B191" i="7" s="1"/>
  <c r="A123" i="7"/>
  <c r="B123" i="7" s="1"/>
  <c r="A274" i="7"/>
  <c r="B274" i="7" s="1"/>
  <c r="A308" i="7"/>
  <c r="B308" i="7" s="1"/>
  <c r="A218" i="7"/>
  <c r="B218" i="7" s="1"/>
  <c r="A112" i="7"/>
  <c r="B112" i="7" s="1"/>
  <c r="A199" i="7"/>
  <c r="B199" i="7" s="1"/>
  <c r="A197" i="7"/>
  <c r="B197" i="7" s="1"/>
  <c r="A342" i="7"/>
  <c r="B342" i="7" s="1"/>
  <c r="A245" i="7"/>
  <c r="B245" i="7" s="1"/>
  <c r="A153" i="7"/>
  <c r="B153" i="7" s="1"/>
  <c r="A222" i="7"/>
  <c r="B222" i="7" s="1"/>
  <c r="A127" i="7"/>
  <c r="B127" i="7" s="1"/>
  <c r="A100" i="7"/>
  <c r="B100" i="7" s="1"/>
  <c r="A63" i="7"/>
  <c r="B63" i="7" s="1"/>
  <c r="A190" i="7"/>
  <c r="B190" i="7" s="1"/>
  <c r="A326" i="7"/>
  <c r="B326" i="7" s="1"/>
  <c r="A238" i="7"/>
  <c r="B238" i="7" s="1"/>
  <c r="A320" i="7"/>
  <c r="B320" i="7" s="1"/>
  <c r="A221" i="7"/>
  <c r="B221" i="7" s="1"/>
  <c r="A82" i="7"/>
  <c r="B82" i="7" s="1"/>
  <c r="A299" i="7"/>
  <c r="B299" i="7" s="1"/>
  <c r="A248" i="7"/>
  <c r="B248" i="7" s="1"/>
  <c r="A213" i="7"/>
  <c r="B213" i="7" s="1"/>
  <c r="A171" i="7"/>
  <c r="B171" i="7" s="1"/>
  <c r="A34" i="7"/>
  <c r="B34" i="7" s="1"/>
  <c r="A69" i="7"/>
  <c r="B69" i="7" s="1"/>
  <c r="A258" i="7"/>
  <c r="B258" i="7" s="1"/>
  <c r="A193" i="7"/>
  <c r="B193" i="7" s="1"/>
  <c r="A39" i="7"/>
  <c r="B39" i="7" s="1"/>
  <c r="A289" i="7"/>
  <c r="B289" i="7" s="1"/>
  <c r="A278" i="7"/>
  <c r="B278" i="7" s="1"/>
  <c r="A118" i="7"/>
  <c r="B118" i="7" s="1"/>
  <c r="A115" i="7"/>
  <c r="B115" i="7" s="1"/>
  <c r="A231" i="7"/>
  <c r="B231" i="7" s="1"/>
  <c r="A45" i="7"/>
  <c r="B45" i="7" s="1"/>
  <c r="A160" i="7"/>
  <c r="B160" i="7" s="1"/>
  <c r="A31" i="7"/>
  <c r="B31" i="7" s="1"/>
  <c r="A330" i="7"/>
  <c r="B330" i="7" s="1"/>
  <c r="A216" i="7"/>
  <c r="B216" i="7" s="1"/>
  <c r="A200" i="7"/>
  <c r="B200" i="7" s="1"/>
  <c r="A114" i="7"/>
  <c r="B114" i="7" s="1"/>
  <c r="A337" i="7"/>
  <c r="B337" i="7" s="1"/>
  <c r="A126" i="7"/>
  <c r="B126" i="7" s="1"/>
  <c r="A246" i="7"/>
  <c r="B246" i="7" s="1"/>
  <c r="A164" i="7"/>
  <c r="B164" i="7" s="1"/>
  <c r="A185" i="7"/>
  <c r="B185" i="7" s="1"/>
  <c r="A84" i="7"/>
  <c r="B84" i="7" s="1"/>
  <c r="A261" i="7"/>
  <c r="B261" i="7" s="1"/>
  <c r="A8" i="7"/>
  <c r="B8" i="7" s="1"/>
  <c r="A62" i="7"/>
  <c r="B62" i="7" s="1"/>
  <c r="A108" i="7"/>
  <c r="B108" i="7" s="1"/>
  <c r="A297" i="7"/>
  <c r="B297" i="7" s="1"/>
  <c r="A300" i="7"/>
  <c r="B300" i="7" s="1"/>
  <c r="A312" i="7"/>
  <c r="B312" i="7" s="1"/>
  <c r="A310" i="7"/>
  <c r="B310" i="7" s="1"/>
  <c r="A247" i="7"/>
  <c r="B247" i="7" s="1"/>
  <c r="A139" i="7"/>
  <c r="B139" i="7" s="1"/>
  <c r="A140" i="7"/>
  <c r="B140" i="7" s="1"/>
  <c r="A180" i="7"/>
  <c r="B180" i="7" s="1"/>
  <c r="A266" i="7"/>
  <c r="B266" i="7" s="1"/>
  <c r="A101" i="7"/>
  <c r="B101" i="7" s="1"/>
  <c r="A64" i="7"/>
  <c r="B64" i="7" s="1"/>
  <c r="A241" i="7"/>
  <c r="B241" i="7" s="1"/>
  <c r="A219" i="7"/>
  <c r="B219" i="7" s="1"/>
  <c r="A277" i="7"/>
  <c r="B277" i="7" s="1"/>
  <c r="A295" i="7"/>
  <c r="B295" i="7" s="1"/>
  <c r="A243" i="7"/>
  <c r="B243" i="7" s="1"/>
  <c r="A223" i="7"/>
  <c r="B223" i="7" s="1"/>
  <c r="A269" i="7"/>
  <c r="B269" i="7" s="1"/>
  <c r="A239" i="7"/>
  <c r="B239" i="7" s="1"/>
  <c r="A49" i="7"/>
  <c r="B49" i="7" s="1"/>
  <c r="A214" i="7"/>
  <c r="B214" i="7" s="1"/>
  <c r="A202" i="7"/>
  <c r="B202" i="7" s="1"/>
  <c r="A305" i="7"/>
  <c r="B305" i="7" s="1"/>
  <c r="A85" i="7"/>
  <c r="B85" i="7" s="1"/>
  <c r="A170" i="7"/>
  <c r="B170" i="7" s="1"/>
  <c r="A228" i="7"/>
  <c r="B228" i="7" s="1"/>
  <c r="A132" i="7"/>
  <c r="B132" i="7" s="1"/>
  <c r="A65" i="7"/>
  <c r="B65" i="7" s="1"/>
  <c r="A179" i="7"/>
  <c r="B179" i="7" s="1"/>
  <c r="A288" i="7"/>
  <c r="B288" i="7" s="1"/>
  <c r="A147" i="7"/>
  <c r="B147" i="7" s="1"/>
  <c r="A314" i="7"/>
  <c r="B314" i="7" s="1"/>
  <c r="A105" i="7"/>
  <c r="B105" i="7" s="1"/>
  <c r="A97" i="7"/>
  <c r="B97" i="7" s="1"/>
  <c r="A90" i="7"/>
  <c r="B90" i="7" s="1"/>
  <c r="A15" i="7"/>
  <c r="B15" i="7" s="1"/>
  <c r="A36" i="7"/>
  <c r="B36" i="7" s="1"/>
  <c r="A143" i="7"/>
  <c r="B143" i="7" s="1"/>
  <c r="A173" i="7"/>
  <c r="B173" i="7" s="1"/>
  <c r="A29" i="7"/>
  <c r="B29" i="7" s="1"/>
  <c r="A328" i="7"/>
  <c r="B328" i="7" s="1"/>
  <c r="A286" i="7"/>
  <c r="B286" i="7" s="1"/>
  <c r="A10" i="7"/>
  <c r="B10" i="7" s="1"/>
  <c r="A148" i="7"/>
  <c r="B148" i="7" s="1"/>
  <c r="A327" i="7"/>
  <c r="B327" i="7" s="1"/>
  <c r="A14" i="7"/>
  <c r="B14" i="7" s="1"/>
  <c r="A270" i="7"/>
  <c r="B270" i="7" s="1"/>
  <c r="A271" i="7"/>
  <c r="B271" i="7" s="1"/>
  <c r="A186" i="7"/>
  <c r="B186" i="7" s="1"/>
  <c r="A67" i="7"/>
  <c r="B67" i="7" s="1"/>
  <c r="A240" i="7"/>
  <c r="B240" i="7" s="1"/>
  <c r="A280" i="7"/>
  <c r="B280" i="7" s="1"/>
  <c r="A158" i="7"/>
  <c r="B158" i="7" s="1"/>
  <c r="A196" i="7"/>
  <c r="B196" i="7" s="1"/>
  <c r="A322" i="7"/>
  <c r="B322" i="7" s="1"/>
  <c r="A23" i="7"/>
  <c r="B23" i="7" s="1"/>
  <c r="A21" i="7"/>
  <c r="B21" i="7" s="1"/>
  <c r="A48" i="7"/>
  <c r="B48" i="7" s="1"/>
  <c r="A169" i="7"/>
  <c r="B169" i="7" s="1"/>
  <c r="A257" i="7"/>
  <c r="B257" i="7" s="1"/>
  <c r="A336" i="7"/>
  <c r="B336" i="7" s="1"/>
  <c r="A117" i="7"/>
  <c r="B117" i="7" s="1"/>
  <c r="A188" i="7"/>
  <c r="B188" i="7" s="1"/>
  <c r="A124" i="7"/>
  <c r="B124" i="7" s="1"/>
  <c r="A182" i="7"/>
  <c r="B182" i="7" s="1"/>
  <c r="A24" i="7"/>
  <c r="B24" i="7" s="1"/>
  <c r="A268" i="7"/>
  <c r="B268" i="7" s="1"/>
  <c r="A279" i="7"/>
  <c r="B279" i="7" s="1"/>
  <c r="A93" i="7"/>
  <c r="B93" i="7" s="1"/>
  <c r="A75" i="7"/>
  <c r="B75" i="7" s="1"/>
  <c r="A204" i="7"/>
  <c r="B204" i="7" s="1"/>
  <c r="A315" i="7"/>
  <c r="B315" i="7" s="1"/>
  <c r="A175" i="7"/>
  <c r="B175" i="7" s="1"/>
  <c r="A18" i="7"/>
  <c r="B18" i="7" s="1"/>
  <c r="A208" i="7"/>
  <c r="B208" i="7" s="1"/>
  <c r="A234" i="7"/>
  <c r="B234" i="7" s="1"/>
  <c r="A110" i="7"/>
  <c r="B110" i="7" s="1"/>
  <c r="A335" i="7"/>
  <c r="B335" i="7" s="1"/>
  <c r="A7" i="7"/>
  <c r="B7" i="7" s="1"/>
  <c r="A178" i="7"/>
  <c r="B178" i="7" s="1"/>
  <c r="A25" i="7"/>
  <c r="B25" i="7" s="1"/>
  <c r="A12" i="7"/>
  <c r="B12" i="7" s="1"/>
  <c r="A325" i="7"/>
  <c r="B325" i="7" s="1"/>
  <c r="A255" i="7"/>
  <c r="B255" i="7" s="1"/>
  <c r="A232" i="7"/>
  <c r="B232" i="7" s="1"/>
  <c r="A125" i="7"/>
  <c r="B125" i="7" s="1"/>
  <c r="A70" i="7"/>
  <c r="B70" i="7" s="1"/>
  <c r="A235" i="7"/>
  <c r="B235" i="7" s="1"/>
  <c r="A38" i="7"/>
  <c r="B38" i="7" s="1"/>
  <c r="A5" i="7"/>
  <c r="B5" i="7" s="1"/>
  <c r="A16" i="7"/>
  <c r="B16" i="7" s="1"/>
  <c r="A321" i="7"/>
  <c r="B321" i="7" s="1"/>
  <c r="I614" i="7" l="1"/>
  <c r="I739" i="7"/>
  <c r="I656" i="7"/>
  <c r="I576" i="7"/>
  <c r="I524" i="7"/>
  <c r="I672" i="7"/>
  <c r="I564" i="7"/>
  <c r="I507" i="7"/>
  <c r="I557" i="7"/>
  <c r="I447" i="7"/>
  <c r="I360" i="7"/>
  <c r="I379" i="7"/>
  <c r="I388" i="7"/>
  <c r="I410" i="7"/>
  <c r="I456" i="7"/>
  <c r="I540" i="7"/>
  <c r="I727" i="7"/>
  <c r="I606" i="7"/>
  <c r="I721" i="7"/>
  <c r="I634" i="7"/>
  <c r="I706" i="7"/>
  <c r="I544" i="7"/>
  <c r="I623" i="7"/>
  <c r="I500" i="7"/>
  <c r="I486" i="7"/>
  <c r="I448" i="7"/>
  <c r="I395" i="7"/>
  <c r="I475" i="7"/>
  <c r="I416" i="7"/>
  <c r="I376" i="7"/>
  <c r="I426" i="7"/>
  <c r="I491" i="7"/>
  <c r="I536" i="7"/>
  <c r="I667" i="7"/>
  <c r="I490" i="7"/>
  <c r="I351" i="7"/>
  <c r="I438" i="7"/>
  <c r="I403" i="7"/>
  <c r="I347" i="7"/>
  <c r="I522" i="7"/>
  <c r="I648" i="7"/>
  <c r="I600" i="7"/>
  <c r="I616" i="7"/>
  <c r="I693" i="7"/>
  <c r="I700" i="7"/>
  <c r="I550" i="7"/>
  <c r="I478" i="7"/>
  <c r="I463" i="7"/>
  <c r="I400" i="7"/>
  <c r="I530" i="7"/>
  <c r="I642" i="7"/>
  <c r="I680" i="7"/>
  <c r="I735" i="7"/>
  <c r="I718" i="7"/>
  <c r="I712" i="7"/>
  <c r="I552" i="7"/>
  <c r="I561" i="7"/>
  <c r="I428" i="7"/>
  <c r="I474" i="7"/>
  <c r="I396" i="7"/>
  <c r="I362" i="7"/>
  <c r="I346" i="7"/>
  <c r="I685" i="7"/>
  <c r="I624" i="7"/>
  <c r="I676" i="7"/>
  <c r="I621" i="7"/>
  <c r="I480" i="7"/>
  <c r="I461" i="7"/>
  <c r="I383" i="7"/>
  <c r="I398" i="7"/>
  <c r="I572" i="7"/>
  <c r="I508" i="7"/>
  <c r="I690" i="7"/>
  <c r="I684" i="7"/>
  <c r="I558" i="7"/>
  <c r="I732" i="7"/>
  <c r="I427" i="7"/>
  <c r="I479" i="7"/>
  <c r="I422" i="7"/>
  <c r="I418" i="7"/>
  <c r="I372" i="7"/>
  <c r="I387" i="7"/>
  <c r="I590" i="7"/>
  <c r="I677" i="7"/>
  <c r="I509" i="7"/>
  <c r="I468" i="7"/>
  <c r="I713" i="7"/>
  <c r="I612" i="7"/>
  <c r="I725" i="7"/>
  <c r="I554" i="7"/>
  <c r="I738" i="7"/>
  <c r="I607" i="7"/>
  <c r="I406" i="7"/>
  <c r="I476" i="7"/>
  <c r="I374" i="7"/>
  <c r="I452" i="7"/>
  <c r="I445" i="7"/>
  <c r="I458" i="7"/>
  <c r="I399" i="7"/>
  <c r="I382" i="7"/>
  <c r="I390" i="7"/>
  <c r="I420" i="7"/>
  <c r="I404" i="7"/>
  <c r="I367" i="7"/>
  <c r="I560" i="7"/>
  <c r="I716" i="7"/>
  <c r="I719" i="7"/>
  <c r="I473" i="7"/>
  <c r="I556" i="7"/>
  <c r="I662" i="7"/>
  <c r="I636" i="7"/>
  <c r="I687" i="7"/>
  <c r="I582" i="7"/>
  <c r="I470" i="7"/>
  <c r="I502" i="7"/>
  <c r="I505" i="7"/>
  <c r="I506" i="7"/>
  <c r="I435" i="7"/>
  <c r="I415" i="7"/>
  <c r="I352" i="7"/>
  <c r="I673" i="7"/>
  <c r="I640" i="7"/>
  <c r="I575" i="7"/>
  <c r="I464" i="7"/>
  <c r="I412" i="7"/>
  <c r="I729" i="7"/>
  <c r="I358" i="7"/>
  <c r="I588" i="7"/>
  <c r="I596" i="7"/>
  <c r="I488" i="7"/>
  <c r="I528" i="7"/>
  <c r="I598" i="7"/>
  <c r="I701" i="7"/>
  <c r="I349" i="7"/>
  <c r="I373" i="7"/>
  <c r="I494" i="7"/>
  <c r="I649" i="7"/>
  <c r="I467" i="7"/>
  <c r="I555" i="7"/>
  <c r="I472" i="7"/>
  <c r="I669" i="7"/>
  <c r="I641" i="7"/>
  <c r="I355" i="7"/>
  <c r="I730" i="7"/>
  <c r="I460" i="7"/>
  <c r="I465" i="7"/>
  <c r="I523" i="7"/>
  <c r="I593" i="7"/>
  <c r="I723" i="7"/>
  <c r="I580" i="7"/>
  <c r="I696" i="7"/>
  <c r="I492" i="7"/>
  <c r="I619" i="7"/>
  <c r="I419" i="7"/>
  <c r="I601" i="7"/>
  <c r="I568" i="7"/>
  <c r="I391" i="7"/>
  <c r="I483" i="7"/>
  <c r="I455" i="7"/>
  <c r="I650" i="7"/>
  <c r="I694" i="7"/>
  <c r="I597" i="7"/>
  <c r="I449" i="7"/>
  <c r="I353" i="7"/>
  <c r="I481" i="7"/>
  <c r="I407" i="7"/>
  <c r="I497" i="7"/>
  <c r="I397" i="7"/>
  <c r="I583" i="7"/>
  <c r="I609" i="7"/>
  <c r="I651" i="7"/>
  <c r="I579" i="7"/>
  <c r="I361" i="7"/>
  <c r="I369" i="7"/>
  <c r="I499" i="7"/>
  <c r="I736" i="7"/>
  <c r="I661" i="7"/>
  <c r="I643" i="7"/>
  <c r="I710" i="7"/>
  <c r="I489" i="7"/>
  <c r="I521" i="7"/>
  <c r="I603" i="7"/>
  <c r="I553" i="7"/>
  <c r="I441" i="7"/>
  <c r="I446" i="7"/>
  <c r="I377" i="7"/>
  <c r="I385" i="7"/>
  <c r="I451" i="7"/>
  <c r="I348" i="7"/>
  <c r="I424" i="7"/>
  <c r="I573" i="7"/>
  <c r="I635" i="7"/>
  <c r="I708" i="7"/>
  <c r="I714" i="7"/>
  <c r="I498" i="7"/>
  <c r="I663" i="7"/>
  <c r="I715" i="7"/>
  <c r="I543" i="7"/>
  <c r="I631" i="7"/>
  <c r="I645" i="7"/>
  <c r="I421" i="7"/>
  <c r="I692" i="7"/>
  <c r="I525" i="7"/>
  <c r="I425" i="7"/>
  <c r="I444" i="7"/>
  <c r="I365" i="7"/>
  <c r="I704" i="7"/>
  <c r="I559" i="7"/>
  <c r="I350" i="7"/>
  <c r="I537" i="7"/>
  <c r="I613" i="7"/>
  <c r="I454" i="7"/>
  <c r="I504" i="7"/>
  <c r="I682" i="7"/>
  <c r="I652" i="7"/>
  <c r="I615" i="7"/>
  <c r="I380" i="7"/>
  <c r="I532" i="7"/>
  <c r="I697" i="7"/>
  <c r="I408" i="7"/>
  <c r="I538" i="7"/>
  <c r="I510" i="7"/>
  <c r="I599" i="7"/>
  <c r="I608" i="7"/>
  <c r="I574" i="7"/>
  <c r="I549" i="7"/>
  <c r="I659" i="7"/>
  <c r="I437" i="7"/>
  <c r="I514" i="7"/>
  <c r="I637" i="7"/>
  <c r="I698" i="7"/>
  <c r="I679" i="7"/>
  <c r="I471" i="7"/>
  <c r="I354" i="7"/>
  <c r="I392" i="7"/>
  <c r="I660" i="7"/>
  <c r="I653" i="7"/>
  <c r="I686" i="7"/>
  <c r="I495" i="7"/>
  <c r="I394" i="7"/>
  <c r="I511" i="7"/>
  <c r="I658" i="7"/>
  <c r="I629" i="7"/>
  <c r="I529" i="7"/>
  <c r="I405" i="7"/>
  <c r="I429" i="7"/>
  <c r="I534" i="7"/>
  <c r="I545" i="7"/>
  <c r="I666" i="7"/>
  <c r="I625" i="7"/>
  <c r="I485" i="7"/>
  <c r="I434" i="7"/>
  <c r="I381" i="7"/>
  <c r="I503" i="7"/>
  <c r="I638" i="7"/>
  <c r="I375" i="7"/>
  <c r="I439" i="7"/>
  <c r="I720" i="7"/>
  <c r="I443" i="7"/>
  <c r="I548" i="7"/>
  <c r="I563" i="7"/>
  <c r="I440" i="7"/>
  <c r="I359" i="7"/>
  <c r="I551" i="7"/>
  <c r="I414" i="7"/>
  <c r="I366" i="7"/>
  <c r="I363" i="7"/>
  <c r="I430" i="7"/>
  <c r="I731" i="7"/>
  <c r="I466" i="7"/>
  <c r="I384" i="7"/>
  <c r="I512" i="7"/>
  <c r="I520" i="7"/>
  <c r="I630" i="7"/>
  <c r="I517" i="7"/>
  <c r="I617" i="7"/>
  <c r="I589" i="7"/>
  <c r="I571" i="7"/>
  <c r="I519" i="7"/>
  <c r="I707" i="7"/>
  <c r="I674" i="7"/>
  <c r="I628" i="7"/>
  <c r="I527" i="7"/>
  <c r="I487" i="7"/>
  <c r="I655" i="7"/>
  <c r="I591" i="7"/>
  <c r="I371" i="7"/>
  <c r="I386" i="7"/>
  <c r="I431" i="7"/>
  <c r="I413" i="7"/>
  <c r="I722" i="7"/>
  <c r="I378" i="7"/>
  <c r="I546" i="7"/>
  <c r="I368" i="7"/>
  <c r="I705" i="7"/>
  <c r="I733" i="7"/>
  <c r="I417" i="7"/>
  <c r="I618" i="7"/>
  <c r="I586" i="7"/>
  <c r="I626" i="7"/>
  <c r="I393" i="7"/>
  <c r="I432" i="7"/>
  <c r="I585" i="7"/>
  <c r="I562" i="7"/>
  <c r="I569" i="7"/>
  <c r="I681" i="7"/>
  <c r="I702" i="7"/>
  <c r="I401" i="7"/>
  <c r="I402" i="7"/>
  <c r="I581" i="7"/>
  <c r="I541" i="7"/>
  <c r="I691" i="7"/>
  <c r="I695" i="7"/>
  <c r="I688" i="7"/>
  <c r="I493" i="7"/>
  <c r="I370" i="7"/>
  <c r="I409" i="7"/>
  <c r="I627" i="7"/>
  <c r="I734" i="7"/>
  <c r="I578" i="7"/>
  <c r="I423" i="7"/>
  <c r="I450" i="7"/>
  <c r="I699" i="7"/>
  <c r="I457" i="7"/>
  <c r="I594" i="7"/>
  <c r="I671" i="7"/>
  <c r="I689" i="7"/>
  <c r="I668" i="7"/>
  <c r="I604" i="7"/>
  <c r="I411" i="7"/>
  <c r="I709" i="7"/>
  <c r="I584" i="7"/>
  <c r="I453" i="7"/>
  <c r="I587" i="7"/>
  <c r="I632" i="7"/>
  <c r="I389" i="7"/>
  <c r="I469" i="7"/>
  <c r="I646" i="7"/>
  <c r="I566" i="7"/>
  <c r="I501" i="7"/>
  <c r="I433" i="7"/>
  <c r="I539" i="7"/>
  <c r="I633" i="7"/>
  <c r="I717" i="7"/>
  <c r="I592" i="7"/>
  <c r="I647" i="7"/>
  <c r="I357" i="7"/>
  <c r="I737" i="7"/>
  <c r="I459" i="7"/>
  <c r="I531" i="7"/>
  <c r="I516" i="7"/>
  <c r="I482" i="7"/>
  <c r="I610" i="7"/>
  <c r="I678" i="7"/>
  <c r="I620" i="7"/>
  <c r="I724" i="7"/>
  <c r="I567" i="7"/>
  <c r="I477" i="7"/>
  <c r="I484" i="7"/>
  <c r="I728" i="7"/>
  <c r="I570" i="7"/>
  <c r="I654" i="7"/>
  <c r="I533" i="7"/>
  <c r="I675" i="7"/>
  <c r="I602" i="7"/>
  <c r="I683" i="7"/>
  <c r="I526" i="7"/>
  <c r="I711" i="7"/>
  <c r="I644" i="7"/>
  <c r="I657" i="7"/>
  <c r="I542" i="7"/>
  <c r="I639" i="7"/>
  <c r="I496" i="7"/>
  <c r="I595" i="7"/>
  <c r="I622" i="7"/>
  <c r="I726" i="7"/>
  <c r="I356" i="7"/>
  <c r="I513" i="7"/>
  <c r="I577" i="7"/>
  <c r="I436" i="7"/>
  <c r="I518" i="7"/>
  <c r="I535" i="7"/>
  <c r="I442" i="7"/>
  <c r="I670" i="7"/>
  <c r="I703" i="7"/>
  <c r="I565" i="7"/>
  <c r="I611" i="7"/>
  <c r="I515" i="7"/>
  <c r="I364" i="7"/>
  <c r="I462" i="7"/>
  <c r="I547" i="7"/>
  <c r="I605" i="7"/>
  <c r="D267" i="7" l="1"/>
  <c r="E267" i="7" s="1"/>
  <c r="J249" i="7" l="1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D313" i="7" l="1"/>
  <c r="E313" i="7" s="1"/>
  <c r="D340" i="7"/>
  <c r="E340" i="7" s="1"/>
  <c r="D332" i="7"/>
  <c r="E332" i="7" s="1"/>
  <c r="D329" i="7"/>
  <c r="E329" i="7" s="1"/>
  <c r="D316" i="7"/>
  <c r="E316" i="7" s="1"/>
  <c r="D295" i="7"/>
  <c r="E295" i="7" s="1"/>
  <c r="D263" i="7"/>
  <c r="E263" i="7" s="1"/>
  <c r="D249" i="7"/>
  <c r="E249" i="7" s="1"/>
  <c r="D312" i="7"/>
  <c r="E312" i="7" s="1"/>
  <c r="D296" i="7"/>
  <c r="E296" i="7" s="1"/>
  <c r="D265" i="7"/>
  <c r="E265" i="7" s="1"/>
  <c r="D257" i="7"/>
  <c r="E257" i="7" s="1"/>
  <c r="D331" i="7"/>
  <c r="E331" i="7" s="1"/>
  <c r="D286" i="7"/>
  <c r="E286" i="7" s="1"/>
  <c r="D278" i="7"/>
  <c r="E278" i="7" s="1"/>
  <c r="D262" i="7"/>
  <c r="E262" i="7" s="1"/>
  <c r="D254" i="7"/>
  <c r="E254" i="7" s="1"/>
  <c r="D314" i="7"/>
  <c r="E314" i="7" s="1"/>
  <c r="D309" i="7"/>
  <c r="E309" i="7" s="1"/>
  <c r="D285" i="7"/>
  <c r="E285" i="7" s="1"/>
  <c r="D261" i="7"/>
  <c r="E261" i="7" s="1"/>
  <c r="D250" i="7"/>
  <c r="E250" i="7" s="1"/>
  <c r="D338" i="7"/>
  <c r="E338" i="7" s="1"/>
  <c r="D330" i="7"/>
  <c r="E330" i="7" s="1"/>
  <c r="D298" i="7"/>
  <c r="E298" i="7" s="1"/>
  <c r="D290" i="7"/>
  <c r="E290" i="7" s="1"/>
  <c r="D258" i="7"/>
  <c r="E258" i="7" s="1"/>
  <c r="D253" i="7"/>
  <c r="E253" i="7" s="1"/>
  <c r="D324" i="7"/>
  <c r="E324" i="7" s="1"/>
  <c r="D321" i="7"/>
  <c r="E321" i="7" s="1"/>
  <c r="D276" i="7"/>
  <c r="E276" i="7" s="1"/>
  <c r="D334" i="7"/>
  <c r="E334" i="7" s="1"/>
  <c r="D326" i="7"/>
  <c r="E326" i="7" s="1"/>
  <c r="D297" i="7"/>
  <c r="E297" i="7" s="1"/>
  <c r="D289" i="7"/>
  <c r="E289" i="7" s="1"/>
  <c r="D252" i="7"/>
  <c r="E252" i="7" s="1"/>
  <c r="D325" i="7"/>
  <c r="E325" i="7" s="1"/>
  <c r="D320" i="7"/>
  <c r="E320" i="7" s="1"/>
  <c r="D291" i="7"/>
  <c r="E291" i="7" s="1"/>
  <c r="D259" i="7"/>
  <c r="E259" i="7" s="1"/>
  <c r="D345" i="7"/>
  <c r="E345" i="7" s="1"/>
  <c r="D337" i="7"/>
  <c r="E337" i="7" s="1"/>
  <c r="D319" i="7"/>
  <c r="E319" i="7" s="1"/>
  <c r="D294" i="7"/>
  <c r="E294" i="7" s="1"/>
  <c r="D281" i="7"/>
  <c r="E281" i="7" s="1"/>
  <c r="D273" i="7"/>
  <c r="E273" i="7" s="1"/>
  <c r="D268" i="7"/>
  <c r="E268" i="7" s="1"/>
  <c r="D344" i="7"/>
  <c r="E344" i="7" s="1"/>
  <c r="D308" i="7"/>
  <c r="E308" i="7" s="1"/>
  <c r="D303" i="7"/>
  <c r="E303" i="7" s="1"/>
  <c r="D288" i="7"/>
  <c r="E288" i="7" s="1"/>
  <c r="D280" i="7"/>
  <c r="E280" i="7" s="1"/>
  <c r="D275" i="7"/>
  <c r="E275" i="7" s="1"/>
  <c r="D260" i="7"/>
  <c r="E260" i="7" s="1"/>
  <c r="D341" i="7"/>
  <c r="E341" i="7" s="1"/>
  <c r="D333" i="7"/>
  <c r="E333" i="7" s="1"/>
  <c r="D305" i="7"/>
  <c r="E305" i="7" s="1"/>
  <c r="D300" i="7"/>
  <c r="E300" i="7" s="1"/>
  <c r="D282" i="7"/>
  <c r="E282" i="7" s="1"/>
  <c r="D272" i="7"/>
  <c r="E272" i="7" s="1"/>
  <c r="D269" i="7"/>
  <c r="E269" i="7" s="1"/>
  <c r="D255" i="7"/>
  <c r="E255" i="7" s="1"/>
  <c r="D251" i="7"/>
  <c r="E251" i="7" s="1"/>
  <c r="D343" i="7"/>
  <c r="E343" i="7" s="1"/>
  <c r="D335" i="7"/>
  <c r="E335" i="7" s="1"/>
  <c r="D302" i="7"/>
  <c r="E302" i="7" s="1"/>
  <c r="D292" i="7"/>
  <c r="E292" i="7" s="1"/>
  <c r="D287" i="7"/>
  <c r="E287" i="7" s="1"/>
  <c r="D284" i="7"/>
  <c r="E284" i="7" s="1"/>
  <c r="D328" i="7"/>
  <c r="E328" i="7" s="1"/>
  <c r="D318" i="7"/>
  <c r="E318" i="7" s="1"/>
  <c r="D310" i="7"/>
  <c r="E310" i="7" s="1"/>
  <c r="D304" i="7"/>
  <c r="E304" i="7" s="1"/>
  <c r="D270" i="7"/>
  <c r="E270" i="7" s="1"/>
  <c r="D264" i="7"/>
  <c r="E264" i="7" s="1"/>
  <c r="D336" i="7"/>
  <c r="E336" i="7" s="1"/>
  <c r="D323" i="7"/>
  <c r="E323" i="7" s="1"/>
  <c r="D307" i="7"/>
  <c r="E307" i="7" s="1"/>
  <c r="D283" i="7"/>
  <c r="E283" i="7" s="1"/>
  <c r="D277" i="7"/>
  <c r="E277" i="7" s="1"/>
  <c r="D271" i="7"/>
  <c r="E271" i="7" s="1"/>
  <c r="D256" i="7"/>
  <c r="E256" i="7" s="1"/>
  <c r="D339" i="7"/>
  <c r="E339" i="7" s="1"/>
  <c r="D327" i="7"/>
  <c r="E327" i="7" s="1"/>
  <c r="D317" i="7"/>
  <c r="E317" i="7" s="1"/>
  <c r="D311" i="7"/>
  <c r="E311" i="7" s="1"/>
  <c r="D301" i="7"/>
  <c r="E301" i="7" s="1"/>
  <c r="D299" i="7"/>
  <c r="E299" i="7" s="1"/>
  <c r="D279" i="7"/>
  <c r="E279" i="7" s="1"/>
  <c r="D342" i="7"/>
  <c r="E342" i="7" s="1"/>
  <c r="D322" i="7"/>
  <c r="E322" i="7" s="1"/>
  <c r="D315" i="7"/>
  <c r="E315" i="7" s="1"/>
  <c r="D306" i="7"/>
  <c r="E306" i="7" s="1"/>
  <c r="D293" i="7"/>
  <c r="E293" i="7" s="1"/>
  <c r="D274" i="7"/>
  <c r="E274" i="7" s="1"/>
  <c r="D266" i="7"/>
  <c r="E266" i="7" s="1"/>
  <c r="G262" i="7" l="1"/>
  <c r="G276" i="7"/>
  <c r="G311" i="7"/>
  <c r="H307" i="7"/>
  <c r="G328" i="7"/>
  <c r="G320" i="7"/>
  <c r="G321" i="7"/>
  <c r="H250" i="7"/>
  <c r="G274" i="7"/>
  <c r="G344" i="7"/>
  <c r="G283" i="7"/>
  <c r="H338" i="7"/>
  <c r="G287" i="7"/>
  <c r="G272" i="7"/>
  <c r="G280" i="7"/>
  <c r="H257" i="7"/>
  <c r="G266" i="7"/>
  <c r="G259" i="7"/>
  <c r="G323" i="7"/>
  <c r="H325" i="7"/>
  <c r="G336" i="7"/>
  <c r="G292" i="7"/>
  <c r="G282" i="7"/>
  <c r="F289" i="7"/>
  <c r="G258" i="7"/>
  <c r="G309" i="7"/>
  <c r="G265" i="7"/>
  <c r="F299" i="7"/>
  <c r="G278" i="7"/>
  <c r="G256" i="7"/>
  <c r="G270" i="7"/>
  <c r="H302" i="7"/>
  <c r="G300" i="7"/>
  <c r="G337" i="7"/>
  <c r="G290" i="7"/>
  <c r="F314" i="7"/>
  <c r="G340" i="7"/>
  <c r="G277" i="7"/>
  <c r="G301" i="7"/>
  <c r="H318" i="7"/>
  <c r="G251" i="7"/>
  <c r="G269" i="7"/>
  <c r="G281" i="7"/>
  <c r="F327" i="7"/>
  <c r="G271" i="7"/>
  <c r="G326" i="7"/>
  <c r="G254" i="7"/>
  <c r="F312" i="7"/>
  <c r="G313" i="7"/>
  <c r="F279" i="7"/>
  <c r="G279" i="7"/>
  <c r="F333" i="7"/>
  <c r="G333" i="7"/>
  <c r="F334" i="7"/>
  <c r="G334" i="7"/>
  <c r="F330" i="7"/>
  <c r="G330" i="7"/>
  <c r="H249" i="7"/>
  <c r="G249" i="7"/>
  <c r="H335" i="7"/>
  <c r="G335" i="7"/>
  <c r="F293" i="7"/>
  <c r="G293" i="7"/>
  <c r="H268" i="7"/>
  <c r="G268" i="7"/>
  <c r="F263" i="7"/>
  <c r="G263" i="7"/>
  <c r="H339" i="7"/>
  <c r="G339" i="7"/>
  <c r="F341" i="7"/>
  <c r="G341" i="7"/>
  <c r="F291" i="7"/>
  <c r="G291" i="7"/>
  <c r="H306" i="7"/>
  <c r="G306" i="7"/>
  <c r="H317" i="7"/>
  <c r="G317" i="7"/>
  <c r="H284" i="7"/>
  <c r="G284" i="7"/>
  <c r="F267" i="7"/>
  <c r="G267" i="7"/>
  <c r="F260" i="7"/>
  <c r="G260" i="7"/>
  <c r="F273" i="7"/>
  <c r="G273" i="7"/>
  <c r="H286" i="7"/>
  <c r="G286" i="7"/>
  <c r="F295" i="7"/>
  <c r="G295" i="7"/>
  <c r="F264" i="7"/>
  <c r="G264" i="7"/>
  <c r="H288" i="7"/>
  <c r="G288" i="7"/>
  <c r="H304" i="7"/>
  <c r="G304" i="7"/>
  <c r="F255" i="7"/>
  <c r="G255" i="7"/>
  <c r="H315" i="7"/>
  <c r="G315" i="7"/>
  <c r="F275" i="7"/>
  <c r="G275" i="7"/>
  <c r="F324" i="7"/>
  <c r="G324" i="7"/>
  <c r="F261" i="7"/>
  <c r="G261" i="7"/>
  <c r="F331" i="7"/>
  <c r="G331" i="7"/>
  <c r="H316" i="7"/>
  <c r="G316" i="7"/>
  <c r="F294" i="7"/>
  <c r="G294" i="7"/>
  <c r="H252" i="7"/>
  <c r="G252" i="7"/>
  <c r="H253" i="7"/>
  <c r="G253" i="7"/>
  <c r="H285" i="7"/>
  <c r="G285" i="7"/>
  <c r="H329" i="7"/>
  <c r="G329" i="7"/>
  <c r="F332" i="7"/>
  <c r="G332" i="7"/>
  <c r="F342" i="7"/>
  <c r="G342" i="7"/>
  <c r="H319" i="7"/>
  <c r="G319" i="7"/>
  <c r="F303" i="7"/>
  <c r="G303" i="7"/>
  <c r="F297" i="7"/>
  <c r="G297" i="7"/>
  <c r="F296" i="7"/>
  <c r="G296" i="7"/>
  <c r="H322" i="7"/>
  <c r="G322" i="7"/>
  <c r="H310" i="7"/>
  <c r="G310" i="7"/>
  <c r="F343" i="7"/>
  <c r="G343" i="7"/>
  <c r="F305" i="7"/>
  <c r="G305" i="7"/>
  <c r="F308" i="7"/>
  <c r="G308" i="7"/>
  <c r="F345" i="7"/>
  <c r="G345" i="7"/>
  <c r="F298" i="7"/>
  <c r="G298" i="7"/>
  <c r="F278" i="7"/>
  <c r="H332" i="7"/>
  <c r="F329" i="7"/>
  <c r="F340" i="7"/>
  <c r="H276" i="7"/>
  <c r="H261" i="7"/>
  <c r="H259" i="7"/>
  <c r="H340" i="7"/>
  <c r="H296" i="7"/>
  <c r="H282" i="7"/>
  <c r="H263" i="7"/>
  <c r="F249" i="7"/>
  <c r="F250" i="7"/>
  <c r="H280" i="7"/>
  <c r="H324" i="7"/>
  <c r="H278" i="7"/>
  <c r="H309" i="7"/>
  <c r="F316" i="7"/>
  <c r="F290" i="7"/>
  <c r="H283" i="7"/>
  <c r="H297" i="7"/>
  <c r="H308" i="7"/>
  <c r="F313" i="7"/>
  <c r="H313" i="7"/>
  <c r="H331" i="7"/>
  <c r="F281" i="7"/>
  <c r="F276" i="7"/>
  <c r="H291" i="7"/>
  <c r="H275" i="7"/>
  <c r="H281" i="7"/>
  <c r="H290" i="7"/>
  <c r="H343" i="7"/>
  <c r="F282" i="7"/>
  <c r="H303" i="7"/>
  <c r="H298" i="7"/>
  <c r="F252" i="7"/>
  <c r="H305" i="7"/>
  <c r="F265" i="7"/>
  <c r="H265" i="7"/>
  <c r="F309" i="7"/>
  <c r="H314" i="7"/>
  <c r="F320" i="7"/>
  <c r="H293" i="7"/>
  <c r="F283" i="7"/>
  <c r="F272" i="7"/>
  <c r="H272" i="7"/>
  <c r="F269" i="7"/>
  <c r="H260" i="7"/>
  <c r="H287" i="7"/>
  <c r="H334" i="7"/>
  <c r="H333" i="7"/>
  <c r="F284" i="7"/>
  <c r="H256" i="7"/>
  <c r="F254" i="7"/>
  <c r="H254" i="7"/>
  <c r="F262" i="7"/>
  <c r="H262" i="7"/>
  <c r="H271" i="7"/>
  <c r="F344" i="7"/>
  <c r="H344" i="7"/>
  <c r="F292" i="7"/>
  <c r="H292" i="7"/>
  <c r="F251" i="7"/>
  <c r="H321" i="7"/>
  <c r="H345" i="7"/>
  <c r="H320" i="7"/>
  <c r="F280" i="7"/>
  <c r="F285" i="7"/>
  <c r="H267" i="7"/>
  <c r="H311" i="7"/>
  <c r="H330" i="7"/>
  <c r="H251" i="7"/>
  <c r="H301" i="7"/>
  <c r="F321" i="7"/>
  <c r="H341" i="7"/>
  <c r="F315" i="7"/>
  <c r="H273" i="7"/>
  <c r="H258" i="7"/>
  <c r="F339" i="7"/>
  <c r="F335" i="7"/>
  <c r="F258" i="7"/>
  <c r="F286" i="7"/>
  <c r="H294" i="7"/>
  <c r="H264" i="7"/>
  <c r="H279" i="7"/>
  <c r="F328" i="7"/>
  <c r="H328" i="7"/>
  <c r="H300" i="7"/>
  <c r="F300" i="7"/>
  <c r="H299" i="7"/>
  <c r="F326" i="7"/>
  <c r="H326" i="7"/>
  <c r="F271" i="7"/>
  <c r="F268" i="7"/>
  <c r="H323" i="7"/>
  <c r="F319" i="7"/>
  <c r="F253" i="7"/>
  <c r="F259" i="7"/>
  <c r="F317" i="7"/>
  <c r="F288" i="7"/>
  <c r="H269" i="7"/>
  <c r="F323" i="7"/>
  <c r="H337" i="7"/>
  <c r="F337" i="7"/>
  <c r="F287" i="7"/>
  <c r="H295" i="7"/>
  <c r="H342" i="7"/>
  <c r="F256" i="7"/>
  <c r="F274" i="7"/>
  <c r="H274" i="7"/>
  <c r="F277" i="7"/>
  <c r="H277" i="7"/>
  <c r="F266" i="7"/>
  <c r="H266" i="7"/>
  <c r="F270" i="7"/>
  <c r="H270" i="7"/>
  <c r="F336" i="7"/>
  <c r="H336" i="7"/>
  <c r="F306" i="7"/>
  <c r="F301" i="7"/>
  <c r="F311" i="7"/>
  <c r="F304" i="7"/>
  <c r="H255" i="7"/>
  <c r="F322" i="7"/>
  <c r="F310" i="7"/>
  <c r="G312" i="7" l="1"/>
  <c r="G327" i="7"/>
  <c r="G318" i="7"/>
  <c r="G314" i="7"/>
  <c r="G302" i="7"/>
  <c r="G299" i="7"/>
  <c r="G289" i="7"/>
  <c r="G325" i="7"/>
  <c r="G257" i="7"/>
  <c r="G338" i="7"/>
  <c r="G250" i="7"/>
  <c r="G307" i="7"/>
  <c r="F257" i="7"/>
  <c r="F325" i="7"/>
  <c r="H312" i="7"/>
  <c r="H289" i="7"/>
  <c r="F318" i="7"/>
  <c r="F338" i="7"/>
  <c r="H327" i="7"/>
  <c r="F307" i="7"/>
  <c r="F302" i="7"/>
  <c r="D223" i="7"/>
  <c r="E223" i="7" s="1"/>
  <c r="J223" i="7"/>
  <c r="D176" i="7"/>
  <c r="E176" i="7" s="1"/>
  <c r="J176" i="7"/>
  <c r="D114" i="7"/>
  <c r="E114" i="7" s="1"/>
  <c r="J114" i="7"/>
  <c r="D235" i="7"/>
  <c r="E235" i="7" s="1"/>
  <c r="J235" i="7"/>
  <c r="D204" i="7"/>
  <c r="E204" i="7" s="1"/>
  <c r="J204" i="7"/>
  <c r="D219" i="7"/>
  <c r="E219" i="7" s="1"/>
  <c r="J219" i="7"/>
  <c r="D188" i="7"/>
  <c r="E188" i="7" s="1"/>
  <c r="J188" i="7"/>
  <c r="D226" i="7"/>
  <c r="E226" i="7" s="1"/>
  <c r="J226" i="7"/>
  <c r="D218" i="7"/>
  <c r="E218" i="7" s="1"/>
  <c r="J218" i="7"/>
  <c r="D194" i="7"/>
  <c r="E194" i="7" s="1"/>
  <c r="J194" i="7"/>
  <c r="D225" i="7"/>
  <c r="E225" i="7" s="1"/>
  <c r="J225" i="7"/>
  <c r="D209" i="7"/>
  <c r="E209" i="7" s="1"/>
  <c r="J209" i="7"/>
  <c r="D201" i="7"/>
  <c r="E201" i="7" s="1"/>
  <c r="J201" i="7"/>
  <c r="D193" i="7"/>
  <c r="E193" i="7" s="1"/>
  <c r="J193" i="7"/>
  <c r="D186" i="7"/>
  <c r="E186" i="7" s="1"/>
  <c r="J186" i="7"/>
  <c r="D178" i="7"/>
  <c r="E178" i="7" s="1"/>
  <c r="J178" i="7"/>
  <c r="D163" i="7"/>
  <c r="E163" i="7" s="1"/>
  <c r="J163" i="7"/>
  <c r="D155" i="7"/>
  <c r="E155" i="7" s="1"/>
  <c r="J155" i="7"/>
  <c r="D147" i="7"/>
  <c r="E147" i="7" s="1"/>
  <c r="J147" i="7"/>
  <c r="D132" i="7"/>
  <c r="E132" i="7" s="1"/>
  <c r="J132" i="7"/>
  <c r="D124" i="7"/>
  <c r="E124" i="7" s="1"/>
  <c r="J124" i="7"/>
  <c r="D116" i="7"/>
  <c r="E116" i="7" s="1"/>
  <c r="J116" i="7"/>
  <c r="D108" i="7"/>
  <c r="E108" i="7" s="1"/>
  <c r="J108" i="7"/>
  <c r="D100" i="7"/>
  <c r="E100" i="7" s="1"/>
  <c r="J100" i="7"/>
  <c r="D84" i="7"/>
  <c r="E84" i="7" s="1"/>
  <c r="J84" i="7"/>
  <c r="D76" i="7"/>
  <c r="E76" i="7" s="1"/>
  <c r="J76" i="7"/>
  <c r="D68" i="7"/>
  <c r="E68" i="7" s="1"/>
  <c r="J68" i="7"/>
  <c r="D60" i="7"/>
  <c r="E60" i="7" s="1"/>
  <c r="J60" i="7"/>
  <c r="D52" i="7"/>
  <c r="E52" i="7" s="1"/>
  <c r="J52" i="7"/>
  <c r="D44" i="7"/>
  <c r="E44" i="7" s="1"/>
  <c r="J44" i="7"/>
  <c r="D36" i="7"/>
  <c r="E36" i="7" s="1"/>
  <c r="J36" i="7"/>
  <c r="D28" i="7"/>
  <c r="E28" i="7" s="1"/>
  <c r="J28" i="7"/>
  <c r="D20" i="7"/>
  <c r="E20" i="7" s="1"/>
  <c r="J20" i="7"/>
  <c r="D15" i="7"/>
  <c r="E15" i="7" s="1"/>
  <c r="J15" i="7"/>
  <c r="D7" i="7"/>
  <c r="E7" i="7" s="1"/>
  <c r="J7" i="7"/>
  <c r="D247" i="7"/>
  <c r="E247" i="7" s="1"/>
  <c r="J247" i="7"/>
  <c r="D239" i="7"/>
  <c r="E239" i="7" s="1"/>
  <c r="J239" i="7"/>
  <c r="D232" i="7"/>
  <c r="E232" i="7" s="1"/>
  <c r="J232" i="7"/>
  <c r="D224" i="7"/>
  <c r="E224" i="7" s="1"/>
  <c r="J224" i="7"/>
  <c r="D216" i="7"/>
  <c r="E216" i="7" s="1"/>
  <c r="J216" i="7"/>
  <c r="D208" i="7"/>
  <c r="E208" i="7" s="1"/>
  <c r="J208" i="7"/>
  <c r="D200" i="7"/>
  <c r="E200" i="7" s="1"/>
  <c r="J200" i="7"/>
  <c r="D192" i="7"/>
  <c r="E192" i="7" s="1"/>
  <c r="J192" i="7"/>
  <c r="D185" i="7"/>
  <c r="E185" i="7" s="1"/>
  <c r="J185" i="7"/>
  <c r="D177" i="7"/>
  <c r="E177" i="7" s="1"/>
  <c r="J177" i="7"/>
  <c r="D170" i="7"/>
  <c r="E170" i="7" s="1"/>
  <c r="J170" i="7"/>
  <c r="D162" i="7"/>
  <c r="E162" i="7" s="1"/>
  <c r="J162" i="7"/>
  <c r="D154" i="7"/>
  <c r="E154" i="7" s="1"/>
  <c r="J154" i="7"/>
  <c r="D146" i="7"/>
  <c r="J146" i="7"/>
  <c r="D139" i="7"/>
  <c r="E139" i="7" s="1"/>
  <c r="J139" i="7"/>
  <c r="D131" i="7"/>
  <c r="E131" i="7" s="1"/>
  <c r="J131" i="7"/>
  <c r="D123" i="7"/>
  <c r="E123" i="7" s="1"/>
  <c r="J123" i="7"/>
  <c r="D115" i="7"/>
  <c r="E115" i="7" s="1"/>
  <c r="J115" i="7"/>
  <c r="D107" i="7"/>
  <c r="E107" i="7" s="1"/>
  <c r="J107" i="7"/>
  <c r="D99" i="7"/>
  <c r="E99" i="7" s="1"/>
  <c r="J99" i="7"/>
  <c r="D91" i="7"/>
  <c r="E91" i="7" s="1"/>
  <c r="J91" i="7"/>
  <c r="D83" i="7"/>
  <c r="E83" i="7" s="1"/>
  <c r="J83" i="7"/>
  <c r="D75" i="7"/>
  <c r="E75" i="7" s="1"/>
  <c r="J75" i="7"/>
  <c r="D67" i="7"/>
  <c r="E67" i="7" s="1"/>
  <c r="J67" i="7"/>
  <c r="D59" i="7"/>
  <c r="E59" i="7" s="1"/>
  <c r="J59" i="7"/>
  <c r="D51" i="7"/>
  <c r="E51" i="7" s="1"/>
  <c r="J51" i="7"/>
  <c r="D43" i="7"/>
  <c r="E43" i="7" s="1"/>
  <c r="J43" i="7"/>
  <c r="D35" i="7"/>
  <c r="E35" i="7" s="1"/>
  <c r="J35" i="7"/>
  <c r="D27" i="7"/>
  <c r="E27" i="7" s="1"/>
  <c r="J27" i="7"/>
  <c r="D19" i="7"/>
  <c r="E19" i="7" s="1"/>
  <c r="J19" i="7"/>
  <c r="D14" i="7"/>
  <c r="E14" i="7" s="1"/>
  <c r="J14" i="7"/>
  <c r="D6" i="7"/>
  <c r="E6" i="7" s="1"/>
  <c r="J6" i="7"/>
  <c r="D246" i="7"/>
  <c r="E246" i="7" s="1"/>
  <c r="J246" i="7"/>
  <c r="D215" i="7"/>
  <c r="E215" i="7" s="1"/>
  <c r="J215" i="7"/>
  <c r="D184" i="7"/>
  <c r="E184" i="7" s="1"/>
  <c r="J184" i="7"/>
  <c r="D153" i="7"/>
  <c r="E153" i="7" s="1"/>
  <c r="J153" i="7"/>
  <c r="D130" i="7"/>
  <c r="E130" i="7" s="1"/>
  <c r="J130" i="7"/>
  <c r="D106" i="7"/>
  <c r="E106" i="7" s="1"/>
  <c r="J106" i="7"/>
  <c r="D90" i="7"/>
  <c r="E90" i="7" s="1"/>
  <c r="J90" i="7"/>
  <c r="D74" i="7"/>
  <c r="E74" i="7" s="1"/>
  <c r="J74" i="7"/>
  <c r="D66" i="7"/>
  <c r="E66" i="7" s="1"/>
  <c r="J66" i="7"/>
  <c r="D58" i="7"/>
  <c r="E58" i="7" s="1"/>
  <c r="J58" i="7"/>
  <c r="D50" i="7"/>
  <c r="E50" i="7" s="1"/>
  <c r="J50" i="7"/>
  <c r="D42" i="7"/>
  <c r="E42" i="7" s="1"/>
  <c r="J42" i="7"/>
  <c r="D34" i="7"/>
  <c r="E34" i="7" s="1"/>
  <c r="J34" i="7"/>
  <c r="D26" i="7"/>
  <c r="E26" i="7" s="1"/>
  <c r="J26" i="7"/>
  <c r="D18" i="7"/>
  <c r="E18" i="7" s="1"/>
  <c r="J18" i="7"/>
  <c r="D13" i="7"/>
  <c r="E13" i="7" s="1"/>
  <c r="J13" i="7"/>
  <c r="D5" i="7"/>
  <c r="E5" i="7" s="1"/>
  <c r="J5" i="7"/>
  <c r="D245" i="7"/>
  <c r="E245" i="7" s="1"/>
  <c r="J245" i="7"/>
  <c r="D237" i="7"/>
  <c r="E237" i="7" s="1"/>
  <c r="J237" i="7"/>
  <c r="D230" i="7"/>
  <c r="E230" i="7" s="1"/>
  <c r="J230" i="7"/>
  <c r="D222" i="7"/>
  <c r="E222" i="7" s="1"/>
  <c r="J222" i="7"/>
  <c r="D214" i="7"/>
  <c r="E214" i="7" s="1"/>
  <c r="J214" i="7"/>
  <c r="D206" i="7"/>
  <c r="E206" i="7" s="1"/>
  <c r="J206" i="7"/>
  <c r="D198" i="7"/>
  <c r="E198" i="7" s="1"/>
  <c r="J198" i="7"/>
  <c r="D190" i="7"/>
  <c r="E190" i="7" s="1"/>
  <c r="J190" i="7"/>
  <c r="D183" i="7"/>
  <c r="E183" i="7" s="1"/>
  <c r="J183" i="7"/>
  <c r="D175" i="7"/>
  <c r="E175" i="7" s="1"/>
  <c r="J175" i="7"/>
  <c r="D168" i="7"/>
  <c r="E168" i="7" s="1"/>
  <c r="J168" i="7"/>
  <c r="D160" i="7"/>
  <c r="E160" i="7" s="1"/>
  <c r="J160" i="7"/>
  <c r="D152" i="7"/>
  <c r="E152" i="7" s="1"/>
  <c r="J152" i="7"/>
  <c r="D144" i="7"/>
  <c r="E144" i="7" s="1"/>
  <c r="J144" i="7"/>
  <c r="D137" i="7"/>
  <c r="E137" i="7" s="1"/>
  <c r="J137" i="7"/>
  <c r="D129" i="7"/>
  <c r="E129" i="7" s="1"/>
  <c r="J129" i="7"/>
  <c r="D121" i="7"/>
  <c r="E121" i="7" s="1"/>
  <c r="J121" i="7"/>
  <c r="D113" i="7"/>
  <c r="E113" i="7" s="1"/>
  <c r="J113" i="7"/>
  <c r="D105" i="7"/>
  <c r="E105" i="7" s="1"/>
  <c r="J105" i="7"/>
  <c r="D97" i="7"/>
  <c r="E97" i="7" s="1"/>
  <c r="J97" i="7"/>
  <c r="D89" i="7"/>
  <c r="E89" i="7" s="1"/>
  <c r="J89" i="7"/>
  <c r="D81" i="7"/>
  <c r="E81" i="7" s="1"/>
  <c r="J81" i="7"/>
  <c r="D73" i="7"/>
  <c r="E73" i="7" s="1"/>
  <c r="J73" i="7"/>
  <c r="D65" i="7"/>
  <c r="E65" i="7" s="1"/>
  <c r="J65" i="7"/>
  <c r="D57" i="7"/>
  <c r="E57" i="7" s="1"/>
  <c r="J57" i="7"/>
  <c r="D49" i="7"/>
  <c r="E49" i="7" s="1"/>
  <c r="J49" i="7"/>
  <c r="D41" i="7"/>
  <c r="E41" i="7" s="1"/>
  <c r="J41" i="7"/>
  <c r="D33" i="7"/>
  <c r="E33" i="7" s="1"/>
  <c r="J33" i="7"/>
  <c r="D25" i="7"/>
  <c r="E25" i="7" s="1"/>
  <c r="J25" i="7"/>
  <c r="D12" i="7"/>
  <c r="E12" i="7" s="1"/>
  <c r="J12" i="7"/>
  <c r="D4" i="7"/>
  <c r="E4" i="7" s="1"/>
  <c r="J4" i="7"/>
  <c r="D244" i="7"/>
  <c r="E244" i="7" s="1"/>
  <c r="J244" i="7"/>
  <c r="D236" i="7"/>
  <c r="E236" i="7" s="1"/>
  <c r="J236" i="7"/>
  <c r="D229" i="7"/>
  <c r="E229" i="7" s="1"/>
  <c r="J229" i="7"/>
  <c r="D221" i="7"/>
  <c r="E221" i="7" s="1"/>
  <c r="J221" i="7"/>
  <c r="D213" i="7"/>
  <c r="E213" i="7" s="1"/>
  <c r="J213" i="7"/>
  <c r="D205" i="7"/>
  <c r="E205" i="7" s="1"/>
  <c r="J205" i="7"/>
  <c r="D197" i="7"/>
  <c r="E197" i="7" s="1"/>
  <c r="J197" i="7"/>
  <c r="D182" i="7"/>
  <c r="E182" i="7" s="1"/>
  <c r="J182" i="7"/>
  <c r="D167" i="7"/>
  <c r="E167" i="7" s="1"/>
  <c r="J167" i="7"/>
  <c r="D159" i="7"/>
  <c r="E159" i="7" s="1"/>
  <c r="J159" i="7"/>
  <c r="D151" i="7"/>
  <c r="E151" i="7" s="1"/>
  <c r="J151" i="7"/>
  <c r="D143" i="7"/>
  <c r="E143" i="7" s="1"/>
  <c r="J143" i="7"/>
  <c r="D136" i="7"/>
  <c r="E136" i="7" s="1"/>
  <c r="J136" i="7"/>
  <c r="D128" i="7"/>
  <c r="E128" i="7" s="1"/>
  <c r="J128" i="7"/>
  <c r="D120" i="7"/>
  <c r="E120" i="7" s="1"/>
  <c r="J120" i="7"/>
  <c r="D112" i="7"/>
  <c r="E112" i="7" s="1"/>
  <c r="J112" i="7"/>
  <c r="D104" i="7"/>
  <c r="E104" i="7" s="1"/>
  <c r="J104" i="7"/>
  <c r="D96" i="7"/>
  <c r="E96" i="7" s="1"/>
  <c r="J96" i="7"/>
  <c r="D88" i="7"/>
  <c r="E88" i="7" s="1"/>
  <c r="J88" i="7"/>
  <c r="D80" i="7"/>
  <c r="E80" i="7" s="1"/>
  <c r="J80" i="7"/>
  <c r="D72" i="7"/>
  <c r="E72" i="7" s="1"/>
  <c r="J72" i="7"/>
  <c r="D64" i="7"/>
  <c r="E64" i="7" s="1"/>
  <c r="J64" i="7"/>
  <c r="D56" i="7"/>
  <c r="E56" i="7" s="1"/>
  <c r="J56" i="7"/>
  <c r="D48" i="7"/>
  <c r="E48" i="7" s="1"/>
  <c r="J48" i="7"/>
  <c r="D40" i="7"/>
  <c r="E40" i="7" s="1"/>
  <c r="J40" i="7"/>
  <c r="D32" i="7"/>
  <c r="E32" i="7" s="1"/>
  <c r="J32" i="7"/>
  <c r="D24" i="7"/>
  <c r="E24" i="7" s="1"/>
  <c r="J24" i="7"/>
  <c r="D17" i="7"/>
  <c r="E17" i="7" s="1"/>
  <c r="J17" i="7"/>
  <c r="D11" i="7"/>
  <c r="E11" i="7" s="1"/>
  <c r="J11" i="7"/>
  <c r="D3" i="7"/>
  <c r="E3" i="7" s="1"/>
  <c r="J3" i="7"/>
  <c r="D196" i="7"/>
  <c r="E196" i="7" s="1"/>
  <c r="J196" i="7"/>
  <c r="D189" i="7"/>
  <c r="E189" i="7" s="1"/>
  <c r="J189" i="7"/>
  <c r="D181" i="7"/>
  <c r="E181" i="7" s="1"/>
  <c r="J181" i="7"/>
  <c r="D174" i="7"/>
  <c r="E174" i="7" s="1"/>
  <c r="J174" i="7"/>
  <c r="D166" i="7"/>
  <c r="E166" i="7" s="1"/>
  <c r="J166" i="7"/>
  <c r="D158" i="7"/>
  <c r="E158" i="7" s="1"/>
  <c r="J158" i="7"/>
  <c r="D150" i="7"/>
  <c r="E150" i="7" s="1"/>
  <c r="J150" i="7"/>
  <c r="D142" i="7"/>
  <c r="E142" i="7" s="1"/>
  <c r="J142" i="7"/>
  <c r="D135" i="7"/>
  <c r="E135" i="7" s="1"/>
  <c r="J135" i="7"/>
  <c r="D127" i="7"/>
  <c r="E127" i="7" s="1"/>
  <c r="J127" i="7"/>
  <c r="D119" i="7"/>
  <c r="E119" i="7" s="1"/>
  <c r="J119" i="7"/>
  <c r="D111" i="7"/>
  <c r="E111" i="7" s="1"/>
  <c r="J111" i="7"/>
  <c r="D103" i="7"/>
  <c r="E103" i="7" s="1"/>
  <c r="J103" i="7"/>
  <c r="D95" i="7"/>
  <c r="E95" i="7" s="1"/>
  <c r="J95" i="7"/>
  <c r="D87" i="7"/>
  <c r="E87" i="7" s="1"/>
  <c r="J87" i="7"/>
  <c r="D79" i="7"/>
  <c r="E79" i="7" s="1"/>
  <c r="J79" i="7"/>
  <c r="D71" i="7"/>
  <c r="E71" i="7" s="1"/>
  <c r="J71" i="7"/>
  <c r="D63" i="7"/>
  <c r="E63" i="7" s="1"/>
  <c r="J63" i="7"/>
  <c r="D55" i="7"/>
  <c r="E55" i="7" s="1"/>
  <c r="J55" i="7"/>
  <c r="D47" i="7"/>
  <c r="E47" i="7" s="1"/>
  <c r="J47" i="7"/>
  <c r="D39" i="7"/>
  <c r="E39" i="7" s="1"/>
  <c r="J39" i="7"/>
  <c r="D31" i="7"/>
  <c r="E31" i="7" s="1"/>
  <c r="J31" i="7"/>
  <c r="D23" i="7"/>
  <c r="E23" i="7" s="1"/>
  <c r="J23" i="7"/>
  <c r="D10" i="7"/>
  <c r="E10" i="7" s="1"/>
  <c r="J10" i="7"/>
  <c r="D238" i="7"/>
  <c r="E238" i="7" s="1"/>
  <c r="J238" i="7"/>
  <c r="D191" i="7"/>
  <c r="E191" i="7" s="1"/>
  <c r="J191" i="7"/>
  <c r="D161" i="7"/>
  <c r="E161" i="7" s="1"/>
  <c r="J161" i="7"/>
  <c r="D138" i="7"/>
  <c r="E138" i="7" s="1"/>
  <c r="J138" i="7"/>
  <c r="D98" i="7"/>
  <c r="E98" i="7" s="1"/>
  <c r="J98" i="7"/>
  <c r="D228" i="7"/>
  <c r="E228" i="7" s="1"/>
  <c r="J228" i="7"/>
  <c r="D234" i="7"/>
  <c r="E234" i="7" s="1"/>
  <c r="J234" i="7"/>
  <c r="D203" i="7"/>
  <c r="E203" i="7" s="1"/>
  <c r="J203" i="7"/>
  <c r="D180" i="7"/>
  <c r="E180" i="7" s="1"/>
  <c r="J180" i="7"/>
  <c r="D173" i="7"/>
  <c r="E173" i="7" s="1"/>
  <c r="J173" i="7"/>
  <c r="D165" i="7"/>
  <c r="E165" i="7" s="1"/>
  <c r="J165" i="7"/>
  <c r="D157" i="7"/>
  <c r="E157" i="7" s="1"/>
  <c r="J157" i="7"/>
  <c r="D149" i="7"/>
  <c r="E149" i="7" s="1"/>
  <c r="J149" i="7"/>
  <c r="D141" i="7"/>
  <c r="E141" i="7" s="1"/>
  <c r="J141" i="7"/>
  <c r="D134" i="7"/>
  <c r="E134" i="7" s="1"/>
  <c r="J134" i="7"/>
  <c r="D126" i="7"/>
  <c r="E126" i="7" s="1"/>
  <c r="J126" i="7"/>
  <c r="D118" i="7"/>
  <c r="E118" i="7" s="1"/>
  <c r="J118" i="7"/>
  <c r="D110" i="7"/>
  <c r="E110" i="7" s="1"/>
  <c r="J110" i="7"/>
  <c r="D102" i="7"/>
  <c r="E102" i="7" s="1"/>
  <c r="J102" i="7"/>
  <c r="D94" i="7"/>
  <c r="E94" i="7" s="1"/>
  <c r="J94" i="7"/>
  <c r="D86" i="7"/>
  <c r="E86" i="7" s="1"/>
  <c r="J86" i="7"/>
  <c r="D78" i="7"/>
  <c r="E78" i="7" s="1"/>
  <c r="J78" i="7"/>
  <c r="D70" i="7"/>
  <c r="E70" i="7" s="1"/>
  <c r="J70" i="7"/>
  <c r="D62" i="7"/>
  <c r="E62" i="7" s="1"/>
  <c r="J62" i="7"/>
  <c r="D54" i="7"/>
  <c r="E54" i="7" s="1"/>
  <c r="J54" i="7"/>
  <c r="D46" i="7"/>
  <c r="E46" i="7" s="1"/>
  <c r="J46" i="7"/>
  <c r="D38" i="7"/>
  <c r="E38" i="7" s="1"/>
  <c r="J38" i="7"/>
  <c r="D30" i="7"/>
  <c r="E30" i="7" s="1"/>
  <c r="J30" i="7"/>
  <c r="D22" i="7"/>
  <c r="E22" i="7" s="1"/>
  <c r="J22" i="7"/>
  <c r="D16" i="7"/>
  <c r="E16" i="7" s="1"/>
  <c r="J16" i="7"/>
  <c r="D9" i="7"/>
  <c r="E9" i="7" s="1"/>
  <c r="J9" i="7"/>
  <c r="D207" i="7"/>
  <c r="E207" i="7" s="1"/>
  <c r="J207" i="7"/>
  <c r="D122" i="7"/>
  <c r="E122" i="7" s="1"/>
  <c r="J122" i="7"/>
  <c r="D243" i="7"/>
  <c r="E243" i="7" s="1"/>
  <c r="J243" i="7"/>
  <c r="D212" i="7"/>
  <c r="E212" i="7" s="1"/>
  <c r="J212" i="7"/>
  <c r="D227" i="7"/>
  <c r="E227" i="7" s="1"/>
  <c r="J227" i="7"/>
  <c r="D241" i="7"/>
  <c r="E241" i="7" s="1"/>
  <c r="J241" i="7"/>
  <c r="D202" i="7"/>
  <c r="E202" i="7" s="1"/>
  <c r="J202" i="7"/>
  <c r="D187" i="7"/>
  <c r="E187" i="7" s="1"/>
  <c r="J187" i="7"/>
  <c r="D179" i="7"/>
  <c r="E179" i="7" s="1"/>
  <c r="J179" i="7"/>
  <c r="D172" i="7"/>
  <c r="E172" i="7" s="1"/>
  <c r="J172" i="7"/>
  <c r="D164" i="7"/>
  <c r="E164" i="7" s="1"/>
  <c r="J164" i="7"/>
  <c r="D156" i="7"/>
  <c r="E156" i="7" s="1"/>
  <c r="J156" i="7"/>
  <c r="D148" i="7"/>
  <c r="E148" i="7" s="1"/>
  <c r="J148" i="7"/>
  <c r="D140" i="7"/>
  <c r="E140" i="7" s="1"/>
  <c r="J140" i="7"/>
  <c r="D133" i="7"/>
  <c r="E133" i="7" s="1"/>
  <c r="J133" i="7"/>
  <c r="D125" i="7"/>
  <c r="E125" i="7" s="1"/>
  <c r="J125" i="7"/>
  <c r="D117" i="7"/>
  <c r="E117" i="7" s="1"/>
  <c r="J117" i="7"/>
  <c r="D109" i="7"/>
  <c r="E109" i="7" s="1"/>
  <c r="J109" i="7"/>
  <c r="D101" i="7"/>
  <c r="E101" i="7" s="1"/>
  <c r="J101" i="7"/>
  <c r="D93" i="7"/>
  <c r="E93" i="7" s="1"/>
  <c r="J93" i="7"/>
  <c r="D85" i="7"/>
  <c r="E85" i="7" s="1"/>
  <c r="J85" i="7"/>
  <c r="D77" i="7"/>
  <c r="E77" i="7" s="1"/>
  <c r="J77" i="7"/>
  <c r="D69" i="7"/>
  <c r="E69" i="7" s="1"/>
  <c r="J69" i="7"/>
  <c r="D61" i="7"/>
  <c r="E61" i="7" s="1"/>
  <c r="J61" i="7"/>
  <c r="D53" i="7"/>
  <c r="E53" i="7" s="1"/>
  <c r="J53" i="7"/>
  <c r="D45" i="7"/>
  <c r="E45" i="7" s="1"/>
  <c r="J45" i="7"/>
  <c r="D37" i="7"/>
  <c r="E37" i="7" s="1"/>
  <c r="J37" i="7"/>
  <c r="D29" i="7"/>
  <c r="E29" i="7" s="1"/>
  <c r="J29" i="7"/>
  <c r="D21" i="7"/>
  <c r="E21" i="7" s="1"/>
  <c r="J21" i="7"/>
  <c r="D8" i="7"/>
  <c r="E8" i="7" s="1"/>
  <c r="J8" i="7"/>
  <c r="D231" i="7"/>
  <c r="E231" i="7" s="1"/>
  <c r="J231" i="7"/>
  <c r="D199" i="7"/>
  <c r="E199" i="7" s="1"/>
  <c r="J199" i="7"/>
  <c r="D169" i="7"/>
  <c r="E169" i="7" s="1"/>
  <c r="J169" i="7"/>
  <c r="D145" i="7"/>
  <c r="J145" i="7"/>
  <c r="D82" i="7"/>
  <c r="E82" i="7" s="1"/>
  <c r="J82" i="7"/>
  <c r="D220" i="7"/>
  <c r="E220" i="7" s="1"/>
  <c r="J220" i="7"/>
  <c r="D242" i="7"/>
  <c r="E242" i="7" s="1"/>
  <c r="J242" i="7"/>
  <c r="D211" i="7"/>
  <c r="E211" i="7" s="1"/>
  <c r="J211" i="7"/>
  <c r="D195" i="7"/>
  <c r="E195" i="7" s="1"/>
  <c r="J195" i="7"/>
  <c r="D233" i="7"/>
  <c r="E233" i="7" s="1"/>
  <c r="J233" i="7"/>
  <c r="D210" i="7"/>
  <c r="E210" i="7" s="1"/>
  <c r="J210" i="7"/>
  <c r="D248" i="7"/>
  <c r="E248" i="7" s="1"/>
  <c r="J248" i="7"/>
  <c r="D240" i="7"/>
  <c r="E240" i="7" s="1"/>
  <c r="J240" i="7"/>
  <c r="D217" i="7"/>
  <c r="E217" i="7" s="1"/>
  <c r="J217" i="7"/>
  <c r="D171" i="7"/>
  <c r="E171" i="7" s="1"/>
  <c r="J171" i="7"/>
  <c r="D92" i="7"/>
  <c r="E92" i="7" s="1"/>
  <c r="J92" i="7"/>
  <c r="I267" i="7" l="1"/>
  <c r="G177" i="7"/>
  <c r="G247" i="7"/>
  <c r="H144" i="7" l="1"/>
  <c r="G144" i="7"/>
  <c r="H96" i="7"/>
  <c r="G96" i="7"/>
  <c r="H31" i="7"/>
  <c r="G31" i="7"/>
  <c r="H101" i="7"/>
  <c r="G101" i="7"/>
  <c r="H87" i="7"/>
  <c r="G87" i="7"/>
  <c r="H55" i="7"/>
  <c r="G55" i="7"/>
  <c r="H200" i="7"/>
  <c r="G200" i="7"/>
  <c r="H247" i="7"/>
  <c r="H177" i="7"/>
  <c r="I318" i="7"/>
  <c r="I282" i="7"/>
  <c r="I311" i="7"/>
  <c r="I270" i="7"/>
  <c r="I330" i="7"/>
  <c r="I276" i="7"/>
  <c r="I316" i="7"/>
  <c r="I331" i="7"/>
  <c r="I278" i="7"/>
  <c r="I314" i="7"/>
  <c r="I275" i="7"/>
  <c r="I296" i="7"/>
  <c r="I309" i="7"/>
  <c r="I315" i="7"/>
  <c r="I339" i="7"/>
  <c r="I336" i="7"/>
  <c r="I343" i="7"/>
  <c r="I281" i="7"/>
  <c r="I308" i="7"/>
  <c r="I259" i="7"/>
  <c r="I250" i="7"/>
  <c r="I294" i="7"/>
  <c r="I293" i="7"/>
  <c r="I291" i="7"/>
  <c r="I290" i="7"/>
  <c r="I317" i="7"/>
  <c r="I332" i="7"/>
  <c r="I298" i="7"/>
  <c r="I297" i="7"/>
  <c r="I263" i="7"/>
  <c r="I322" i="7"/>
  <c r="I310" i="7"/>
  <c r="I321" i="7"/>
  <c r="I307" i="7"/>
  <c r="I264" i="7"/>
  <c r="I301" i="7"/>
  <c r="I288" i="7"/>
  <c r="I256" i="7"/>
  <c r="I253" i="7"/>
  <c r="I304" i="7"/>
  <c r="I249" i="7"/>
  <c r="I265" i="7"/>
  <c r="I345" i="7"/>
  <c r="I299" i="7"/>
  <c r="I300" i="7"/>
  <c r="I302" i="7"/>
  <c r="I303" i="7"/>
  <c r="I268" i="7"/>
  <c r="I269" i="7"/>
  <c r="I271" i="7"/>
  <c r="I272" i="7"/>
  <c r="I305" i="7"/>
  <c r="I306" i="7"/>
  <c r="I273" i="7"/>
  <c r="I274" i="7"/>
  <c r="I312" i="7"/>
  <c r="I329" i="7"/>
  <c r="I266" i="7"/>
  <c r="I277" i="7"/>
  <c r="I279" i="7"/>
  <c r="I280" i="7"/>
  <c r="I333" i="7"/>
  <c r="I334" i="7"/>
  <c r="I335" i="7"/>
  <c r="I313" i="7"/>
  <c r="I262" i="7"/>
  <c r="I289" i="7"/>
  <c r="I340" i="7"/>
  <c r="I327" i="7"/>
  <c r="I252" i="7"/>
  <c r="I261" i="7"/>
  <c r="I283" i="7"/>
  <c r="I254" i="7"/>
  <c r="I292" i="7"/>
  <c r="I260" i="7"/>
  <c r="I258" i="7"/>
  <c r="I255" i="7"/>
  <c r="I344" i="7"/>
  <c r="I257" i="7"/>
  <c r="I287" i="7"/>
  <c r="I337" i="7"/>
  <c r="I325" i="7"/>
  <c r="I338" i="7"/>
  <c r="I286" i="7"/>
  <c r="I251" i="7"/>
  <c r="I284" i="7"/>
  <c r="I342" i="7"/>
  <c r="I328" i="7"/>
  <c r="I323" i="7"/>
  <c r="I320" i="7"/>
  <c r="I285" i="7"/>
  <c r="I326" i="7"/>
  <c r="I295" i="7"/>
  <c r="I324" i="7"/>
  <c r="I341" i="7"/>
  <c r="I319" i="7"/>
  <c r="G229" i="7"/>
  <c r="G48" i="7"/>
  <c r="G60" i="7"/>
  <c r="G213" i="7"/>
  <c r="G155" i="7"/>
  <c r="G71" i="7"/>
  <c r="G219" i="7"/>
  <c r="G241" i="7"/>
  <c r="G109" i="7"/>
  <c r="G10" i="7"/>
  <c r="G119" i="7"/>
  <c r="G127" i="7"/>
  <c r="G227" i="7"/>
  <c r="G173" i="7"/>
  <c r="G162" i="7"/>
  <c r="G134" i="7"/>
  <c r="G51" i="7"/>
  <c r="G226" i="7"/>
  <c r="G59" i="7"/>
  <c r="G35" i="7"/>
  <c r="G216" i="7"/>
  <c r="G93" i="7"/>
  <c r="G62" i="7"/>
  <c r="G149" i="7"/>
  <c r="G94" i="7"/>
  <c r="G46" i="7"/>
  <c r="G203" i="7"/>
  <c r="G126" i="7"/>
  <c r="G16" i="7"/>
  <c r="G180" i="7"/>
  <c r="G22" i="7"/>
  <c r="G188" i="7"/>
  <c r="G110" i="7"/>
  <c r="G86" i="7"/>
  <c r="G107" i="7"/>
  <c r="G170" i="7"/>
  <c r="G14" i="7"/>
  <c r="G191" i="7"/>
  <c r="G169" i="7"/>
  <c r="G43" i="7"/>
  <c r="G5" i="7"/>
  <c r="G231" i="7"/>
  <c r="G137" i="7"/>
  <c r="G83" i="7"/>
  <c r="G223" i="7"/>
  <c r="G184" i="7"/>
  <c r="G131" i="7"/>
  <c r="G221" i="7"/>
  <c r="G50" i="7"/>
  <c r="G239" i="7"/>
  <c r="G106" i="7"/>
  <c r="G82" i="7"/>
  <c r="G198" i="7"/>
  <c r="G153" i="7"/>
  <c r="G89" i="7"/>
  <c r="G12" i="7"/>
  <c r="G152" i="7"/>
  <c r="G33" i="7"/>
  <c r="G206" i="7"/>
  <c r="G225" i="7"/>
  <c r="G214" i="7"/>
  <c r="G44" i="7"/>
  <c r="G245" i="7"/>
  <c r="G92" i="7"/>
  <c r="G113" i="7"/>
  <c r="G41" i="7"/>
  <c r="G36" i="7"/>
  <c r="G17" i="7"/>
  <c r="G120" i="7"/>
  <c r="G108" i="7"/>
  <c r="G20" i="7"/>
  <c r="G185" i="7"/>
  <c r="G224" i="7"/>
  <c r="G67" i="7"/>
  <c r="G139" i="7"/>
  <c r="G232" i="7"/>
  <c r="G154" i="7"/>
  <c r="G75" i="7"/>
  <c r="G19" i="7"/>
  <c r="G3" i="7"/>
  <c r="G32" i="7"/>
  <c r="G70" i="7"/>
  <c r="G157" i="7"/>
  <c r="G9" i="7"/>
  <c r="G242" i="7"/>
  <c r="G141" i="7"/>
  <c r="G38" i="7"/>
  <c r="G195" i="7"/>
  <c r="G165" i="7"/>
  <c r="G118" i="7"/>
  <c r="G168" i="7"/>
  <c r="G65" i="7"/>
  <c r="G4" i="7"/>
  <c r="G74" i="7"/>
  <c r="G18" i="7"/>
  <c r="G207" i="7"/>
  <c r="G115" i="7"/>
  <c r="G6" i="7"/>
  <c r="G178" i="7"/>
  <c r="G123" i="7"/>
  <c r="G91" i="7"/>
  <c r="G15" i="7"/>
  <c r="G208" i="7"/>
  <c r="G148" i="7"/>
  <c r="G125" i="7"/>
  <c r="G164" i="7"/>
  <c r="G61" i="7"/>
  <c r="G160" i="7"/>
  <c r="G230" i="7"/>
  <c r="G121" i="7"/>
  <c r="G97" i="7"/>
  <c r="G190" i="7"/>
  <c r="G222" i="7"/>
  <c r="G73" i="7"/>
  <c r="G129" i="7"/>
  <c r="G183" i="7"/>
  <c r="G57" i="7"/>
  <c r="G151" i="7"/>
  <c r="G25" i="7"/>
  <c r="G49" i="7"/>
  <c r="G237" i="7"/>
  <c r="G105" i="7"/>
  <c r="G81" i="7"/>
  <c r="G238" i="7"/>
  <c r="G215" i="7"/>
  <c r="G199" i="7"/>
  <c r="G176" i="7"/>
  <c r="G161" i="7"/>
  <c r="G138" i="7"/>
  <c r="G122" i="7"/>
  <c r="G114" i="7"/>
  <c r="G98" i="7"/>
  <c r="G90" i="7"/>
  <c r="G66" i="7"/>
  <c r="G58" i="7"/>
  <c r="G42" i="7"/>
  <c r="G34" i="7"/>
  <c r="G26" i="7"/>
  <c r="G13" i="7"/>
  <c r="G21" i="7"/>
  <c r="G77" i="7"/>
  <c r="G100" i="7"/>
  <c r="G179" i="7"/>
  <c r="G7" i="7"/>
  <c r="G187" i="7"/>
  <c r="G76" i="7"/>
  <c r="G28" i="7"/>
  <c r="G147" i="7"/>
  <c r="G156" i="7"/>
  <c r="G209" i="7"/>
  <c r="G171" i="7"/>
  <c r="G124" i="7"/>
  <c r="G218" i="7"/>
  <c r="G186" i="7"/>
  <c r="G140" i="7"/>
  <c r="G37" i="7"/>
  <c r="G85" i="7"/>
  <c r="G163" i="7"/>
  <c r="G194" i="7"/>
  <c r="G210" i="7"/>
  <c r="G240" i="7"/>
  <c r="G117" i="7"/>
  <c r="G248" i="7"/>
  <c r="G193" i="7"/>
  <c r="G172" i="7"/>
  <c r="G116" i="7"/>
  <c r="G8" i="7"/>
  <c r="G233" i="7"/>
  <c r="G68" i="7"/>
  <c r="G133" i="7"/>
  <c r="G217" i="7"/>
  <c r="G104" i="7"/>
  <c r="G128" i="7"/>
  <c r="G236" i="7"/>
  <c r="G244" i="7"/>
  <c r="G159" i="7"/>
  <c r="G197" i="7"/>
  <c r="G40" i="7"/>
  <c r="G56" i="7"/>
  <c r="G167" i="7"/>
  <c r="G112" i="7"/>
  <c r="G64" i="7"/>
  <c r="G205" i="7"/>
  <c r="G136" i="7"/>
  <c r="G182" i="7"/>
  <c r="G80" i="7"/>
  <c r="G88" i="7"/>
  <c r="G11" i="7"/>
  <c r="G204" i="7"/>
  <c r="G150" i="7"/>
  <c r="G95" i="7"/>
  <c r="G181" i="7"/>
  <c r="G158" i="7"/>
  <c r="G174" i="7"/>
  <c r="G235" i="7"/>
  <c r="G212" i="7"/>
  <c r="G103" i="7"/>
  <c r="G189" i="7"/>
  <c r="G39" i="7"/>
  <c r="G135" i="7"/>
  <c r="G228" i="7"/>
  <c r="G79" i="7"/>
  <c r="G23" i="7"/>
  <c r="G142" i="7"/>
  <c r="G220" i="7"/>
  <c r="G166" i="7"/>
  <c r="G63" i="7"/>
  <c r="G196" i="7"/>
  <c r="G111" i="7"/>
  <c r="F144" i="7"/>
  <c r="F96" i="7"/>
  <c r="I177" i="7"/>
  <c r="I144" i="7"/>
  <c r="I96" i="7"/>
  <c r="I87" i="7"/>
  <c r="I55" i="7"/>
  <c r="I31" i="7"/>
  <c r="I101" i="7"/>
  <c r="F87" i="7"/>
  <c r="F31" i="7"/>
  <c r="F55" i="7"/>
  <c r="F101" i="7"/>
  <c r="F200" i="7"/>
  <c r="F177" i="7"/>
  <c r="H99" i="7" l="1"/>
  <c r="G99" i="7"/>
  <c r="I243" i="7"/>
  <c r="G243" i="7"/>
  <c r="H24" i="7"/>
  <c r="G24" i="7"/>
  <c r="H27" i="7"/>
  <c r="G27" i="7"/>
  <c r="H201" i="7"/>
  <c r="G201" i="7"/>
  <c r="H54" i="7"/>
  <c r="G54" i="7"/>
  <c r="H52" i="7"/>
  <c r="G52" i="7"/>
  <c r="H102" i="7"/>
  <c r="G102" i="7"/>
  <c r="H69" i="7"/>
  <c r="G69" i="7"/>
  <c r="H47" i="7"/>
  <c r="G47" i="7"/>
  <c r="H132" i="7"/>
  <c r="G132" i="7"/>
  <c r="H30" i="7"/>
  <c r="G30" i="7"/>
  <c r="H130" i="7"/>
  <c r="G130" i="7"/>
  <c r="F143" i="7"/>
  <c r="G143" i="7"/>
  <c r="I84" i="7"/>
  <c r="G84" i="7"/>
  <c r="F192" i="7"/>
  <c r="G192" i="7"/>
  <c r="I246" i="7"/>
  <c r="G246" i="7"/>
  <c r="H45" i="7"/>
  <c r="G45" i="7"/>
  <c r="H202" i="7"/>
  <c r="G202" i="7"/>
  <c r="H78" i="7"/>
  <c r="G78" i="7"/>
  <c r="F175" i="7"/>
  <c r="G175" i="7"/>
  <c r="F72" i="7"/>
  <c r="G72" i="7"/>
  <c r="H29" i="7"/>
  <c r="G29" i="7"/>
  <c r="H211" i="7"/>
  <c r="G211" i="7"/>
  <c r="H53" i="7"/>
  <c r="G53" i="7"/>
  <c r="H234" i="7"/>
  <c r="G234" i="7"/>
  <c r="H13" i="7"/>
  <c r="F211" i="7"/>
  <c r="I29" i="7"/>
  <c r="I78" i="7"/>
  <c r="I102" i="7"/>
  <c r="F234" i="7"/>
  <c r="I234" i="7"/>
  <c r="I211" i="7"/>
  <c r="F78" i="7"/>
  <c r="F202" i="7"/>
  <c r="F29" i="7"/>
  <c r="I30" i="7"/>
  <c r="F30" i="7"/>
  <c r="I202" i="7"/>
  <c r="F45" i="7"/>
  <c r="I53" i="7"/>
  <c r="I47" i="7"/>
  <c r="F27" i="7"/>
  <c r="F47" i="7"/>
  <c r="I24" i="7"/>
  <c r="F38" i="7"/>
  <c r="I99" i="7"/>
  <c r="F54" i="7"/>
  <c r="F99" i="7"/>
  <c r="F102" i="7"/>
  <c r="I54" i="7"/>
  <c r="I143" i="7"/>
  <c r="I69" i="7"/>
  <c r="I45" i="7"/>
  <c r="F53" i="7"/>
  <c r="F69" i="7"/>
  <c r="F201" i="7"/>
  <c r="I132" i="7"/>
  <c r="I52" i="7"/>
  <c r="F132" i="7"/>
  <c r="F52" i="7"/>
  <c r="F24" i="7"/>
  <c r="I201" i="7"/>
  <c r="I130" i="7"/>
  <c r="I224" i="7"/>
  <c r="F130" i="7"/>
  <c r="H196" i="7"/>
  <c r="I135" i="7"/>
  <c r="H135" i="7"/>
  <c r="I181" i="7"/>
  <c r="H181" i="7"/>
  <c r="F182" i="7"/>
  <c r="H182" i="7"/>
  <c r="I197" i="7"/>
  <c r="H197" i="7"/>
  <c r="F217" i="7"/>
  <c r="H217" i="7"/>
  <c r="I248" i="7"/>
  <c r="H248" i="7"/>
  <c r="H140" i="7"/>
  <c r="H21" i="7"/>
  <c r="I98" i="7"/>
  <c r="H98" i="7"/>
  <c r="I238" i="7"/>
  <c r="H238" i="7"/>
  <c r="I183" i="7"/>
  <c r="H183" i="7"/>
  <c r="I230" i="7"/>
  <c r="H230" i="7"/>
  <c r="H91" i="7"/>
  <c r="I4" i="7"/>
  <c r="H4" i="7"/>
  <c r="I141" i="7"/>
  <c r="H141" i="7"/>
  <c r="F19" i="7"/>
  <c r="H19" i="7"/>
  <c r="F41" i="7"/>
  <c r="H41" i="7"/>
  <c r="H206" i="7"/>
  <c r="I82" i="7"/>
  <c r="H82" i="7"/>
  <c r="I191" i="7"/>
  <c r="H191" i="7"/>
  <c r="I180" i="7"/>
  <c r="H180" i="7"/>
  <c r="I63" i="7"/>
  <c r="H63" i="7"/>
  <c r="I39" i="7"/>
  <c r="H39" i="7"/>
  <c r="I95" i="7"/>
  <c r="H95" i="7"/>
  <c r="H136" i="7"/>
  <c r="I159" i="7"/>
  <c r="H159" i="7"/>
  <c r="H133" i="7"/>
  <c r="H117" i="7"/>
  <c r="F186" i="7"/>
  <c r="H186" i="7"/>
  <c r="H28" i="7"/>
  <c r="F114" i="7"/>
  <c r="H114" i="7"/>
  <c r="I81" i="7"/>
  <c r="H81" i="7"/>
  <c r="I160" i="7"/>
  <c r="H160" i="7"/>
  <c r="H123" i="7"/>
  <c r="H65" i="7"/>
  <c r="H242" i="7"/>
  <c r="H75" i="7"/>
  <c r="F185" i="7"/>
  <c r="H185" i="7"/>
  <c r="I113" i="7"/>
  <c r="H113" i="7"/>
  <c r="F33" i="7"/>
  <c r="H33" i="7"/>
  <c r="H106" i="7"/>
  <c r="F223" i="7"/>
  <c r="H223" i="7"/>
  <c r="I14" i="7"/>
  <c r="H14" i="7"/>
  <c r="H16" i="7"/>
  <c r="I134" i="7"/>
  <c r="H134" i="7"/>
  <c r="H71" i="7"/>
  <c r="H166" i="7"/>
  <c r="F189" i="7"/>
  <c r="H189" i="7"/>
  <c r="F150" i="7"/>
  <c r="H150" i="7"/>
  <c r="F205" i="7"/>
  <c r="H205" i="7"/>
  <c r="H244" i="7"/>
  <c r="I68" i="7"/>
  <c r="H68" i="7"/>
  <c r="F240" i="7"/>
  <c r="H240" i="7"/>
  <c r="H218" i="7"/>
  <c r="F76" i="7"/>
  <c r="H76" i="7"/>
  <c r="H26" i="7"/>
  <c r="I122" i="7"/>
  <c r="H122" i="7"/>
  <c r="H105" i="7"/>
  <c r="I129" i="7"/>
  <c r="H129" i="7"/>
  <c r="H61" i="7"/>
  <c r="F178" i="7"/>
  <c r="H178" i="7"/>
  <c r="F168" i="7"/>
  <c r="H168" i="7"/>
  <c r="I9" i="7"/>
  <c r="H9" i="7"/>
  <c r="F154" i="7"/>
  <c r="H154" i="7"/>
  <c r="H20" i="7"/>
  <c r="I92" i="7"/>
  <c r="H92" i="7"/>
  <c r="I152" i="7"/>
  <c r="H152" i="7"/>
  <c r="F239" i="7"/>
  <c r="H239" i="7"/>
  <c r="F83" i="7"/>
  <c r="H83" i="7"/>
  <c r="H170" i="7"/>
  <c r="F126" i="7"/>
  <c r="H126" i="7"/>
  <c r="F93" i="7"/>
  <c r="H93" i="7"/>
  <c r="H162" i="7"/>
  <c r="H109" i="7"/>
  <c r="H155" i="7"/>
  <c r="F220" i="7"/>
  <c r="H220" i="7"/>
  <c r="F103" i="7"/>
  <c r="H103" i="7"/>
  <c r="H204" i="7"/>
  <c r="I64" i="7"/>
  <c r="H64" i="7"/>
  <c r="F236" i="7"/>
  <c r="H236" i="7"/>
  <c r="I233" i="7"/>
  <c r="H233" i="7"/>
  <c r="F210" i="7"/>
  <c r="H210" i="7"/>
  <c r="F124" i="7"/>
  <c r="H124" i="7"/>
  <c r="H187" i="7"/>
  <c r="F34" i="7"/>
  <c r="H34" i="7"/>
  <c r="I138" i="7"/>
  <c r="H138" i="7"/>
  <c r="F237" i="7"/>
  <c r="H237" i="7"/>
  <c r="F73" i="7"/>
  <c r="H73" i="7"/>
  <c r="F164" i="7"/>
  <c r="H164" i="7"/>
  <c r="H6" i="7"/>
  <c r="H157" i="7"/>
  <c r="H232" i="7"/>
  <c r="H108" i="7"/>
  <c r="F245" i="7"/>
  <c r="H245" i="7"/>
  <c r="I12" i="7"/>
  <c r="H12" i="7"/>
  <c r="F50" i="7"/>
  <c r="H50" i="7"/>
  <c r="I137" i="7"/>
  <c r="H137" i="7"/>
  <c r="H107" i="7"/>
  <c r="I203" i="7"/>
  <c r="H203" i="7"/>
  <c r="H216" i="7"/>
  <c r="I173" i="7"/>
  <c r="H173" i="7"/>
  <c r="H175" i="7"/>
  <c r="H213" i="7"/>
  <c r="F142" i="7"/>
  <c r="H142" i="7"/>
  <c r="H212" i="7"/>
  <c r="H11" i="7"/>
  <c r="I112" i="7"/>
  <c r="H112" i="7"/>
  <c r="F128" i="7"/>
  <c r="H128" i="7"/>
  <c r="H8" i="7"/>
  <c r="I194" i="7"/>
  <c r="H194" i="7"/>
  <c r="H171" i="7"/>
  <c r="H7" i="7"/>
  <c r="F42" i="7"/>
  <c r="H42" i="7"/>
  <c r="F161" i="7"/>
  <c r="H161" i="7"/>
  <c r="F49" i="7"/>
  <c r="H49" i="7"/>
  <c r="F222" i="7"/>
  <c r="H222" i="7"/>
  <c r="I125" i="7"/>
  <c r="H125" i="7"/>
  <c r="H115" i="7"/>
  <c r="I118" i="7"/>
  <c r="H118" i="7"/>
  <c r="I70" i="7"/>
  <c r="H70" i="7"/>
  <c r="H139" i="7"/>
  <c r="F120" i="7"/>
  <c r="H120" i="7"/>
  <c r="I44" i="7"/>
  <c r="H44" i="7"/>
  <c r="H89" i="7"/>
  <c r="I221" i="7"/>
  <c r="H221" i="7"/>
  <c r="F231" i="7"/>
  <c r="H231" i="7"/>
  <c r="F86" i="7"/>
  <c r="H86" i="7"/>
  <c r="F46" i="7"/>
  <c r="H46" i="7"/>
  <c r="I35" i="7"/>
  <c r="H35" i="7"/>
  <c r="F227" i="7"/>
  <c r="H227" i="7"/>
  <c r="F241" i="7"/>
  <c r="H241" i="7"/>
  <c r="H60" i="7"/>
  <c r="H23" i="7"/>
  <c r="I235" i="7"/>
  <c r="H235" i="7"/>
  <c r="H88" i="7"/>
  <c r="I167" i="7"/>
  <c r="H167" i="7"/>
  <c r="H104" i="7"/>
  <c r="I116" i="7"/>
  <c r="H116" i="7"/>
  <c r="I163" i="7"/>
  <c r="H163" i="7"/>
  <c r="F209" i="7"/>
  <c r="H209" i="7"/>
  <c r="F179" i="7"/>
  <c r="H179" i="7"/>
  <c r="F58" i="7"/>
  <c r="H58" i="7"/>
  <c r="I176" i="7"/>
  <c r="H176" i="7"/>
  <c r="H25" i="7"/>
  <c r="H190" i="7"/>
  <c r="F148" i="7"/>
  <c r="H148" i="7"/>
  <c r="I207" i="7"/>
  <c r="H207" i="7"/>
  <c r="I165" i="7"/>
  <c r="H165" i="7"/>
  <c r="H32" i="7"/>
  <c r="F67" i="7"/>
  <c r="H67" i="7"/>
  <c r="I17" i="7"/>
  <c r="H17" i="7"/>
  <c r="I214" i="7"/>
  <c r="H214" i="7"/>
  <c r="I153" i="7"/>
  <c r="H153" i="7"/>
  <c r="I131" i="7"/>
  <c r="H131" i="7"/>
  <c r="I5" i="7"/>
  <c r="H5" i="7"/>
  <c r="H110" i="7"/>
  <c r="I94" i="7"/>
  <c r="H94" i="7"/>
  <c r="H59" i="7"/>
  <c r="H127" i="7"/>
  <c r="I72" i="7"/>
  <c r="H72" i="7"/>
  <c r="I79" i="7"/>
  <c r="H79" i="7"/>
  <c r="I174" i="7"/>
  <c r="H174" i="7"/>
  <c r="I80" i="7"/>
  <c r="H80" i="7"/>
  <c r="F56" i="7"/>
  <c r="H56" i="7"/>
  <c r="I172" i="7"/>
  <c r="H172" i="7"/>
  <c r="F85" i="7"/>
  <c r="H85" i="7"/>
  <c r="H156" i="7"/>
  <c r="I100" i="7"/>
  <c r="H100" i="7"/>
  <c r="F66" i="7"/>
  <c r="H66" i="7"/>
  <c r="H199" i="7"/>
  <c r="I151" i="7"/>
  <c r="H151" i="7"/>
  <c r="H97" i="7"/>
  <c r="I208" i="7"/>
  <c r="H208" i="7"/>
  <c r="H18" i="7"/>
  <c r="F195" i="7"/>
  <c r="H195" i="7"/>
  <c r="I3" i="7"/>
  <c r="H3" i="7"/>
  <c r="I36" i="7"/>
  <c r="H36" i="7"/>
  <c r="H225" i="7"/>
  <c r="I198" i="7"/>
  <c r="H198" i="7"/>
  <c r="I184" i="7"/>
  <c r="H184" i="7"/>
  <c r="I43" i="7"/>
  <c r="H43" i="7"/>
  <c r="H188" i="7"/>
  <c r="H149" i="7"/>
  <c r="F226" i="7"/>
  <c r="H226" i="7"/>
  <c r="I119" i="7"/>
  <c r="H119" i="7"/>
  <c r="H219" i="7"/>
  <c r="H48" i="7"/>
  <c r="H111" i="7"/>
  <c r="F228" i="7"/>
  <c r="H228" i="7"/>
  <c r="H158" i="7"/>
  <c r="H40" i="7"/>
  <c r="F193" i="7"/>
  <c r="H193" i="7"/>
  <c r="F37" i="7"/>
  <c r="H37" i="7"/>
  <c r="F147" i="7"/>
  <c r="H147" i="7"/>
  <c r="I77" i="7"/>
  <c r="H77" i="7"/>
  <c r="F90" i="7"/>
  <c r="H90" i="7"/>
  <c r="F215" i="7"/>
  <c r="H215" i="7"/>
  <c r="I57" i="7"/>
  <c r="H57" i="7"/>
  <c r="H121" i="7"/>
  <c r="H15" i="7"/>
  <c r="I74" i="7"/>
  <c r="H74" i="7"/>
  <c r="I38" i="7"/>
  <c r="H38" i="7"/>
  <c r="F224" i="7"/>
  <c r="H224" i="7"/>
  <c r="H143" i="7"/>
  <c r="F84" i="7"/>
  <c r="H84" i="7"/>
  <c r="H192" i="7"/>
  <c r="H246" i="7"/>
  <c r="I169" i="7"/>
  <c r="H169" i="7"/>
  <c r="I22" i="7"/>
  <c r="H22" i="7"/>
  <c r="F62" i="7"/>
  <c r="H62" i="7"/>
  <c r="F51" i="7"/>
  <c r="H51" i="7"/>
  <c r="I10" i="7"/>
  <c r="H10" i="7"/>
  <c r="F243" i="7"/>
  <c r="H243" i="7"/>
  <c r="I229" i="7"/>
  <c r="H229" i="7"/>
  <c r="I62" i="7"/>
  <c r="I51" i="7"/>
  <c r="F10" i="7"/>
  <c r="F246" i="7"/>
  <c r="F219" i="7"/>
  <c r="I219" i="7"/>
  <c r="F119" i="7"/>
  <c r="F198" i="7"/>
  <c r="F3" i="7"/>
  <c r="F149" i="7"/>
  <c r="I226" i="7"/>
  <c r="I149" i="7"/>
  <c r="F184" i="7"/>
  <c r="F48" i="7"/>
  <c r="I188" i="7"/>
  <c r="F188" i="7"/>
  <c r="I110" i="7"/>
  <c r="F43" i="7"/>
  <c r="I48" i="7"/>
  <c r="F35" i="7"/>
  <c r="I60" i="7"/>
  <c r="I127" i="7"/>
  <c r="I46" i="7"/>
  <c r="F60" i="7"/>
  <c r="F127" i="7"/>
  <c r="F22" i="7"/>
  <c r="F229" i="7"/>
  <c r="F59" i="7"/>
  <c r="F94" i="7"/>
  <c r="F110" i="7"/>
  <c r="I241" i="7"/>
  <c r="I86" i="7"/>
  <c r="I227" i="7"/>
  <c r="F169" i="7"/>
  <c r="I216" i="7"/>
  <c r="F203" i="7"/>
  <c r="F108" i="7"/>
  <c r="F213" i="7"/>
  <c r="F107" i="7"/>
  <c r="I213" i="7"/>
  <c r="I175" i="7"/>
  <c r="I50" i="7"/>
  <c r="I107" i="7"/>
  <c r="F155" i="7"/>
  <c r="F216" i="7"/>
  <c r="F173" i="7"/>
  <c r="I155" i="7"/>
  <c r="I75" i="7"/>
  <c r="F134" i="7"/>
  <c r="F14" i="7"/>
  <c r="F16" i="7"/>
  <c r="F71" i="7"/>
  <c r="I71" i="7"/>
  <c r="I223" i="7"/>
  <c r="F152" i="7"/>
  <c r="F113" i="7"/>
  <c r="F109" i="7"/>
  <c r="F20" i="7"/>
  <c r="F162" i="7"/>
  <c r="I93" i="7"/>
  <c r="I162" i="7"/>
  <c r="F137" i="7"/>
  <c r="F170" i="7"/>
  <c r="I126" i="7"/>
  <c r="F12" i="7"/>
  <c r="I109" i="7"/>
  <c r="I154" i="7"/>
  <c r="F82" i="7"/>
  <c r="I20" i="7"/>
  <c r="F106" i="7"/>
  <c r="F92" i="7"/>
  <c r="I170" i="7"/>
  <c r="I239" i="7"/>
  <c r="I206" i="7"/>
  <c r="I33" i="7"/>
  <c r="I41" i="7"/>
  <c r="I106" i="7"/>
  <c r="I16" i="7"/>
  <c r="F206" i="7"/>
  <c r="F75" i="7"/>
  <c r="F180" i="7"/>
  <c r="I242" i="7"/>
  <c r="I19" i="7"/>
  <c r="F191" i="7"/>
  <c r="I32" i="7"/>
  <c r="I179" i="7"/>
  <c r="F153" i="7"/>
  <c r="F131" i="7"/>
  <c r="F214" i="7"/>
  <c r="F36" i="7"/>
  <c r="F221" i="7"/>
  <c r="I231" i="7"/>
  <c r="F44" i="7"/>
  <c r="I195" i="7"/>
  <c r="I120" i="7"/>
  <c r="F32" i="7"/>
  <c r="F225" i="7"/>
  <c r="I89" i="7"/>
  <c r="F5" i="7"/>
  <c r="F89" i="7"/>
  <c r="F17" i="7"/>
  <c r="I225" i="7"/>
  <c r="F18" i="7"/>
  <c r="I108" i="7"/>
  <c r="I245" i="7"/>
  <c r="F70" i="7"/>
  <c r="F232" i="7"/>
  <c r="F118" i="7"/>
  <c r="F157" i="7"/>
  <c r="I232" i="7"/>
  <c r="I157" i="7"/>
  <c r="F133" i="7"/>
  <c r="F6" i="7"/>
  <c r="F9" i="7"/>
  <c r="F242" i="7"/>
  <c r="I61" i="7"/>
  <c r="F140" i="7"/>
  <c r="F141" i="7"/>
  <c r="F13" i="7"/>
  <c r="I168" i="7"/>
  <c r="F165" i="7"/>
  <c r="F4" i="7"/>
  <c r="I6" i="7"/>
  <c r="I140" i="7"/>
  <c r="I164" i="7"/>
  <c r="F115" i="7"/>
  <c r="I65" i="7"/>
  <c r="F65" i="7"/>
  <c r="F15" i="7"/>
  <c r="I15" i="7"/>
  <c r="F207" i="7"/>
  <c r="F160" i="7"/>
  <c r="I136" i="7"/>
  <c r="F116" i="7"/>
  <c r="I148" i="7"/>
  <c r="F218" i="7"/>
  <c r="F91" i="7"/>
  <c r="I49" i="7"/>
  <c r="I18" i="7"/>
  <c r="F171" i="7"/>
  <c r="F167" i="7"/>
  <c r="I171" i="7"/>
  <c r="F235" i="7"/>
  <c r="I88" i="7"/>
  <c r="I105" i="7"/>
  <c r="F88" i="7"/>
  <c r="F7" i="7"/>
  <c r="I7" i="7"/>
  <c r="I222" i="7"/>
  <c r="F61" i="7"/>
  <c r="F105" i="7"/>
  <c r="I210" i="7"/>
  <c r="F98" i="7"/>
  <c r="F104" i="7"/>
  <c r="I104" i="7"/>
  <c r="F81" i="7"/>
  <c r="I237" i="7"/>
  <c r="I128" i="7"/>
  <c r="F8" i="7"/>
  <c r="I187" i="7"/>
  <c r="I8" i="7"/>
  <c r="I25" i="7"/>
  <c r="I42" i="7"/>
  <c r="I161" i="7"/>
  <c r="F138" i="7"/>
  <c r="F187" i="7"/>
  <c r="I73" i="7"/>
  <c r="F74" i="7"/>
  <c r="F129" i="7"/>
  <c r="I218" i="7"/>
  <c r="F204" i="7"/>
  <c r="I204" i="7"/>
  <c r="F122" i="7"/>
  <c r="I147" i="7"/>
  <c r="F95" i="7"/>
  <c r="I76" i="7"/>
  <c r="F230" i="7"/>
  <c r="F248" i="7"/>
  <c r="F77" i="7"/>
  <c r="F112" i="7"/>
  <c r="F159" i="7"/>
  <c r="F11" i="7"/>
  <c r="I178" i="7"/>
  <c r="I21" i="7"/>
  <c r="I90" i="7"/>
  <c r="F39" i="7"/>
  <c r="F121" i="7"/>
  <c r="F123" i="7"/>
  <c r="F194" i="7"/>
  <c r="I217" i="7"/>
  <c r="I37" i="7"/>
  <c r="I11" i="7"/>
  <c r="F183" i="7"/>
  <c r="F57" i="7"/>
  <c r="F21" i="7"/>
  <c r="F208" i="7"/>
  <c r="F63" i="7"/>
  <c r="F136" i="7"/>
  <c r="I124" i="7"/>
  <c r="I117" i="7"/>
  <c r="I121" i="7"/>
  <c r="I34" i="7"/>
  <c r="I215" i="7"/>
  <c r="F117" i="7"/>
  <c r="F135" i="7"/>
  <c r="I133" i="7"/>
  <c r="F156" i="7"/>
  <c r="I111" i="7"/>
  <c r="F125" i="7"/>
  <c r="I97" i="7"/>
  <c r="F25" i="7"/>
  <c r="F100" i="7"/>
  <c r="F163" i="7"/>
  <c r="F172" i="7"/>
  <c r="F151" i="7"/>
  <c r="F40" i="7"/>
  <c r="I193" i="7"/>
  <c r="I40" i="7"/>
  <c r="I58" i="7"/>
  <c r="I199" i="7"/>
  <c r="I158" i="7"/>
  <c r="F199" i="7"/>
  <c r="F238" i="7"/>
  <c r="F97" i="7"/>
  <c r="I66" i="7"/>
  <c r="F190" i="7"/>
  <c r="I228" i="7"/>
  <c r="I209" i="7"/>
  <c r="I85" i="7"/>
  <c r="F111" i="7"/>
  <c r="F79" i="7"/>
  <c r="I156" i="7"/>
  <c r="I190" i="7"/>
  <c r="F176" i="7"/>
  <c r="F174" i="7"/>
  <c r="F158" i="7"/>
  <c r="I13" i="7"/>
  <c r="I150" i="7"/>
  <c r="F233" i="7"/>
  <c r="F64" i="7"/>
  <c r="I220" i="7"/>
  <c r="I26" i="7"/>
  <c r="I28" i="7"/>
  <c r="F26" i="7"/>
  <c r="I103" i="7"/>
  <c r="I236" i="7"/>
  <c r="I114" i="7"/>
  <c r="I244" i="7"/>
  <c r="F68" i="7"/>
  <c r="I166" i="7"/>
  <c r="I189" i="7"/>
  <c r="I205" i="7"/>
  <c r="F28" i="7"/>
  <c r="F244" i="7"/>
  <c r="I240" i="7"/>
  <c r="F166" i="7"/>
  <c r="I186" i="7"/>
  <c r="F197" i="7"/>
  <c r="F80" i="7"/>
  <c r="I196" i="7"/>
  <c r="I182" i="7"/>
  <c r="I56" i="7"/>
  <c r="F196" i="7"/>
  <c r="F181" i="7"/>
  <c r="I142" i="7"/>
  <c r="I212" i="7"/>
  <c r="F23" i="7"/>
  <c r="F212" i="7"/>
  <c r="I23" i="7"/>
  <c r="I123" i="7"/>
  <c r="I192" i="7"/>
  <c r="I59" i="7"/>
  <c r="I185" i="7"/>
  <c r="I91" i="7"/>
  <c r="I67" i="7"/>
  <c r="I27" i="7"/>
  <c r="I83" i="7"/>
  <c r="F139" i="7"/>
  <c r="I139" i="7"/>
  <c r="I247" i="7"/>
  <c r="I115" i="7"/>
  <c r="I200" i="7"/>
  <c r="F247" i="7"/>
  <c r="U17" i="7" l="1"/>
  <c r="W17" i="7" s="1"/>
  <c r="U19" i="7"/>
  <c r="W19" i="7" s="1"/>
  <c r="U22" i="7"/>
  <c r="W22" i="7" s="1"/>
  <c r="U18" i="7"/>
  <c r="W18" i="7" s="1"/>
  <c r="U15" i="7"/>
  <c r="W15" i="7" s="1"/>
  <c r="U20" i="7"/>
  <c r="W20" i="7" s="1"/>
  <c r="U16" i="7"/>
  <c r="W16" i="7" s="1"/>
  <c r="I1" i="7"/>
  <c r="L3" i="7" l="1"/>
  <c r="U3" i="7"/>
  <c r="U21" i="7"/>
  <c r="W21" i="7" s="1"/>
  <c r="U14" i="7"/>
  <c r="W14" i="7" s="1"/>
  <c r="U13" i="7"/>
  <c r="W13" i="7" s="1"/>
  <c r="U12" i="7"/>
  <c r="W12" i="7" s="1"/>
  <c r="U8" i="7"/>
  <c r="W8" i="7" s="1"/>
  <c r="U7" i="7"/>
  <c r="W7" i="7" s="1"/>
  <c r="U6" i="7"/>
  <c r="W6" i="7" s="1"/>
  <c r="U5" i="7"/>
  <c r="W5" i="7" s="1"/>
  <c r="W3" i="7" l="1"/>
  <c r="U9" i="7"/>
  <c r="W9" i="7" s="1"/>
  <c r="U10" i="7"/>
  <c r="W10" i="7" s="1"/>
  <c r="U4" i="7"/>
  <c r="W4" i="7" s="1"/>
  <c r="U11" i="7"/>
  <c r="W11" i="7" s="1"/>
  <c r="M3" i="7" l="1"/>
  <c r="N3" i="7" s="1"/>
  <c r="U24" i="7"/>
  <c r="E23" i="4"/>
  <c r="D23" i="4"/>
  <c r="F19" i="4"/>
  <c r="G19" i="4" s="1"/>
  <c r="F18" i="4"/>
  <c r="G18" i="4" s="1"/>
  <c r="F6" i="4"/>
  <c r="G6" i="4" s="1"/>
  <c r="F5" i="4"/>
  <c r="G5" i="4" s="1"/>
  <c r="F14" i="4"/>
  <c r="G14" i="4" s="1"/>
  <c r="F15" i="4"/>
  <c r="G15" i="4" s="1"/>
  <c r="F21" i="4"/>
  <c r="G21" i="4" s="1"/>
  <c r="F16" i="4"/>
  <c r="G16" i="4" s="1"/>
  <c r="F20" i="4"/>
  <c r="G20" i="4" s="1"/>
  <c r="F4" i="4"/>
  <c r="G4" i="4" s="1"/>
  <c r="H4" i="4" l="1"/>
  <c r="I4" i="4" s="1"/>
  <c r="H5" i="4" s="1"/>
  <c r="I5" i="4" s="1"/>
  <c r="F23" i="4"/>
  <c r="I23" i="4" s="1"/>
  <c r="H6" i="4" l="1"/>
  <c r="I6" i="4" s="1"/>
  <c r="H7" i="4" l="1"/>
  <c r="I7" i="4" s="1"/>
  <c r="H8" i="4" s="1"/>
  <c r="I8" i="4" l="1"/>
  <c r="H9" i="4" l="1"/>
  <c r="I9" i="4" s="1"/>
  <c r="H10" i="4" s="1"/>
  <c r="I10" i="4" s="1"/>
  <c r="H11" i="4" s="1"/>
  <c r="I11" i="4" l="1"/>
  <c r="H12" i="4" s="1"/>
  <c r="I12" i="4" l="1"/>
  <c r="H13" i="4" s="1"/>
  <c r="I13" i="4" l="1"/>
  <c r="H14" i="4" s="1"/>
  <c r="I14" i="4" l="1"/>
  <c r="H15" i="4" l="1"/>
  <c r="I15" i="4" s="1"/>
  <c r="H16" i="4" l="1"/>
  <c r="I16" i="4" s="1"/>
  <c r="H17" i="4" l="1"/>
  <c r="I17" i="4" s="1"/>
  <c r="H18" i="4" s="1"/>
  <c r="I18" i="4" s="1"/>
  <c r="H19" i="4" s="1"/>
  <c r="I19" i="4" s="1"/>
  <c r="H20" i="4" l="1"/>
  <c r="I20" i="4" s="1"/>
  <c r="H21" i="4" l="1"/>
  <c r="I21" i="4" s="1"/>
  <c r="H22" i="4" s="1"/>
  <c r="I22" i="4" s="1"/>
</calcChain>
</file>

<file path=xl/sharedStrings.xml><?xml version="1.0" encoding="utf-8"?>
<sst xmlns="http://schemas.openxmlformats.org/spreadsheetml/2006/main" count="6278" uniqueCount="2197">
  <si>
    <t>dnAB</t>
  </si>
  <si>
    <t>dnCCDB</t>
  </si>
  <si>
    <t>dnQC</t>
  </si>
  <si>
    <t>dnOHprim</t>
  </si>
  <si>
    <t>dnOHsec</t>
  </si>
  <si>
    <t>dnOHter</t>
  </si>
  <si>
    <t>No</t>
  </si>
  <si>
    <t>n-Alkane</t>
  </si>
  <si>
    <t xml:space="preserve">Carboxylic acid </t>
  </si>
  <si>
    <t>Classs</t>
  </si>
  <si>
    <t>Alcohol</t>
  </si>
  <si>
    <t>Aldehyde</t>
  </si>
  <si>
    <t>Alkene</t>
  </si>
  <si>
    <t>Aromatic</t>
  </si>
  <si>
    <t>Cyclic Ether</t>
  </si>
  <si>
    <t>Cyclic Ketone</t>
  </si>
  <si>
    <t>cyclo-alkane</t>
  </si>
  <si>
    <t>Ester</t>
  </si>
  <si>
    <t>Ether</t>
  </si>
  <si>
    <t>iso-alkane</t>
  </si>
  <si>
    <t>Ketone</t>
  </si>
  <si>
    <t>Polyfunctional</t>
  </si>
  <si>
    <t>Data</t>
  </si>
  <si>
    <t>Train</t>
  </si>
  <si>
    <t>Val</t>
  </si>
  <si>
    <t>Test</t>
  </si>
  <si>
    <t>Checking</t>
  </si>
  <si>
    <t>Inicio</t>
  </si>
  <si>
    <t>Final</t>
  </si>
  <si>
    <t>Class</t>
  </si>
  <si>
    <t>Index</t>
  </si>
  <si>
    <t>Set</t>
  </si>
  <si>
    <t>Functional Class</t>
  </si>
  <si>
    <t>Training</t>
  </si>
  <si>
    <t>Validation</t>
  </si>
  <si>
    <t>% Error1</t>
  </si>
  <si>
    <t>Columna1</t>
  </si>
  <si>
    <t>ERROR M1</t>
  </si>
  <si>
    <t>Cumple</t>
  </si>
  <si>
    <t>No cumple</t>
  </si>
  <si>
    <t>DATA</t>
  </si>
  <si>
    <t>NO CUMPLE</t>
  </si>
  <si>
    <t>CUMPLE</t>
  </si>
  <si>
    <t xml:space="preserve">% </t>
  </si>
  <si>
    <t>C21H42</t>
  </si>
  <si>
    <t>C26H44</t>
  </si>
  <si>
    <t>C22H38</t>
  </si>
  <si>
    <t>C19H38O2</t>
  </si>
  <si>
    <t>C6H12O</t>
  </si>
  <si>
    <t>C18H36</t>
  </si>
  <si>
    <t>C21H36O2</t>
  </si>
  <si>
    <t>C22H42O2</t>
  </si>
  <si>
    <t>C20H34O2</t>
  </si>
  <si>
    <t>C12H20O4</t>
  </si>
  <si>
    <t>C8H16</t>
  </si>
  <si>
    <t>C10H18</t>
  </si>
  <si>
    <t>C10H12</t>
  </si>
  <si>
    <t>C5H12</t>
  </si>
  <si>
    <t>C4H10O</t>
  </si>
  <si>
    <t>C22H44O2</t>
  </si>
  <si>
    <t>C21H30</t>
  </si>
  <si>
    <t>C18H28</t>
  </si>
  <si>
    <t>C24H48O2</t>
  </si>
  <si>
    <t>C51H98O6</t>
  </si>
  <si>
    <t>C20H36O2</t>
  </si>
  <si>
    <t>C21H42O2</t>
  </si>
  <si>
    <t>C13H26O2</t>
  </si>
  <si>
    <t>C6H12</t>
  </si>
  <si>
    <t>C14H20</t>
  </si>
  <si>
    <t>C11H22</t>
  </si>
  <si>
    <t>C18H38</t>
  </si>
  <si>
    <t>C5H12O</t>
  </si>
  <si>
    <t>C10H16</t>
  </si>
  <si>
    <t>C7H12O</t>
  </si>
  <si>
    <t>C12H22O2</t>
  </si>
  <si>
    <t>C8H16O2</t>
  </si>
  <si>
    <t>C15H32</t>
  </si>
  <si>
    <t>C12H26</t>
  </si>
  <si>
    <t>C18H32O</t>
  </si>
  <si>
    <t>C14H26O2</t>
  </si>
  <si>
    <t>C19H36O3</t>
  </si>
  <si>
    <t>C5H10O</t>
  </si>
  <si>
    <t>C14H14O</t>
  </si>
  <si>
    <t>C14H16</t>
  </si>
  <si>
    <t>C21H40O2</t>
  </si>
  <si>
    <t>C7H16</t>
  </si>
  <si>
    <t>C18H36O2</t>
  </si>
  <si>
    <t>C22H46</t>
  </si>
  <si>
    <t>C4H8O</t>
  </si>
  <si>
    <t>C14H24</t>
  </si>
  <si>
    <t>C8H18</t>
  </si>
  <si>
    <t>C18H24</t>
  </si>
  <si>
    <t>C7H14O2</t>
  </si>
  <si>
    <t>C14H22</t>
  </si>
  <si>
    <t>C5H10</t>
  </si>
  <si>
    <t>C12H22O4</t>
  </si>
  <si>
    <t>C10H22</t>
  </si>
  <si>
    <t>C9H16O2</t>
  </si>
  <si>
    <t>C20H38O2</t>
  </si>
  <si>
    <t>C4H10O2</t>
  </si>
  <si>
    <t>C5H12O2</t>
  </si>
  <si>
    <t>C16H32O</t>
  </si>
  <si>
    <t>C8H18O</t>
  </si>
  <si>
    <t>C17H34O2</t>
  </si>
  <si>
    <t>C15H30O2</t>
  </si>
  <si>
    <t>C9H18</t>
  </si>
  <si>
    <t>C16H32</t>
  </si>
  <si>
    <t>C6H14</t>
  </si>
  <si>
    <t>C11H24</t>
  </si>
  <si>
    <t>C18H30</t>
  </si>
  <si>
    <t>C8H16O</t>
  </si>
  <si>
    <t>C10H16O</t>
  </si>
  <si>
    <t>C9H18O2</t>
  </si>
  <si>
    <t>C18H32O2</t>
  </si>
  <si>
    <t>C10H18O</t>
  </si>
  <si>
    <t>C19H32O2</t>
  </si>
  <si>
    <t>C6H10O2</t>
  </si>
  <si>
    <t>C10H20O</t>
  </si>
  <si>
    <t>C18H30O2</t>
  </si>
  <si>
    <t>C6H8O</t>
  </si>
  <si>
    <t>C9H16O3</t>
  </si>
  <si>
    <t>C19H36O2</t>
  </si>
  <si>
    <t>C9H18O</t>
  </si>
  <si>
    <t>C11H20O2</t>
  </si>
  <si>
    <t>C4H6O</t>
  </si>
  <si>
    <t>C11H16</t>
  </si>
  <si>
    <t>C13H18</t>
  </si>
  <si>
    <t>C14H30</t>
  </si>
  <si>
    <t>C17H34</t>
  </si>
  <si>
    <t>C9H12</t>
  </si>
  <si>
    <t>C10H20O2</t>
  </si>
  <si>
    <t>C10H22O</t>
  </si>
  <si>
    <t>C16H34</t>
  </si>
  <si>
    <t>C18H34O2</t>
  </si>
  <si>
    <t>C5H6O2</t>
  </si>
  <si>
    <t>C23H34O2</t>
  </si>
  <si>
    <t>C8H8O2</t>
  </si>
  <si>
    <t>C5H12O3</t>
  </si>
  <si>
    <t>C16H34O</t>
  </si>
  <si>
    <t>C7H16O</t>
  </si>
  <si>
    <t>C6H14O</t>
  </si>
  <si>
    <t>C2H6O</t>
  </si>
  <si>
    <t>C18H38O</t>
  </si>
  <si>
    <t>C14H30O</t>
  </si>
  <si>
    <t>C19H26</t>
  </si>
  <si>
    <t>C10H14</t>
  </si>
  <si>
    <t>C25H44</t>
  </si>
  <si>
    <t>C12H18</t>
  </si>
  <si>
    <t>C26H46</t>
  </si>
  <si>
    <t>C13H11</t>
  </si>
  <si>
    <t>C15H24</t>
  </si>
  <si>
    <t>C57H92O6</t>
  </si>
  <si>
    <t>C15H26O6</t>
  </si>
  <si>
    <t>C39H74O6</t>
  </si>
  <si>
    <t>C57H110O6</t>
  </si>
  <si>
    <t>C12H24O2</t>
  </si>
  <si>
    <t>C7H12O3</t>
  </si>
  <si>
    <t>C20H40O2</t>
  </si>
  <si>
    <t>C16H32O2</t>
  </si>
  <si>
    <t>C7H10O2</t>
  </si>
  <si>
    <t>C11H22O2</t>
  </si>
  <si>
    <t>C19H38</t>
  </si>
  <si>
    <t>C21H40</t>
  </si>
  <si>
    <t>C20H38</t>
  </si>
  <si>
    <t>C18H34</t>
  </si>
  <si>
    <t>C12H20</t>
  </si>
  <si>
    <t>C10H20</t>
  </si>
  <si>
    <t>C7H14</t>
  </si>
  <si>
    <t>C12H24</t>
  </si>
  <si>
    <t>C8H14</t>
  </si>
  <si>
    <t>C14H28</t>
  </si>
  <si>
    <t>C9H20</t>
  </si>
  <si>
    <t>C13H28</t>
  </si>
  <si>
    <t>C17H36</t>
  </si>
  <si>
    <t>C21H44</t>
  </si>
  <si>
    <t>C24H50</t>
  </si>
  <si>
    <t>C20H42</t>
  </si>
  <si>
    <t>C9H20O</t>
  </si>
  <si>
    <t>C5H8</t>
  </si>
  <si>
    <t>C16H30</t>
  </si>
  <si>
    <t>C24H42</t>
  </si>
  <si>
    <t>C17H28</t>
  </si>
  <si>
    <t>C17H26</t>
  </si>
  <si>
    <t>C15H30</t>
  </si>
  <si>
    <t>C6H10O</t>
  </si>
  <si>
    <t>C20H40</t>
  </si>
  <si>
    <t>C9H14O6</t>
  </si>
  <si>
    <t>C6H12O2</t>
  </si>
  <si>
    <t>C5H10O2</t>
  </si>
  <si>
    <t>C6H14O2</t>
  </si>
  <si>
    <t>C7H14O</t>
  </si>
  <si>
    <t>C10H18O2</t>
  </si>
  <si>
    <t>C6H10O3</t>
  </si>
  <si>
    <t>C6H12O3</t>
  </si>
  <si>
    <t>C7H10O</t>
  </si>
  <si>
    <t>C7H16O2</t>
  </si>
  <si>
    <t>C7H16O4</t>
  </si>
  <si>
    <t>C9H12O2</t>
  </si>
  <si>
    <t>C7H16O3</t>
  </si>
  <si>
    <t>C10H22O4</t>
  </si>
  <si>
    <t>C8H10O2</t>
  </si>
  <si>
    <t>C22H40O2</t>
  </si>
  <si>
    <t>C23H44O2</t>
  </si>
  <si>
    <t>C19H34O2</t>
  </si>
  <si>
    <t>C17H32O2</t>
  </si>
  <si>
    <t>C26H50O2</t>
  </si>
  <si>
    <t>C12H20O2</t>
  </si>
  <si>
    <t>C3H8O2</t>
  </si>
  <si>
    <t>C21H34O2</t>
  </si>
  <si>
    <t>C18H36O</t>
  </si>
  <si>
    <t>C19H32</t>
  </si>
  <si>
    <t>CH4O</t>
  </si>
  <si>
    <t>C8H12</t>
  </si>
  <si>
    <t>C6H10</t>
  </si>
  <si>
    <t>C20H28</t>
  </si>
  <si>
    <t>C9H16O</t>
  </si>
  <si>
    <t>C11H20O4</t>
  </si>
  <si>
    <t>C21H38O2</t>
  </si>
  <si>
    <t>C13H20</t>
  </si>
  <si>
    <t>C18H34O</t>
  </si>
  <si>
    <t>C12H12</t>
  </si>
  <si>
    <t>C5H8O</t>
  </si>
  <si>
    <t>C12H26O</t>
  </si>
  <si>
    <t>C11H24O</t>
  </si>
  <si>
    <t>C20H34</t>
  </si>
  <si>
    <t>C45H86O6</t>
  </si>
  <si>
    <t>C14H28O2</t>
  </si>
  <si>
    <t>C24H48</t>
  </si>
  <si>
    <t>C14H26</t>
  </si>
  <si>
    <t>C8H14O4</t>
  </si>
  <si>
    <t>C22H38O2</t>
  </si>
  <si>
    <t>C15H26O</t>
  </si>
  <si>
    <t>C4H8O2</t>
  </si>
  <si>
    <t>C5H4O2</t>
  </si>
  <si>
    <t>C17H22</t>
  </si>
  <si>
    <t>C3H8O</t>
  </si>
  <si>
    <t>7-hexylpentadec-7-ene</t>
  </si>
  <si>
    <t>1,4-dioctyltetralin</t>
  </si>
  <si>
    <t>2-methyl-2-phenylpentadecane</t>
  </si>
  <si>
    <t>propyl hexadecanoate</t>
  </si>
  <si>
    <t>hexanal</t>
  </si>
  <si>
    <t>7,10-dimethylhexadec-8-ene</t>
  </si>
  <si>
    <t>propyl octadeca-9,12,15-trienoate</t>
  </si>
  <si>
    <t>sec-butyl-octadec-9-enoate</t>
  </si>
  <si>
    <t>ethyl octadeca-9,12,15-trienoate</t>
  </si>
  <si>
    <t>dibutyl fumarate</t>
  </si>
  <si>
    <t>ethylcyclohexane</t>
  </si>
  <si>
    <t>2,4,4-trimethylpent-1-ene</t>
  </si>
  <si>
    <t>dec-1,9-diene</t>
  </si>
  <si>
    <t>1,2,3,4-tetrahydronaphthalene</t>
  </si>
  <si>
    <t>2-methylbutane</t>
  </si>
  <si>
    <t>butan-1-ol</t>
  </si>
  <si>
    <t>isobutyl octadecanoate</t>
  </si>
  <si>
    <t>2-methyl-2-(beta-naphthyl)decane</t>
  </si>
  <si>
    <t>octyltetralin</t>
  </si>
  <si>
    <t>2-ethylhexyl hexadecanoate</t>
  </si>
  <si>
    <t>2,3-di(hexadecanoyloxy)propyl hexadecanoate</t>
  </si>
  <si>
    <t>methyl eicosanoate</t>
  </si>
  <si>
    <t>propyl decanoate</t>
  </si>
  <si>
    <t>cyclohexane</t>
  </si>
  <si>
    <t>tert-butyldecalin</t>
  </si>
  <si>
    <t>undec-1-ene</t>
  </si>
  <si>
    <t>5,6-dibutyldecane</t>
  </si>
  <si>
    <t>2-methyl-2-butanol</t>
  </si>
  <si>
    <t>9-methylheptadec-9-ene</t>
  </si>
  <si>
    <t>2-methyl-4-isobutyl-4-phenylundecane</t>
  </si>
  <si>
    <t>cycloheptanone</t>
  </si>
  <si>
    <t>menthyl acetate</t>
  </si>
  <si>
    <t>n-hexyl acetate</t>
  </si>
  <si>
    <t>2,6,10-trimethyldodecane</t>
  </si>
  <si>
    <t>4,5-diethyloctane</t>
  </si>
  <si>
    <t>4-methyl-2-pentanone</t>
  </si>
  <si>
    <t>octadeca-9,12,15-trien-1-ol</t>
  </si>
  <si>
    <t>vinyl laurate</t>
  </si>
  <si>
    <t>methyl ricinoleate</t>
  </si>
  <si>
    <t>2-methylfuran</t>
  </si>
  <si>
    <t>dibenzylether</t>
  </si>
  <si>
    <t>2-tert-butylnaphthalene</t>
  </si>
  <si>
    <t>2,4-dimethylpentane</t>
  </si>
  <si>
    <t>octadecanoic acid</t>
  </si>
  <si>
    <t>2,9-dimethyl-5,6-diisoamyldecane</t>
  </si>
  <si>
    <t>isobutyraldehyde</t>
  </si>
  <si>
    <t>2-methylheptane</t>
  </si>
  <si>
    <t>2-octylnaphthalene</t>
  </si>
  <si>
    <t>isopropyl decanoate</t>
  </si>
  <si>
    <t>methyl hexanoate</t>
  </si>
  <si>
    <t>2-phenyloctane</t>
  </si>
  <si>
    <t>cyclopentane</t>
  </si>
  <si>
    <t>dibutyl butanedioate</t>
  </si>
  <si>
    <t>2,6-dimethyloctane</t>
  </si>
  <si>
    <t>whiskey lactone</t>
  </si>
  <si>
    <t>ethyl octadec-9-enoate</t>
  </si>
  <si>
    <t>1,2-dimethoxyethane</t>
  </si>
  <si>
    <t>2,2-dimethoxypropane</t>
  </si>
  <si>
    <t>octan-1-ol</t>
  </si>
  <si>
    <t>methyl hexadecanoate</t>
  </si>
  <si>
    <t>methyl tetradecanoate</t>
  </si>
  <si>
    <t>propylcyclohexane</t>
  </si>
  <si>
    <t>hexadec-1-ene</t>
  </si>
  <si>
    <t>n-hexane</t>
  </si>
  <si>
    <t>n-undecane</t>
  </si>
  <si>
    <t>limonene</t>
  </si>
  <si>
    <t>4-butyldodec-4-ene</t>
  </si>
  <si>
    <t>4-phenyldodecane</t>
  </si>
  <si>
    <t>2-butyltetrahydrofuran</t>
  </si>
  <si>
    <t>menthone</t>
  </si>
  <si>
    <t>butyl pentanoate</t>
  </si>
  <si>
    <t>2-methylheptadecane</t>
  </si>
  <si>
    <t>octadeca-9,12-dienoic acid</t>
  </si>
  <si>
    <t>linalool</t>
  </si>
  <si>
    <t>methyl octadeca-9,12,15-trienoate</t>
  </si>
  <si>
    <t>methyl pent-4-enoate</t>
  </si>
  <si>
    <t>beta-citronellol</t>
  </si>
  <si>
    <t>octadeca-9,12,15-trienoic acid</t>
  </si>
  <si>
    <t>2-ethylfuran</t>
  </si>
  <si>
    <t>geraniol</t>
  </si>
  <si>
    <t>butyl levulinate</t>
  </si>
  <si>
    <t>methyl octadec-9-enoate</t>
  </si>
  <si>
    <t>2-nonanone</t>
  </si>
  <si>
    <t>2-isopropoxyethanol</t>
  </si>
  <si>
    <t>2,5-dihydrofuran</t>
  </si>
  <si>
    <t>diisobutyl ether</t>
  </si>
  <si>
    <t>pentylbenzene</t>
  </si>
  <si>
    <t>propyltetralin</t>
  </si>
  <si>
    <t>tetralin</t>
  </si>
  <si>
    <t>isopropyl octadecanoate</t>
  </si>
  <si>
    <t>2,2,6,6,8,8-hexamethyl-4-methylene-nonane</t>
  </si>
  <si>
    <t>2,2-dimethyloctane</t>
  </si>
  <si>
    <t>8-propylpentadecane</t>
  </si>
  <si>
    <t>n-decane</t>
  </si>
  <si>
    <t>n-tetradecane</t>
  </si>
  <si>
    <t>3-octanol</t>
  </si>
  <si>
    <t>2-ethyl-hexan-1-ol</t>
  </si>
  <si>
    <t>7-butyltridec-1-ene</t>
  </si>
  <si>
    <t>eucalyptol</t>
  </si>
  <si>
    <t>1,2,4-trimethylcyclohexane</t>
  </si>
  <si>
    <t>pentyl pentanoate</t>
  </si>
  <si>
    <t>diisoamyl ether</t>
  </si>
  <si>
    <t>2,2,4,4,6,8,8-heptamethylnonane</t>
  </si>
  <si>
    <t>octadec-9-enoic acid</t>
  </si>
  <si>
    <t>furfuryl alcohol</t>
  </si>
  <si>
    <t>methyl 4,7,10,13,16,19-docosahexaenoate</t>
  </si>
  <si>
    <t>4-methoxybenzaldehyde</t>
  </si>
  <si>
    <t>methyl petroselinate</t>
  </si>
  <si>
    <t>diethylene glycol monomethyl ether</t>
  </si>
  <si>
    <t>methyl gamma-linolenate</t>
  </si>
  <si>
    <t>hexadecan-1-ol</t>
  </si>
  <si>
    <t>1-methoxyhexane</t>
  </si>
  <si>
    <t>diisopropyl ether</t>
  </si>
  <si>
    <t>ethanol</t>
  </si>
  <si>
    <t>heptan-1-ol</t>
  </si>
  <si>
    <t>hexan-1-ol</t>
  </si>
  <si>
    <t>octadecan-1-ol</t>
  </si>
  <si>
    <t>tetradecan-1-ol</t>
  </si>
  <si>
    <t>1,2,3,4-tetramethylbenzene</t>
  </si>
  <si>
    <t>1,2,4-trimethyl-5-hexadecylbenzene</t>
  </si>
  <si>
    <t>1,3-di(propan-2-yl)benzene</t>
  </si>
  <si>
    <t>1,3-diethylbenzene</t>
  </si>
  <si>
    <t>3-ethyl-3-(beta-naphthyl)nonane</t>
  </si>
  <si>
    <t>4-isopropyltoluene</t>
  </si>
  <si>
    <t>4-methyl-4-(beta-naphthyl)heptane</t>
  </si>
  <si>
    <t>butyltetralin</t>
  </si>
  <si>
    <t>diphenylmethane</t>
  </si>
  <si>
    <t>isopropylbenzene</t>
  </si>
  <si>
    <t>n-dodecylbenzene</t>
  </si>
  <si>
    <t>nonylbenzene</t>
  </si>
  <si>
    <t>tert-butyltetralin</t>
  </si>
  <si>
    <t>2,3-di(butanoyloxy)propyl butanoate</t>
  </si>
  <si>
    <t>2,3-di(dodecanoyloxy)propyl dodecanoate</t>
  </si>
  <si>
    <t>2,3-di(octadecanoyloxy)propyl octadecanoate</t>
  </si>
  <si>
    <t>butyl butanoate</t>
  </si>
  <si>
    <t>butyl octanoate</t>
  </si>
  <si>
    <t>butyl tetradecanoate</t>
  </si>
  <si>
    <t>ethyl 4-oxopentanoate</t>
  </si>
  <si>
    <t>ethyl octadecanoate</t>
  </si>
  <si>
    <t>ethyl tetradecanoate</t>
  </si>
  <si>
    <t>isopropyl hexadecanoate</t>
  </si>
  <si>
    <t>methyl decanoate</t>
  </si>
  <si>
    <t>methyl dodecanoate</t>
  </si>
  <si>
    <t>methyl octadecanoate</t>
  </si>
  <si>
    <t>sec-butyl hexadecanoate</t>
  </si>
  <si>
    <t>sec-butyl octadecanoate</t>
  </si>
  <si>
    <t>1-methyl-3-dodecylcyclohexane</t>
  </si>
  <si>
    <t>1,2,4-trimethyl-5-hexadecylcyclohexane</t>
  </si>
  <si>
    <t>2-methyl-2-decalyldecane</t>
  </si>
  <si>
    <t>4-methyl-4-decalylheptane</t>
  </si>
  <si>
    <t>bicyclohexyl</t>
  </si>
  <si>
    <t>butylcyclohexane</t>
  </si>
  <si>
    <t>cyclooctane</t>
  </si>
  <si>
    <t>methylcyclohexane</t>
  </si>
  <si>
    <t>octyldecalin</t>
  </si>
  <si>
    <t>2,6-dimethylhept-1-ene</t>
  </si>
  <si>
    <t>3,12-diethyltetradeca-3,11-diene</t>
  </si>
  <si>
    <t>dodec-1-ene</t>
  </si>
  <si>
    <t>ethenylcyclohexane</t>
  </si>
  <si>
    <t>hept-1-ene</t>
  </si>
  <si>
    <t>oct-1-ene</t>
  </si>
  <si>
    <t>octadec-1-ene</t>
  </si>
  <si>
    <t>tetradec-1-ene</t>
  </si>
  <si>
    <t>2,2,5-trimethylhexane</t>
  </si>
  <si>
    <t>3-ethyldecane</t>
  </si>
  <si>
    <t>3-methylpentane</t>
  </si>
  <si>
    <t>5-butyldodecane</t>
  </si>
  <si>
    <t>5-butylnonane</t>
  </si>
  <si>
    <t>7-butyltridecane</t>
  </si>
  <si>
    <t>7-hexylpentadecane</t>
  </si>
  <si>
    <t>9-heptylheptadecane</t>
  </si>
  <si>
    <t>n-dodecane</t>
  </si>
  <si>
    <t>n-hexadecane</t>
  </si>
  <si>
    <t>n-nonane</t>
  </si>
  <si>
    <t>n-octane</t>
  </si>
  <si>
    <t>n-pentane</t>
  </si>
  <si>
    <t>2-nonanol</t>
  </si>
  <si>
    <t>cyclopentanol</t>
  </si>
  <si>
    <t>butanal</t>
  </si>
  <si>
    <t>2-octene</t>
  </si>
  <si>
    <t>2-methyl-1,3-butadiene</t>
  </si>
  <si>
    <t>2,5-dimethyl-2,4-hexadiene</t>
  </si>
  <si>
    <t>8-propylpentadec-8-ene</t>
  </si>
  <si>
    <t>2-heptene</t>
  </si>
  <si>
    <t>3-octene</t>
  </si>
  <si>
    <t>2,6,7-trimethyltridec-2,6-diene</t>
  </si>
  <si>
    <t>sec-butylbenzene</t>
  </si>
  <si>
    <t>5-butyl-5-phenyltetradecane</t>
  </si>
  <si>
    <t>2-phenylundecane</t>
  </si>
  <si>
    <t>phenylundec-2-ene</t>
  </si>
  <si>
    <t>1,2,4-trimethylbenzene</t>
  </si>
  <si>
    <t>1,3,5-triisopropylbenzene</t>
  </si>
  <si>
    <t>tetrahydropyran</t>
  </si>
  <si>
    <t>2-methyltetrahydrofuran</t>
  </si>
  <si>
    <t>cyclohexanone</t>
  </si>
  <si>
    <t>methylcyclopentane</t>
  </si>
  <si>
    <t>2-cyclohexyltetradecane</t>
  </si>
  <si>
    <t>3-cyclohexylhexane</t>
  </si>
  <si>
    <t>glycerol triacetate</t>
  </si>
  <si>
    <t>methyl pentanoate</t>
  </si>
  <si>
    <t>propyl pentanoate</t>
  </si>
  <si>
    <t>methyl butanoate</t>
  </si>
  <si>
    <t>acetaldehyde diethyl acetal</t>
  </si>
  <si>
    <t>cyclopentyl methyl ether</t>
  </si>
  <si>
    <t>diethoxymethane</t>
  </si>
  <si>
    <t>3-methylheptane</t>
  </si>
  <si>
    <t>7,8-diethyltetradecane</t>
  </si>
  <si>
    <t>9,10-dipropyloctadecane</t>
  </si>
  <si>
    <t>2-methylhexane</t>
  </si>
  <si>
    <t>2,2,5,5-tetramethylhexane</t>
  </si>
  <si>
    <t>2,3,4,5,6-pentamethylheptane</t>
  </si>
  <si>
    <t>2,7-dimethyl-4,5-diethyloctane</t>
  </si>
  <si>
    <t>3-ethylpentane</t>
  </si>
  <si>
    <t>10,13-dimethyldocosane</t>
  </si>
  <si>
    <t>2-heptanone</t>
  </si>
  <si>
    <t>3-pentanone</t>
  </si>
  <si>
    <t>2-octanone</t>
  </si>
  <si>
    <t>e-decalactone</t>
  </si>
  <si>
    <t>ethyl acetoacetate</t>
  </si>
  <si>
    <t>propylene glycol monomethyl ether acetate</t>
  </si>
  <si>
    <t>3-cyclohexene-1-carboxaldehyde</t>
  </si>
  <si>
    <t>1-butoxy-2-propanol</t>
  </si>
  <si>
    <t>triethylene glycol monomethyl ether</t>
  </si>
  <si>
    <t>benzaldehyde dimethyl acetal</t>
  </si>
  <si>
    <t>dipropylene glycol monomethyl ether</t>
  </si>
  <si>
    <t>tripropylene glycol monomethyl ether</t>
  </si>
  <si>
    <t>4-hydroxy-4-methyl-2-pentanone</t>
  </si>
  <si>
    <t>2-butylfuran</t>
  </si>
  <si>
    <t>1,2-dimethoxybenzene</t>
  </si>
  <si>
    <t>butyl octadeca-9,12-dienoate</t>
  </si>
  <si>
    <t>methyl asclepate</t>
  </si>
  <si>
    <t>methyl erucate</t>
  </si>
  <si>
    <t>methyl octadeca-9,12-dienoate</t>
  </si>
  <si>
    <t>rose oxide</t>
  </si>
  <si>
    <t>2,3-dihydrofuran</t>
  </si>
  <si>
    <t>tetrahydrofurfuryl alcohol</t>
  </si>
  <si>
    <t>methyl hexadec-9-enoate</t>
  </si>
  <si>
    <t>1,4-cyclohexanedimethanol divinyl ether</t>
  </si>
  <si>
    <t>2,5-dimethylfuran</t>
  </si>
  <si>
    <t>2-methoxyethanol</t>
  </si>
  <si>
    <t>2-ethyl hexyloctadec-9-enoate</t>
  </si>
  <si>
    <t>methyl-5,8,11,14-eicosatetraenoate</t>
  </si>
  <si>
    <t>octadec-9-en-1-ol</t>
  </si>
  <si>
    <t>decan-1-ol</t>
  </si>
  <si>
    <t>2-methyl-2-phenylheptadecane</t>
  </si>
  <si>
    <t>ethyl decanoate</t>
  </si>
  <si>
    <t>ethyl hexadecanoate</t>
  </si>
  <si>
    <t>isobutyl hexadecanoate</t>
  </si>
  <si>
    <t>7-phenyltridecane</t>
  </si>
  <si>
    <t>2,2-dimethylbutane</t>
  </si>
  <si>
    <t>ethyl valerate</t>
  </si>
  <si>
    <t>methanol</t>
  </si>
  <si>
    <t>nonan-1-ol</t>
  </si>
  <si>
    <t>biphenyl</t>
  </si>
  <si>
    <t>ethylbenzene</t>
  </si>
  <si>
    <t>n-hexylbenzene</t>
  </si>
  <si>
    <t>methyl heptanoate</t>
  </si>
  <si>
    <t>2-methyl-2-cyclohexylpentadecane</t>
  </si>
  <si>
    <t>trans-decalin</t>
  </si>
  <si>
    <t>dec-1-ene</t>
  </si>
  <si>
    <t>hex-1-ene</t>
  </si>
  <si>
    <t>non-1-ene</t>
  </si>
  <si>
    <t>9-methylheptadecane</t>
  </si>
  <si>
    <t>n-pentadecane</t>
  </si>
  <si>
    <t>n-tridecane</t>
  </si>
  <si>
    <t>3,7-dimethyl-1-octanol</t>
  </si>
  <si>
    <t>1,5-cyclooctadiene</t>
  </si>
  <si>
    <t>cyclohexene</t>
  </si>
  <si>
    <t>3,6-dimethyl-3-(beta-naphthyl)octane</t>
  </si>
  <si>
    <t>3,3,5-trimethylcyclohexanone</t>
  </si>
  <si>
    <t>dibutyl malonate</t>
  </si>
  <si>
    <t>ethyl hexanoate</t>
  </si>
  <si>
    <t>7,8-dimethyltetradecane</t>
  </si>
  <si>
    <t>propyl octadeca-9,12-dienoate</t>
  </si>
  <si>
    <t>tetrahydrofurfuryl acetate</t>
  </si>
  <si>
    <t>n-heptylbenzene</t>
  </si>
  <si>
    <t>1,3,5-triisopropylcyclohexane</t>
  </si>
  <si>
    <t>2,2,3-trimethylbutane</t>
  </si>
  <si>
    <t>2,2,4,6,6-pentamethylheptane</t>
  </si>
  <si>
    <t>isopentanol</t>
  </si>
  <si>
    <t>2,4-dimethyl-3-pentanone</t>
  </si>
  <si>
    <t>octadeca-9,12-dien-1-ol</t>
  </si>
  <si>
    <t>propyl octadec-9-enoate</t>
  </si>
  <si>
    <t>butyl hexadecanoate</t>
  </si>
  <si>
    <t>propyl octadecanoate</t>
  </si>
  <si>
    <t>2,6-dimethylnaphthalene</t>
  </si>
  <si>
    <t>n-heptane</t>
  </si>
  <si>
    <t>dodecan-1-ol</t>
  </si>
  <si>
    <t>pentan-1-ol</t>
  </si>
  <si>
    <t>undecan-1-ol</t>
  </si>
  <si>
    <t>5-methyl-5-(beta-naphthyl)nonane</t>
  </si>
  <si>
    <t>tert-butylbenzene</t>
  </si>
  <si>
    <t>tetradecylbenzene</t>
  </si>
  <si>
    <t>2,3-di(tetradecanoyloxy)propyl tetradecanoate</t>
  </si>
  <si>
    <t>butyl decanoate</t>
  </si>
  <si>
    <t>methyl octanoate</t>
  </si>
  <si>
    <t>n-butyl octadecanoate</t>
  </si>
  <si>
    <t>1,3,5-trimethylcyclohexane</t>
  </si>
  <si>
    <t>butyldecalin</t>
  </si>
  <si>
    <t>propyldecalin</t>
  </si>
  <si>
    <t>2,2,4-trimethylpentane</t>
  </si>
  <si>
    <t>4-propyldecane</t>
  </si>
  <si>
    <t>cyclohexanol</t>
  </si>
  <si>
    <t>pentanal</t>
  </si>
  <si>
    <t>10,13-dimethyldoeicos-11-ene</t>
  </si>
  <si>
    <t>sec-butyltetralin</t>
  </si>
  <si>
    <t>2-phenyltetradecane</t>
  </si>
  <si>
    <t>2-ethyltetrahydrofuran</t>
  </si>
  <si>
    <t>sec-butyldecalin</t>
  </si>
  <si>
    <t>diethyl butanedioate</t>
  </si>
  <si>
    <t>2,5-dimethylundecane</t>
  </si>
  <si>
    <t>3-octanone</t>
  </si>
  <si>
    <t>butyl octadeca-9,12,15-trienoate</t>
  </si>
  <si>
    <t>2-methyl-9-decenoate</t>
  </si>
  <si>
    <t>nerolidol</t>
  </si>
  <si>
    <t>methyl gondoate</t>
  </si>
  <si>
    <t>ethylene glycol vinyl ether</t>
  </si>
  <si>
    <t>3-methoxy-3-methyl-1-butanol</t>
  </si>
  <si>
    <t>furfural</t>
  </si>
  <si>
    <t>butyl octadec-9-enoate</t>
  </si>
  <si>
    <t>2-methyl-2-(beta-naphthyl)hexane</t>
  </si>
  <si>
    <t>tetrahydrofuran</t>
  </si>
  <si>
    <t>propan-1-ol</t>
  </si>
  <si>
    <t>Total</t>
  </si>
  <si>
    <t>ERROR M2</t>
  </si>
  <si>
    <t>Name</t>
  </si>
  <si>
    <t>CC(C)CCO</t>
  </si>
  <si>
    <t>CCCCO</t>
  </si>
  <si>
    <t>CCCCCCCCCCCCCCO</t>
  </si>
  <si>
    <t>CCCCCC=O</t>
  </si>
  <si>
    <t>CC1([C@H]2CCC(=C)[C@@H]1C2)C</t>
  </si>
  <si>
    <t>CCCCCCCCCCC=C</t>
  </si>
  <si>
    <t>CC1=CC[C@H](CC1)C(=C)C</t>
  </si>
  <si>
    <t>CC(CCCCCC)C=CC(CCCCCC)C</t>
  </si>
  <si>
    <t>C(CCC)C(CCC)=CCCCCCCC</t>
  </si>
  <si>
    <t>CCCCCCCCC(CCC)c1ccccc1</t>
  </si>
  <si>
    <t>CCCCCCCCc1ccc2ccccc2c1</t>
  </si>
  <si>
    <t>CCCCCCC(C)c1ccccc1</t>
  </si>
  <si>
    <t>Cc1ccc(cc1)C(C)C</t>
  </si>
  <si>
    <t>CCCCCCCCCCCCCCCCCC(=O)O</t>
  </si>
  <si>
    <t>CCCCC1CCCO1</t>
  </si>
  <si>
    <t>CC1(C2CCC1(C(=O)C2)C)C</t>
  </si>
  <si>
    <t>C1CCCC1</t>
  </si>
  <si>
    <t>CC(C)C1CC(CC(C1)C(C)C)C(C)C</t>
  </si>
  <si>
    <t>CC1CCCCC1</t>
  </si>
  <si>
    <t>CCCCC(=O)OCCCC</t>
  </si>
  <si>
    <t>CCCCOC(=O)CCC(=O)OCCCC</t>
  </si>
  <si>
    <t>CCCCCCCCCCCCCC(=O)OCC</t>
  </si>
  <si>
    <t>CCCCCCCCCCCCCCCCCC(=O)OCC(C)C</t>
  </si>
  <si>
    <t>CCCCCCCCCCCCCCCC(=O)OCC(C)C</t>
  </si>
  <si>
    <t>CC(C)OC(C)C</t>
  </si>
  <si>
    <t>CC(CC(C)(C)C)CC(C)(C)C</t>
  </si>
  <si>
    <t>CC(C(C)C)C(C)C(C(C)C)C</t>
  </si>
  <si>
    <t>CC(C)C(C)(C)C</t>
  </si>
  <si>
    <t>CC(CC(C)(C)C)CC(C)(C)CC(C)(C)C</t>
  </si>
  <si>
    <t>CC(C)CC(C)(C)C</t>
  </si>
  <si>
    <t>CCCC(CC)C(CC)CCC</t>
  </si>
  <si>
    <t>CC(C)C(=O)C(C)C</t>
  </si>
  <si>
    <t>CCCCC1C(CC(=O)O1)C</t>
  </si>
  <si>
    <t>Lactone</t>
  </si>
  <si>
    <t>CCCCCCCCC</t>
  </si>
  <si>
    <t>CCCCCCCCCCC</t>
  </si>
  <si>
    <t>O=C(OCCC)CCCCCCC/C=C/C/C=C/C/C=C/CC</t>
  </si>
  <si>
    <t>CCCCC/C=C/C/C=C/CCCCCCCC(=O)O</t>
  </si>
  <si>
    <t>C(C)(CC)OC(CCCCCCCC=CCCCCCCCC)=O</t>
  </si>
  <si>
    <t>CC(=CCCC(C)(C=C)O)C</t>
  </si>
  <si>
    <t>CCCCC/C=C\C/C=C\CCCCCCCC(=O)OCC</t>
  </si>
  <si>
    <t>CCC=CCC=CCC=CCCCCCCCC(=O)OC</t>
  </si>
  <si>
    <t>COC(=O)CCC=C</t>
  </si>
  <si>
    <t>CC(CCC=C(C)C)CCO</t>
  </si>
  <si>
    <t>CCC=CCC=CCC=CCCCCCCCC(=O)O</t>
  </si>
  <si>
    <t>CCc1ccco1</t>
  </si>
  <si>
    <t>C(CCCCCCCC=CCC=CCC=CCC)(=O)OCC</t>
  </si>
  <si>
    <t>CCCCCCCC(C)O</t>
  </si>
  <si>
    <t>CCCCCCCCCCCCO</t>
  </si>
  <si>
    <t>CCCCCCCCCCCCCCCCO</t>
  </si>
  <si>
    <t>CCCCCCCCCCCO</t>
  </si>
  <si>
    <t>CCO</t>
  </si>
  <si>
    <t>CCCCCC(CC)O</t>
  </si>
  <si>
    <t>C1CCC(C1)O</t>
  </si>
  <si>
    <t>CCCCC(CC)CO</t>
  </si>
  <si>
    <t>CCCCCCCCCCO</t>
  </si>
  <si>
    <t>CCCCCCCO</t>
  </si>
  <si>
    <t>CCCCCCCCCO</t>
  </si>
  <si>
    <t>C1CCC(CC1)O</t>
  </si>
  <si>
    <t>CCC(C)O</t>
  </si>
  <si>
    <t>CCC(C)(C)O</t>
  </si>
  <si>
    <t>CO</t>
  </si>
  <si>
    <t>CCCCCO</t>
  </si>
  <si>
    <t>CCCCCCCCO</t>
  </si>
  <si>
    <t>CCCCC=O</t>
  </si>
  <si>
    <t>CCCC=O</t>
  </si>
  <si>
    <t>CCCCCC=CC</t>
  </si>
  <si>
    <t>CCCCCCCC=C</t>
  </si>
  <si>
    <t>CCCCCCCCCCCCCCC=C</t>
  </si>
  <si>
    <t>CC(=C)C=C</t>
  </si>
  <si>
    <t>CCCCCCCCCCCCCCCCC=C</t>
  </si>
  <si>
    <t>CCCCCCCCC=C</t>
  </si>
  <si>
    <t>CCCCC=C</t>
  </si>
  <si>
    <t>CC(=CC=C(C)C)C</t>
  </si>
  <si>
    <t>CC1=CCC2CC1C2(C)C</t>
  </si>
  <si>
    <t>CC1=CCC(=CC1)C(C)C</t>
  </si>
  <si>
    <t>CCCCCCC=C</t>
  </si>
  <si>
    <t>CC(CCCCCCCCC)C=CC(CCCCCCCCC)C</t>
  </si>
  <si>
    <t>C(CCC)C(CCCCC=C)CCCCCC</t>
  </si>
  <si>
    <t>C(CC)C(CCCCCCC)=CCCCCCC</t>
  </si>
  <si>
    <t>CC(CCCCCCCC)=CCCCCCCC</t>
  </si>
  <si>
    <t>CCCCC=CC</t>
  </si>
  <si>
    <t>CCCCCCCCCCCCC=C</t>
  </si>
  <si>
    <t>C=CC1CCCCC1</t>
  </si>
  <si>
    <t>CCCC/C=C/CC</t>
  </si>
  <si>
    <t>CC1=CC/C(=C(/C)\CCC=C(C)C)/CC1</t>
  </si>
  <si>
    <t>CC(=C)CC(C)(C)C</t>
  </si>
  <si>
    <t>CC(C)=CCCC(=C(CCCCCC)C)C</t>
  </si>
  <si>
    <t>C(C)(CC)C1CCCC2=CC=CC=C12</t>
  </si>
  <si>
    <t>CC(C)(C)c1ccccc1</t>
  </si>
  <si>
    <t>CCCCCCCCCCCCc1ccccc1</t>
  </si>
  <si>
    <t>CCC(C)c1ccccc1</t>
  </si>
  <si>
    <t>CCCCCCCCCCCCC(C)c1ccccc1</t>
  </si>
  <si>
    <t>1-methylnaphthalene</t>
  </si>
  <si>
    <t>C(CCC)C(CCCC)(CCCCCCCCC)C1=CC=CC=C1</t>
  </si>
  <si>
    <t>CCCCCCC(CCCCCC)c1ccccc1</t>
  </si>
  <si>
    <t>c1ccc2c(c1)CCCC2</t>
  </si>
  <si>
    <t>CC(C)c1cccc(c1)C(C)C</t>
  </si>
  <si>
    <t>Cc1ccc2cc(ccc2c1)C</t>
  </si>
  <si>
    <t>CC(C)CC(CCCCCCC)(C1=CC=CC=C1)CC(C)C</t>
  </si>
  <si>
    <t>CCCCCCCCCC(C)c1ccccc1</t>
  </si>
  <si>
    <t>CCCCCCCc1ccccc1</t>
  </si>
  <si>
    <t>CCCCCCCCCc1ccccc1</t>
  </si>
  <si>
    <t>CCCCCc1ccccc1</t>
  </si>
  <si>
    <t>C1(=CC=CC=C1)CC=CCCCCCCCC</t>
  </si>
  <si>
    <t>Cc1ccc(c(c1)C)C</t>
  </si>
  <si>
    <t>CC(C)c1cc(cc(c1)C(C)C)C(C)C</t>
  </si>
  <si>
    <t>CCCCCCCCCCCCCC(C)(C)c1ccccc1</t>
  </si>
  <si>
    <t>CC(C)(C)c1ccc2ccccc2c1</t>
  </si>
  <si>
    <t>CCCCCCc1ccccc1</t>
  </si>
  <si>
    <t>C1CCOCC1</t>
  </si>
  <si>
    <t>CC1CCCO1</t>
  </si>
  <si>
    <t>CCC1CCCO1</t>
  </si>
  <si>
    <t>CC1(C2CCC(O1)(CC2)C)C</t>
  </si>
  <si>
    <t>C1CCCC(=O)CC1</t>
  </si>
  <si>
    <t>C1CCC(=O)CC1</t>
  </si>
  <si>
    <t>CC1CCC(C(C1)C)C</t>
  </si>
  <si>
    <t>CC1CCCC1</t>
  </si>
  <si>
    <t>C1(CCCCC1)C(C)CCCCCCCCCCCC</t>
  </si>
  <si>
    <t>C1CCCCC1</t>
  </si>
  <si>
    <t>CCCCC1CCCCC1</t>
  </si>
  <si>
    <t>CCCC1CCCCC1</t>
  </si>
  <si>
    <t>CCC(C)C1CCCC2C1CCCC2</t>
  </si>
  <si>
    <t>C1CCCCCCC1</t>
  </si>
  <si>
    <t>CCC1CCCCC1</t>
  </si>
  <si>
    <t>CCCC(CC)C1CCCCC1</t>
  </si>
  <si>
    <t>CCCCCCCCCCCC(=O)OC</t>
  </si>
  <si>
    <t>CCOC(=O)CCC(=O)OCC</t>
  </si>
  <si>
    <t>CCCCCCC(=O)OC</t>
  </si>
  <si>
    <t>CCCCCCCCCCCCCC(=O)OC</t>
  </si>
  <si>
    <t>C[C@@H]1CC[C@H]([C@@H](C1)OC(=O)C)C(C)C</t>
  </si>
  <si>
    <t>CCCCOC(=O)CCC</t>
  </si>
  <si>
    <t>CCCCCC(=O)OC</t>
  </si>
  <si>
    <t>CCCCCCCCCCCCCCCC(=O)OCCCC</t>
  </si>
  <si>
    <t>CCCCCCCCCCCCCC(=O)OCCCC</t>
  </si>
  <si>
    <t>CCCCCCCC(=O)OCCCC</t>
  </si>
  <si>
    <t>CCCCCCCCCC(=O)OCC</t>
  </si>
  <si>
    <t>CCCCCCCCCCCCCCCC(=O)OCC</t>
  </si>
  <si>
    <t>CCCCCCCCCCCCCCCCCC(=O)OCC</t>
  </si>
  <si>
    <t>CC(=O)OCC(COC(=O)C)OC(=O)C</t>
  </si>
  <si>
    <t>CCCCCCCCCCCCCCCC(=O)OC(C)C</t>
  </si>
  <si>
    <t>CCCCCCCCCCCCCCCCCCCC(=O)OC</t>
  </si>
  <si>
    <t>CCCCC(=O)OC</t>
  </si>
  <si>
    <t>CCCCCCOC(=O)C</t>
  </si>
  <si>
    <t>CCCCCOC(=O)CCCC</t>
  </si>
  <si>
    <t>CCCCCCCCCCCCCCCC(=O)OCCC</t>
  </si>
  <si>
    <t>CCCCCCCCCCCCCCCCCC(=O)OC(C)CC</t>
  </si>
  <si>
    <t>CCCCCCCCCC(=O)OC(C)C</t>
  </si>
  <si>
    <t>CCCCCCCCCC(=O)OC</t>
  </si>
  <si>
    <t>CCCCCCCCCCCCCCCCCC(=O)OC(C)C</t>
  </si>
  <si>
    <t>CCCCCCCCCC(=O)OCCC</t>
  </si>
  <si>
    <t>CCCCC(=O)OCCC</t>
  </si>
  <si>
    <t>CCCC(=O)OC</t>
  </si>
  <si>
    <t>CCCCCCCCCCCCCCCCCC(=O)OCCC</t>
  </si>
  <si>
    <t>CCCCCCCCCC(=O)OCCCC</t>
  </si>
  <si>
    <t>CCOC(C)OCC</t>
  </si>
  <si>
    <t>COC1CCCC1</t>
  </si>
  <si>
    <t>CC(C)COCC(C)C</t>
  </si>
  <si>
    <t>CC(C)CCOCCC(C)C</t>
  </si>
  <si>
    <t>COCCOC</t>
  </si>
  <si>
    <t>CC(C)(OC)OC</t>
  </si>
  <si>
    <t>CCOCOCC</t>
  </si>
  <si>
    <t>CCC(C)C</t>
  </si>
  <si>
    <t>CC(C)(C)CCC(C)(C)C</t>
  </si>
  <si>
    <t>CC(C)CCC(C)(C)C</t>
  </si>
  <si>
    <t>CCC(C)(C)C</t>
  </si>
  <si>
    <t>CC(C)CC(C)C</t>
  </si>
  <si>
    <t>CCCCC(CCCC)C(CCCC)CCCC</t>
  </si>
  <si>
    <t>CCC(C)CC</t>
  </si>
  <si>
    <t>CCC(CC)CC</t>
  </si>
  <si>
    <t>CCCCCCC(CCC)CCC</t>
  </si>
  <si>
    <t>CC(C)CC(C(CC(C)C)CC)CC</t>
  </si>
  <si>
    <t>CCCCCCC(C)C(C)CCCCCC</t>
  </si>
  <si>
    <t>CCCCC(C)C</t>
  </si>
  <si>
    <t>CCCCCCCC(CCCC)CCCC</t>
  </si>
  <si>
    <t>CCCCC(C)CC</t>
  </si>
  <si>
    <t>CCCCCCCCC(CCC)C(CCC)CCCCCCCC</t>
  </si>
  <si>
    <t>CCCCCCCC(CC)CC</t>
  </si>
  <si>
    <t>CCCCCCCC(CCC)CCCCCCC</t>
  </si>
  <si>
    <t>CCC(C)CCCC(C)C</t>
  </si>
  <si>
    <t>CCCCCC(C)C</t>
  </si>
  <si>
    <t>CCCCC(CCCC)CCCC</t>
  </si>
  <si>
    <t>CC(CCCCCCCCC)CCC(CCCCCCCCC)C</t>
  </si>
  <si>
    <t>CCCCCCC(C)CCC(C)C</t>
  </si>
  <si>
    <t>CCC(C)CCCC(C)CCCC(C)C</t>
  </si>
  <si>
    <t>CCCCCCC(C)(C)C</t>
  </si>
  <si>
    <t>CCCCCCCCC(C)C(C)CCCCCCCC</t>
  </si>
  <si>
    <t>9,10-dimethyloctadecane</t>
  </si>
  <si>
    <t>CCCCCCCCC(C)CCCCCCCC</t>
  </si>
  <si>
    <t>CCCCCC(=O)C</t>
  </si>
  <si>
    <t>CC(C)CC(=O)C</t>
  </si>
  <si>
    <t>CCC(=O)CC</t>
  </si>
  <si>
    <t>CCCCCCC(=O)C</t>
  </si>
  <si>
    <t>CCCCCC(=O)CC</t>
  </si>
  <si>
    <t>CCCCC1CCCCC(=O)O1</t>
  </si>
  <si>
    <t>CCCCCCC1CCCC(=O)O1</t>
  </si>
  <si>
    <t>CCCCCCC</t>
  </si>
  <si>
    <t>CCCCCCCCCCCC</t>
  </si>
  <si>
    <t>CCCCCCCCCCCCCCCC</t>
  </si>
  <si>
    <t>CCCCC</t>
  </si>
  <si>
    <t>CCCCCCCCCCCCC</t>
  </si>
  <si>
    <t>CCCCCCCCCC</t>
  </si>
  <si>
    <t>CCCCCCCC</t>
  </si>
  <si>
    <t>CCCCCC</t>
  </si>
  <si>
    <t>CCOC(=O)CC(=O)C</t>
  </si>
  <si>
    <t>CC(COC)OC(=O)C</t>
  </si>
  <si>
    <t>C(CCCCCCCC=CCC=CCC=CCC)(=O)OCCCC</t>
  </si>
  <si>
    <t>CCCCCCCC/C=C\CCCCCCCC(=O)OC(C)C</t>
  </si>
  <si>
    <t>CCC=CCC=CCC=CCCCCCCCCO</t>
  </si>
  <si>
    <t>C1CC(CC=C1)C=O</t>
  </si>
  <si>
    <t>CCCCCCCC/C=C/CCCCCCCC(=O)O</t>
  </si>
  <si>
    <t>COC(=O)CCCCCCCC=C</t>
  </si>
  <si>
    <t>CCCCOCC(C)O</t>
  </si>
  <si>
    <t>COCCOCCOCCO</t>
  </si>
  <si>
    <t>c1cc(oc1)CO</t>
  </si>
  <si>
    <t>CCCCCCCCCCCC(=O)OC=C</t>
  </si>
  <si>
    <t>COC(c1ccccc1)OC</t>
  </si>
  <si>
    <t>CCCCCCCC/C=C\CCCCCCCC(=O)OCC(C)C</t>
  </si>
  <si>
    <t>CCC=CCC=CCC=CCC=CCC=CCC=CCCC(=O)OC</t>
  </si>
  <si>
    <t>CC(=CCC/C(=C/CCC(C)(C=C)O)/C)C</t>
  </si>
  <si>
    <t>COc1ccc(cc1)C=O</t>
  </si>
  <si>
    <t>CC(CO)OCC(C)OC</t>
  </si>
  <si>
    <t>CC(COC(C)COC(C)COC)O</t>
  </si>
  <si>
    <t>CC(=O)CC(C)(C)O</t>
  </si>
  <si>
    <t>CCCCc1ccco1</t>
  </si>
  <si>
    <t>COc1ccccc1OC</t>
  </si>
  <si>
    <t>CCCCOC(=O)CCCCCCCC=CCC=CCCCCC</t>
  </si>
  <si>
    <t>CCCCCC/C=C\CCCCCCCCCC(=O)OC</t>
  </si>
  <si>
    <t>CCCCCCCC/C=C\CCCCCCCCCCCC(=O)OC</t>
  </si>
  <si>
    <t>CCCCCCCC/C=C\CCCCCCCCCC(=O)OC</t>
  </si>
  <si>
    <t>C/C=C/C=C/C(=O)OC</t>
  </si>
  <si>
    <t>CCCCCC=CCC=CCCCCCCCC(=O)OC</t>
  </si>
  <si>
    <t>CCCCCCCCCCC/C=C/CCCCC(=O)OC</t>
  </si>
  <si>
    <t>CCCCCCC(C/C=C\CCCCCCCC(=O)OC)O</t>
  </si>
  <si>
    <t>Cc1ccco1</t>
  </si>
  <si>
    <t>CC1CCOC(C1)C=C(C)C</t>
  </si>
  <si>
    <t>c1ccc(cc1)COCc2ccccc2</t>
  </si>
  <si>
    <t>COCCOCCO</t>
  </si>
  <si>
    <t>C=COCCO</t>
  </si>
  <si>
    <t>CC(C)(CCO)OC</t>
  </si>
  <si>
    <t>C1COC=C1</t>
  </si>
  <si>
    <t>C1CC(OC1)CO</t>
  </si>
  <si>
    <t>CCOC(=O)CCC(=O)C</t>
  </si>
  <si>
    <t>CCCCCCC=CCCCCCCCC(=O)OC</t>
  </si>
  <si>
    <t>c1cc(oc1)C=O</t>
  </si>
  <si>
    <t>C1CC=COC1</t>
  </si>
  <si>
    <t>CCCCCCCC/C=C/CCCCCCCC(=O)OCCCC</t>
  </si>
  <si>
    <t>C=COCC1CCC(CC1)COC=C</t>
  </si>
  <si>
    <t>Cc1ccc(o1)C</t>
  </si>
  <si>
    <t>COCCO</t>
  </si>
  <si>
    <t>CCCCCCCC/C=C\CCCCCCCC(=O)OCC(CC)CCCC</t>
  </si>
  <si>
    <t>CCCCC/C=C\C/C=C\C/C=C\CCCCC(=O)OC</t>
  </si>
  <si>
    <t>CCCCC/C=C\C/C=C\C/C=C\C/C=C\CCCC(=O)OC</t>
  </si>
  <si>
    <t>CCCCCCCCC=CCCCCCCCCO</t>
  </si>
  <si>
    <t>CC(C)CCCC(C)CCO</t>
  </si>
  <si>
    <t>CCCCCCO</t>
  </si>
  <si>
    <t>CCCCCCCCCCCCCCCCCCO</t>
  </si>
  <si>
    <t>CC(C)C=O</t>
  </si>
  <si>
    <t>C1CC=CCCC=C1</t>
  </si>
  <si>
    <t>CCCCCC=C</t>
  </si>
  <si>
    <t>CC(C)CCCC(=C)C</t>
  </si>
  <si>
    <t>C=CCCCCCCC=C</t>
  </si>
  <si>
    <t>C1CCC=CC1</t>
  </si>
  <si>
    <t>CCCCCCCCCC=C</t>
  </si>
  <si>
    <t>CCCCCCCCCCCCCCc1ccccc1</t>
  </si>
  <si>
    <t>CCc1ccccc1</t>
  </si>
  <si>
    <t>CC(CC)(CCC(CC)C)C1=CC2=CC=CC=C2C=C1</t>
  </si>
  <si>
    <t>C1CCOC1</t>
  </si>
  <si>
    <t>CC1CC(=O)CC(C1)(C)C</t>
  </si>
  <si>
    <t>CC(C)C(CCCCCC)C1CCCCC1</t>
  </si>
  <si>
    <t>2-methyl-3-cyclohexylnonane</t>
  </si>
  <si>
    <t>C1CCC2C(C1)CCC3C2CCCC3</t>
  </si>
  <si>
    <t>CCCCCCCCCCCCCCCCCC(=O)OCCCC</t>
  </si>
  <si>
    <t>CCCCCCCC(=O)OC</t>
  </si>
  <si>
    <t>CCCCOC(=O)CC(=O)OCCCC</t>
  </si>
  <si>
    <t>CCCCCCCCCCCCCCCCCC(=O)OC</t>
  </si>
  <si>
    <t>CCCCCC(=O)OCC</t>
  </si>
  <si>
    <t>CCCCCCCCCCCCCCCC(=O)OC</t>
  </si>
  <si>
    <t>CCCCC(=O)OCC</t>
  </si>
  <si>
    <t>CCCCCCOC</t>
  </si>
  <si>
    <t>CCCCCCC(CC)C(CC)CCCCCC</t>
  </si>
  <si>
    <t>CCCCCCC(CCCC)CCCCCC</t>
  </si>
  <si>
    <t>CCCCCCCCC(CCCCCCC)CCCCCCCC</t>
  </si>
  <si>
    <t>CCCCCCCCCCCCCCCC(C)C</t>
  </si>
  <si>
    <t>CCCCCCCC(=O)C</t>
  </si>
  <si>
    <t>CCCCCCCC1CCC(=O)O1</t>
  </si>
  <si>
    <t>CCCCCCCCCCCCCCC</t>
  </si>
  <si>
    <t>CCCCCCCCCCCCCC</t>
  </si>
  <si>
    <t>CCCCOC(=O)/C=C/C(=O)OCCCC</t>
  </si>
  <si>
    <t>CC(C)OCCO</t>
  </si>
  <si>
    <t>C1C=CCO1</t>
  </si>
  <si>
    <t>CCCCCCCCC=CCCCCCCCC(=O)OCC</t>
  </si>
  <si>
    <t>CC(=CCC/C(=C/CO)/C)C</t>
  </si>
  <si>
    <t>CCCCOC(=O)CCC(=O)C</t>
  </si>
  <si>
    <t>CCCCCCCCC=CCCCCCCCC(=O)OC</t>
  </si>
  <si>
    <t>CCCCCC=CCC=CCCCCCCCCO</t>
  </si>
  <si>
    <t>CCCCCCCC/C=C/CCCCCCCC(=O)OCCC</t>
  </si>
  <si>
    <t>CCCCCC=CCC=CCCCCCCCC(=O)OCCC</t>
  </si>
  <si>
    <t>CC(=O)OCC1CCCO1</t>
  </si>
  <si>
    <t>SMILES</t>
  </si>
  <si>
    <t>CCCCCC/C=C\CCCCCCCCO</t>
  </si>
  <si>
    <t>CCCCCCCCC1CCc2ccccc2C1CCCCCCCC</t>
  </si>
  <si>
    <t>CCCCCCCC=C(CCCCCC)CCCCCC</t>
  </si>
  <si>
    <t>CCCCCCCC/C=C(/C)\c1ccccc1</t>
  </si>
  <si>
    <t>CC[C@@H](C)C[C@](C)(CC)c1ccc2ccccc2c1</t>
  </si>
  <si>
    <t>Cc1ccc(C)c(C)c1C</t>
  </si>
  <si>
    <t>CCCCCCCCCCCCCCCCc1cc(C)c(C)cc1C</t>
  </si>
  <si>
    <t>CCc1cccc(CC)c1</t>
  </si>
  <si>
    <t>CCCCCCCCC(C)(C)c1ccc2ccccc2c1</t>
  </si>
  <si>
    <t>CCCCCCC(CC)(CC)c1ccc2ccccc2c1</t>
  </si>
  <si>
    <t>CCCC(C)(CCC)c1ccc2ccccc2c1</t>
  </si>
  <si>
    <t>CCCC[C@@](C)(CCCC)c1ccc2ccccc2c1</t>
  </si>
  <si>
    <t>CCCCCCCCCCCCCCC[C@@H](CCCC)c1ccccc1</t>
  </si>
  <si>
    <t>CCCCC1CCCc2ccccc12</t>
  </si>
  <si>
    <t>c1ccc(cc1)Cc1ccccc1</t>
  </si>
  <si>
    <t>CC(C)c1ccccc1</t>
  </si>
  <si>
    <t>CCCCCCCCC1CCCc2ccccc12</t>
  </si>
  <si>
    <t>CCCC1CCCc2ccccc12</t>
  </si>
  <si>
    <t>CC(C)(C)C1CCCc2ccccc12</t>
  </si>
  <si>
    <t>C1CCc2ccccc2C1</t>
  </si>
  <si>
    <t>CCCCCCCCCCCCCCCC(=O)OCCC(CC)CCC</t>
  </si>
  <si>
    <t>CC/C=C\C/C=C\C/C=C\CCCCCCCC(=O)OC(COC(=O)CCCCCCC/C=C\C/C=C\C/C=C\CC)COC(=O)CCCCCCC/C=C\C/C=C\C/C=C\CC</t>
  </si>
  <si>
    <t>CCCCC/C=C\C/C=C\CCCCCCCC(=O)OC(COC(=O)CCCCCCC/C=C\C/C=C\CCCCC)COC(=O)CCCCCCC/C=C\C/C=C\CCCCC</t>
  </si>
  <si>
    <t>CCCCCCCC/C=C\CCCCCCCC(=O)OC(COC(=O)CCCCCCC/C=C\CCCCCCCC)COC(=O)CCCCCCC/C=C\CCCCCCCC</t>
  </si>
  <si>
    <t>CCCC(=O)OC(COC(=O)CCC)COC(=O)CCC</t>
  </si>
  <si>
    <t>CCCCCCCCCCCC(=O)OC(COC(=O)CCCCCCCCCCC)COC(=O)CCCCCCCCCCC</t>
  </si>
  <si>
    <t>CCCCCCCCCCCCCCCC(=O)OC(COC(=O)CCCCCCCCCCCCCCC)COC(=O)CCCCCCCCCCCCCCC</t>
  </si>
  <si>
    <t>CCCCCCCCCCCCCCCCCC(=O)OC(COC(=O)CCCCCCCCCCCCCCCCC)COC(=O)CCCCCCCCCCCCCCCCC</t>
  </si>
  <si>
    <t>CCCCCCCCCCCCCC(=O)OC(COC(=O)CCCCCCCCCCCCC)COC(=O)CCCCCCCCCCCCC</t>
  </si>
  <si>
    <t>CCCCCCCCCCCCCCCC(=O)OC(C)CC</t>
  </si>
  <si>
    <t>CCCCCCCCCCCCC1CCCC(C)C1</t>
  </si>
  <si>
    <t>CCCCCCCCCCCCCCCCC1CC(C)C(C)CC1C</t>
  </si>
  <si>
    <t>CC1CC(C)CC(C)C1</t>
  </si>
  <si>
    <t>CCCCCCCCC(C)(C)C1CCCC2CCCCC12</t>
  </si>
  <si>
    <t>CCCCCC[C@@](C)(CC)C1CCCC2CCCCC12</t>
  </si>
  <si>
    <t>CCCC(C)(CCC)C1CCCC2CCCCC12</t>
  </si>
  <si>
    <t>C1CCC(CC1)C1CCCCC1</t>
  </si>
  <si>
    <t>CCCCC1CCCC2CCCCC12</t>
  </si>
  <si>
    <t>CCCCCCCCC1CCCC2CCCCC12</t>
  </si>
  <si>
    <t>CCCC1CCCC2CCCCC12</t>
  </si>
  <si>
    <t>CC(C)(C)C1CCCC2CCCCC12</t>
  </si>
  <si>
    <t>C=C(CC(C)(C)C)CC(C)(C)CC(C)(C)C</t>
  </si>
  <si>
    <t>CCC(=CCCCCCCC=C(CC)CC)CC</t>
  </si>
  <si>
    <t>CC(C)CCC(CCC(C)C)C(CCC(C)C)CCC(C)C</t>
  </si>
  <si>
    <t>CCCCC(C)(C)c1ccc2ccccc2c1</t>
  </si>
  <si>
    <t>CCCCCCCCCCCCCCCC(C)(C)c1ccccc1</t>
  </si>
  <si>
    <t>CCCO</t>
  </si>
  <si>
    <t>Cc1cccc2ccccc12</t>
  </si>
  <si>
    <t>c1ccc(cc1)c1ccccc1</t>
  </si>
  <si>
    <t>CCCCCCCCCCCCCC(C)(C)C1CCCCC1</t>
  </si>
  <si>
    <t>CCCCCCCCCCCCCCC[C@@H](CCCC)C1CCCCC1</t>
  </si>
  <si>
    <t>C1CC[C@@H]2CCCC[C@H]2C1</t>
  </si>
  <si>
    <t>CCCCCCCCC(CCCCCC)CCCCCC</t>
  </si>
  <si>
    <t>CN Literatura</t>
  </si>
  <si>
    <t>Formula</t>
  </si>
  <si>
    <t>Molecular mass (g/mol)</t>
  </si>
  <si>
    <t>References</t>
  </si>
  <si>
    <t>Saldana et al., 2011; Dahmen and Marquardt, 2015; Guo et al., 2017</t>
  </si>
  <si>
    <t>Saldana et al., 2011; Dahmen and Marquardt, 2015; Guo et al., 2018</t>
  </si>
  <si>
    <t>Saldana et al., 2011; Dahmen and Marquardt, 2015; Guo et al., 2019</t>
  </si>
  <si>
    <t>Saldana et al., 2011; Dahmen and Marquardt, 2015; Guo et al., 2020</t>
  </si>
  <si>
    <t>Saldana et al., 2011; Dahmen and Marquardt, 2015; Guo et al., 2021</t>
  </si>
  <si>
    <t>Saldana et al., 2011; Dahmen and Marquardt, 2015; Guo et al., 2022</t>
  </si>
  <si>
    <t>Saldana et al., 2011; Dahmen and Marquardt, 2015; Guo et al., 2023</t>
  </si>
  <si>
    <t>Saldana et al., 2011; Dahmen and Marquardt, 2015; Guo et al., 2024</t>
  </si>
  <si>
    <t>Saldana et al., 2011; Dahmen and Marquardt, 2015; Guo et al., 2025</t>
  </si>
  <si>
    <t>Saldana et al., 2011; Dahmen and Marquardt, 2015; Guo et al., 2026</t>
  </si>
  <si>
    <t>Saldana et al., 2011; Dahmen and Marquardt, 2015; Guo et al., 2027</t>
  </si>
  <si>
    <t>Saldana et al., 2011; Dahmen and Marquardt, 2015; Guo et al., 2028</t>
  </si>
  <si>
    <t>Saldana et al., 2011; Dahmen and Marquardt, 2015; Guo et al., 2029</t>
  </si>
  <si>
    <t>Saldana et al., 2011; Dahmen and Marquardt, 2015; Guo et al., 2030</t>
  </si>
  <si>
    <t>Saldana et al., 2011; Dahmen and Marquardt, 2015; Guo et al., 2031</t>
  </si>
  <si>
    <t>Saldana et al., 2011; Dahmen and Marquardt, 2015; Guo et al., 2032</t>
  </si>
  <si>
    <t>Saldana et al., 2011; Dahmen and Marquardt, 2015; Guo et al., 2033</t>
  </si>
  <si>
    <t>Saldana et al., 2011; Dahmen and Marquardt, 2015; Guo et al., 2034</t>
  </si>
  <si>
    <t>Saldana et al., 2011; Dahmen and Marquardt, 2015; Guo et al., 2035</t>
  </si>
  <si>
    <t>Saldana et al., 2011; Dahmen and Marquardt, 2015; Guo et al., 2036</t>
  </si>
  <si>
    <t>C57H98O6</t>
  </si>
  <si>
    <t>Saldana et al., 2011; Dahmen and Marquardt, 2015; Guo et al., 2037</t>
  </si>
  <si>
    <t>Saldana et al., 2011; Dahmen and Marquardt, 2015; Guo et al., 2038</t>
  </si>
  <si>
    <t>Saldana et al., 2011; Dahmen and Marquardt, 2015; Guo et al., 2039</t>
  </si>
  <si>
    <t>Saldana et al., 2011; Dahmen and Marquardt, 2015; Guo et al., 2040</t>
  </si>
  <si>
    <t>Saldana et al., 2011; Dahmen and Marquardt, 2015; Guo et al., 2041</t>
  </si>
  <si>
    <t>Saldana et al., 2011; Dahmen and Marquardt, 2015; Guo et al., 2042</t>
  </si>
  <si>
    <t>Saldana et al., 2011; Dahmen and Marquardt, 2015; Guo et al., 2043</t>
  </si>
  <si>
    <t>Saldana et al., 2011; Dahmen and Marquardt, 2015; Guo et al., 2044</t>
  </si>
  <si>
    <t>Saldana et al., 2011; Dahmen and Marquardt, 2015; Guo et al., 2045</t>
  </si>
  <si>
    <t>Saldana et al., 2011; Dahmen and Marquardt, 2015; Guo et al., 2046</t>
  </si>
  <si>
    <t>Saldana et al., 2011; Dahmen and Marquardt, 2015; Guo et al., 2047</t>
  </si>
  <si>
    <t>Saldana et al., 2011; Dahmen and Marquardt, 2015; Guo et al., 2048</t>
  </si>
  <si>
    <t>Saldana et al., 2011; Dahmen and Marquardt, 2015; Guo et al., 2049</t>
  </si>
  <si>
    <t>Saldana et al., 2011; Dahmen and Marquardt, 2015; Guo et al., 2050</t>
  </si>
  <si>
    <t>Saldana et al., 2011; Dahmen and Marquardt, 2015; Guo et al., 2051</t>
  </si>
  <si>
    <t>Saldana et al., 2011; Dahmen and Marquardt, 2015; Guo et al., 2052</t>
  </si>
  <si>
    <t>Saldana et al., 2011; Dahmen and Marquardt, 2015; Guo et al., 2053</t>
  </si>
  <si>
    <t>Saldana et al., 2011; Dahmen and Marquardt, 2015; Guo et al., 2054</t>
  </si>
  <si>
    <t>Saldana et al., 2011; Dahmen and Marquardt, 2015; Guo et al., 2055</t>
  </si>
  <si>
    <t>Saldana et al., 2011; Dahmen and Marquardt, 2015; Guo et al., 2056</t>
  </si>
  <si>
    <t>Saldana et al., 2011; Dahmen and Marquardt, 2015; Guo et al., 2057</t>
  </si>
  <si>
    <t>Saldana et al., 2011; Dahmen and Marquardt, 2015; Guo et al., 2058</t>
  </si>
  <si>
    <t>Saldana et al., 2011; Dahmen and Marquardt, 2015; Guo et al., 2059</t>
  </si>
  <si>
    <t>Saldana et al., 2011; Dahmen and Marquardt, 2015; Guo et al., 2060</t>
  </si>
  <si>
    <t>Saldana et al., 2011; Dahmen and Marquardt, 2015; Guo et al., 2061</t>
  </si>
  <si>
    <t>Saldana et al., 2011; Dahmen and Marquardt, 2015; Guo et al., 2062</t>
  </si>
  <si>
    <t>Saldana et al., 2011; Dahmen and Marquardt, 2015; Guo et al., 2063</t>
  </si>
  <si>
    <t>Saldana et al., 2011; Dahmen and Marquardt, 2015; Guo et al., 2064</t>
  </si>
  <si>
    <t>Saldana et al., 2011; Dahmen and Marquardt, 2015; Guo et al., 2065</t>
  </si>
  <si>
    <t>Saldana et al., 2011; Dahmen and Marquardt, 2015; Guo et al., 2066</t>
  </si>
  <si>
    <t>Saldana et al., 2011; Dahmen and Marquardt, 2015; Guo et al., 2067</t>
  </si>
  <si>
    <t>Saldana et al., 2011; Dahmen and Marquardt, 2015; Guo et al., 2068</t>
  </si>
  <si>
    <t>Saldana et al., 2011; Dahmen and Marquardt, 2015; Guo et al., 2069</t>
  </si>
  <si>
    <t>Saldana et al., 2011; Dahmen and Marquardt, 2015; Guo et al., 2070</t>
  </si>
  <si>
    <t>Saldana et al., 2011; Dahmen and Marquardt, 2015; Guo et al., 2071</t>
  </si>
  <si>
    <t>Saldana et al., 2011; Dahmen and Marquardt, 2015; Guo et al., 2072</t>
  </si>
  <si>
    <t>Saldana et al., 2011; Dahmen and Marquardt, 2015; Guo et al., 2073</t>
  </si>
  <si>
    <t>Saldana et al., 2011; Dahmen and Marquardt, 2015; Guo et al., 2074</t>
  </si>
  <si>
    <t>Saldana et al., 2011; Dahmen and Marquardt, 2015; Guo et al., 2075</t>
  </si>
  <si>
    <t>Saldana et al., 2011; Dahmen and Marquardt, 2015; Guo et al., 2076</t>
  </si>
  <si>
    <t>Saldana et al., 2011; Dahmen and Marquardt, 2015; Guo et al., 2077</t>
  </si>
  <si>
    <t>Saldana et al., 2011; Dahmen and Marquardt, 2015; Guo et al., 2078</t>
  </si>
  <si>
    <t>Saldana et al., 2011; Dahmen and Marquardt, 2015; Guo et al., 2079</t>
  </si>
  <si>
    <t>Saldana et al., 2011; Dahmen and Marquardt, 2015; Guo et al., 2080</t>
  </si>
  <si>
    <t>Saldana et al., 2011; Dahmen and Marquardt, 2015; Guo et al., 2081</t>
  </si>
  <si>
    <t>Saldana et al., 2011; Dahmen and Marquardt, 2015; Guo et al., 2082</t>
  </si>
  <si>
    <t>Saldana et al., 2011; Dahmen and Marquardt, 2015; Guo et al., 2083</t>
  </si>
  <si>
    <t>Saldana et al., 2011; Dahmen and Marquardt, 2015; Guo et al., 2084</t>
  </si>
  <si>
    <t>Saldana et al., 2011; Dahmen and Marquardt, 2015; Guo et al., 2085</t>
  </si>
  <si>
    <t>Saldana et al., 2011; Dahmen and Marquardt, 2015; Guo et al., 2086</t>
  </si>
  <si>
    <t>Saldana et al., 2011; Dahmen and Marquardt, 2015; Guo et al., 2087</t>
  </si>
  <si>
    <t>Saldana et al., 2011; Dahmen and Marquardt, 2015; Guo et al., 2088</t>
  </si>
  <si>
    <t>Saldana et al., 2011; Dahmen and Marquardt, 2015; Guo et al., 2089</t>
  </si>
  <si>
    <t>Saldana et al., 2011; Dahmen and Marquardt, 2015; Guo et al., 2090</t>
  </si>
  <si>
    <t>Saldana et al., 2011; Dahmen and Marquardt, 2015; Guo et al., 2091</t>
  </si>
  <si>
    <t>Saldana et al., 2011; Dahmen and Marquardt, 2015; Guo et al., 2092</t>
  </si>
  <si>
    <t>Saldana et al., 2011; Dahmen and Marquardt, 2015; Guo et al., 2093</t>
  </si>
  <si>
    <t>Saldana et al., 2011; Dahmen and Marquardt, 2015; Guo et al., 2094</t>
  </si>
  <si>
    <t>Saldana et al., 2011; Dahmen and Marquardt, 2015; Guo et al., 2095</t>
  </si>
  <si>
    <t>Saldana et al., 2011; Dahmen and Marquardt, 2015; Guo et al., 2096</t>
  </si>
  <si>
    <t>Saldana et al., 2011; Dahmen and Marquardt, 2015; Guo et al., 2097</t>
  </si>
  <si>
    <t>Saldana et al., 2011; Dahmen and Marquardt, 2015; Guo et al., 2098</t>
  </si>
  <si>
    <t>Saldana et al., 2011; Dahmen and Marquardt, 2015; Guo et al., 2099</t>
  </si>
  <si>
    <t>Saldana et al., 2011; Dahmen and Marquardt, 2015; Guo et al., 2100</t>
  </si>
  <si>
    <t>Saldana et al., 2011; Dahmen and Marquardt, 2015; Guo et al., 2101</t>
  </si>
  <si>
    <t>Saldana et al., 2011; Dahmen and Marquardt, 2015; Guo et al., 2102</t>
  </si>
  <si>
    <t>Saldana et al., 2011; Dahmen and Marquardt, 2015; Guo et al., 2103</t>
  </si>
  <si>
    <t>Saldana et al., 2011; Dahmen and Marquardt, 2015; Guo et al., 2104</t>
  </si>
  <si>
    <t>Saldana et al., 2011; Dahmen and Marquardt, 2015; Guo et al., 2105</t>
  </si>
  <si>
    <t>Saldana et al., 2011; Dahmen and Marquardt, 2015; Guo et al., 2106</t>
  </si>
  <si>
    <t>Saldana et al., 2011; Dahmen and Marquardt, 2015; Guo et al., 2107</t>
  </si>
  <si>
    <t>Saldana et al., 2011; Dahmen and Marquardt, 2015; Guo et al., 2108</t>
  </si>
  <si>
    <t>Saldana et al., 2011; Dahmen and Marquardt, 2015; Guo et al., 2109</t>
  </si>
  <si>
    <t>Saldana et al., 2011; Dahmen and Marquardt, 2015; Guo et al., 2110</t>
  </si>
  <si>
    <t>Saldana et al., 2011; Dahmen and Marquardt, 2015; Guo et al., 2111</t>
  </si>
  <si>
    <t>Saldana et al., 2011; Dahmen and Marquardt, 2015; Guo et al., 2112</t>
  </si>
  <si>
    <t>Saldana et al., 2011; Dahmen and Marquardt, 2015; Guo et al., 2113</t>
  </si>
  <si>
    <t>Saldana et al., 2011; Dahmen and Marquardt, 2015; Guo et al., 2114</t>
  </si>
  <si>
    <t>Saldana et al., 2011; Dahmen and Marquardt, 2015; Guo et al., 2115</t>
  </si>
  <si>
    <t>Saldana et al., 2011; Dahmen and Marquardt, 2015; Guo et al., 2116</t>
  </si>
  <si>
    <t>Saldana et al., 2011; Dahmen and Marquardt, 2015; Guo et al., 2117</t>
  </si>
  <si>
    <t>Saldana et al., 2011; Dahmen and Marquardt, 2015; Guo et al., 2118</t>
  </si>
  <si>
    <t>Saldana et al., 2011; Dahmen and Marquardt, 2015; Guo et al., 2119</t>
  </si>
  <si>
    <t>Saldana et al., 2011; Dahmen and Marquardt, 2015; Guo et al., 2120</t>
  </si>
  <si>
    <t>Saldana et al., 2011; Dahmen and Marquardt, 2015; Guo et al., 2121</t>
  </si>
  <si>
    <t>Saldana et al., 2011; Dahmen and Marquardt, 2015; Guo et al., 2122</t>
  </si>
  <si>
    <t>Saldana et al., 2011; Dahmen and Marquardt, 2015; Guo et al., 2123</t>
  </si>
  <si>
    <t>Saldana et al., 2011; Dahmen and Marquardt, 2015; Guo et al., 2124</t>
  </si>
  <si>
    <t>Saldana et al., 2011; Dahmen and Marquardt, 2015; Guo et al., 2125</t>
  </si>
  <si>
    <t>Saldana et al., 2011; Dahmen and Marquardt, 2015; Guo et al., 2126</t>
  </si>
  <si>
    <t>Saldana et al., 2011; Dahmen and Marquardt, 2015; Guo et al., 2127</t>
  </si>
  <si>
    <t>Saldana et al., 2011; Dahmen and Marquardt, 2015; Guo et al., 2128</t>
  </si>
  <si>
    <t>Saldana et al., 2011; Dahmen and Marquardt, 2015; Guo et al., 2129</t>
  </si>
  <si>
    <t>Saldana et al., 2011; Dahmen and Marquardt, 2015; Guo et al., 2130</t>
  </si>
  <si>
    <t>Saldana et al., 2011; Dahmen and Marquardt, 2015; Guo et al., 2131</t>
  </si>
  <si>
    <t>Saldana et al., 2011; Dahmen and Marquardt, 2015; Guo et al., 2132</t>
  </si>
  <si>
    <t>Saldana et al., 2011; Dahmen and Marquardt, 2015; Guo et al., 2133</t>
  </si>
  <si>
    <t>Saldana et al., 2011; Dahmen and Marquardt, 2015; Guo et al., 2134</t>
  </si>
  <si>
    <t>Saldana et al., 2011; Dahmen and Marquardt, 2015; Guo et al., 2135</t>
  </si>
  <si>
    <t>Saldana et al., 2011; Dahmen and Marquardt, 2015; Guo et al., 2136</t>
  </si>
  <si>
    <t>Saldana et al., 2011; Dahmen and Marquardt, 2015; Guo et al., 2137</t>
  </si>
  <si>
    <t>Saldana et al., 2011; Dahmen and Marquardt, 2015; Guo et al., 2138</t>
  </si>
  <si>
    <t>Saldana et al., 2011; Dahmen and Marquardt, 2015; Guo et al., 2139</t>
  </si>
  <si>
    <t>Saldana et al., 2011; Dahmen and Marquardt, 2015; Guo et al., 2140</t>
  </si>
  <si>
    <t>Saldana et al., 2011; Dahmen and Marquardt, 2015; Guo et al., 2141</t>
  </si>
  <si>
    <t>Saldana et al., 2011; Dahmen and Marquardt, 2015; Guo et al., 2142</t>
  </si>
  <si>
    <t>Saldana et al., 2011; Dahmen and Marquardt, 2015; Guo et al., 2143</t>
  </si>
  <si>
    <t>Saldana et al., 2011; Dahmen and Marquardt, 2015; Guo et al., 2144</t>
  </si>
  <si>
    <t>Saldana et al., 2011; Dahmen and Marquardt, 2015; Guo et al., 2145</t>
  </si>
  <si>
    <t>Saldana et al., 2011; Dahmen and Marquardt, 2015; Guo et al., 2146</t>
  </si>
  <si>
    <t>Saldana et al., 2011; Dahmen and Marquardt, 2015; Guo et al., 2147</t>
  </si>
  <si>
    <t>Saldana et al., 2011; Dahmen and Marquardt, 2015; Guo et al., 2148</t>
  </si>
  <si>
    <t>Saldana et al., 2011; Dahmen and Marquardt, 2015; Guo et al., 2149</t>
  </si>
  <si>
    <t>Saldana et al., 2011; Dahmen and Marquardt, 2015; Guo et al., 2150</t>
  </si>
  <si>
    <t>Saldana et al., 2011; Dahmen and Marquardt, 2015; Guo et al., 2151</t>
  </si>
  <si>
    <t>Saldana et al., 2011; Dahmen and Marquardt, 2015; Guo et al., 2152</t>
  </si>
  <si>
    <t>Saldana et al., 2011; Dahmen and Marquardt, 2015; Guo et al., 2153</t>
  </si>
  <si>
    <t>Saldana et al., 2011; Dahmen and Marquardt, 2015; Guo et al., 2154</t>
  </si>
  <si>
    <t>Saldana et al., 2011; Dahmen and Marquardt, 2015; Guo et al., 2155</t>
  </si>
  <si>
    <t>Saldana et al., 2011; Dahmen and Marquardt, 2015; Guo et al., 2156</t>
  </si>
  <si>
    <t>Saldana et al., 2011; Dahmen and Marquardt, 2015; Guo et al., 2159</t>
  </si>
  <si>
    <t>C57H104O6</t>
  </si>
  <si>
    <t>Saldana et al., 2011; Dahmen and Marquardt, 2015; Guo et al., 2160</t>
  </si>
  <si>
    <t>Saldana et al., 2011; Dahmen and Marquardt, 2015; Guo et al., 2161</t>
  </si>
  <si>
    <t>Saldana et al., 2011; Dahmen and Marquardt, 2015; Guo et al., 2162</t>
  </si>
  <si>
    <t>Saldana et al., 2011; Dahmen and Marquardt, 2015; Guo et al., 2163</t>
  </si>
  <si>
    <t>Saldana et al., 2011; Dahmen and Marquardt, 2015; Guo et al., 2164</t>
  </si>
  <si>
    <t>Saldana et al., 2011; Dahmen and Marquardt, 2015; Guo et al., 2165</t>
  </si>
  <si>
    <t>Saldana et al., 2011; Dahmen and Marquardt, 2015; Guo et al., 2166</t>
  </si>
  <si>
    <t>Saldana et al., 2011; Dahmen and Marquardt, 2015; Guo et al., 2167</t>
  </si>
  <si>
    <t>Saldana et al., 2011; Dahmen and Marquardt, 2015; Guo et al., 2168</t>
  </si>
  <si>
    <t>Saldana et al., 2011; Dahmen and Marquardt, 2015; Guo et al., 2169</t>
  </si>
  <si>
    <t>Saldana et al., 2011; Dahmen and Marquardt, 2015; Guo et al., 2170</t>
  </si>
  <si>
    <t>Saldana et al., 2011; Dahmen and Marquardt, 2015; Guo et al., 2171</t>
  </si>
  <si>
    <t>Saldana et al., 2011; Dahmen and Marquardt, 2015; Guo et al., 2172</t>
  </si>
  <si>
    <t>Saldana et al., 2011; Dahmen and Marquardt, 2015; Guo et al., 2173</t>
  </si>
  <si>
    <t>Saldana et al., 2011; Dahmen and Marquardt, 2015; Guo et al., 2174</t>
  </si>
  <si>
    <t>Saldana et al., 2011; Dahmen and Marquardt, 2015; Guo et al., 2175</t>
  </si>
  <si>
    <t>Saldana et al., 2011; Dahmen and Marquardt, 2015; Guo et al., 2176</t>
  </si>
  <si>
    <t>Saldana et al., 2011; Dahmen and Marquardt, 2015; Guo et al., 2177</t>
  </si>
  <si>
    <t>Saldana et al., 2011; Dahmen and Marquardt, 2015; Guo et al., 2178</t>
  </si>
  <si>
    <t>Saldana et al., 2011; Dahmen and Marquardt, 2015; Guo et al., 2180</t>
  </si>
  <si>
    <t>Saldana et al., 2011; Dahmen and Marquardt, 2015; Guo et al., 2181</t>
  </si>
  <si>
    <t>Saldana et al., 2011; Dahmen and Marquardt, 2015; Guo et al., 2182</t>
  </si>
  <si>
    <t>Saldana et al., 2011; Dahmen and Marquardt, 2015; Guo et al., 2183</t>
  </si>
  <si>
    <t>Saldana et al., 2011; Dahmen and Marquardt, 2015; Guo et al., 2184</t>
  </si>
  <si>
    <t>Saldana et al., 2011; Dahmen and Marquardt, 2015; Guo et al., 2185</t>
  </si>
  <si>
    <t>Saldana et al., 2011; Dahmen and Marquardt, 2015; Guo et al., 2186</t>
  </si>
  <si>
    <t>Saldana et al., 2011; Dahmen and Marquardt, 2015; Guo et al., 2188</t>
  </si>
  <si>
    <t>Saldana et al., 2011; Dahmen and Marquardt, 2015; Guo et al., 2189</t>
  </si>
  <si>
    <t>Saldana et al., 2011; Dahmen and Marquardt, 2015; Guo et al., 2190</t>
  </si>
  <si>
    <t>Saldana et al., 2011; Dahmen and Marquardt, 2015; Guo et al., 2191</t>
  </si>
  <si>
    <t>Saldana et al., 2011; Dahmen and Marquardt, 2015; Guo et al., 2192</t>
  </si>
  <si>
    <t>Saldana et al., 2011; Dahmen and Marquardt, 2015; Guo et al., 2193</t>
  </si>
  <si>
    <t>Saldana et al., 2011; Dahmen and Marquardt, 2015; Guo et al., 2194</t>
  </si>
  <si>
    <t>Saldana et al., 2011; Dahmen and Marquardt, 2015; Guo et al., 2195</t>
  </si>
  <si>
    <t>Saldana et al., 2011; Dahmen and Marquardt, 2015; Guo et al., 2196</t>
  </si>
  <si>
    <t>Saldana et al., 2011; Dahmen and Marquardt, 2015; Guo et al., 2197</t>
  </si>
  <si>
    <t>Saldana et al., 2011; Dahmen and Marquardt, 2015; Guo et al., 2198</t>
  </si>
  <si>
    <t>Saldana et al., 2011; Dahmen and Marquardt, 2015; Guo et al., 2199</t>
  </si>
  <si>
    <t>Saldana et al., 2011; Dahmen and Marquardt, 2015; Guo et al., 2200</t>
  </si>
  <si>
    <t>Saldana et al., 2011; Dahmen and Marquardt, 2015; Guo et al., 2201</t>
  </si>
  <si>
    <t>Saldana et al., 2011; Dahmen and Marquardt, 2015; Guo et al., 2202</t>
  </si>
  <si>
    <t>Saldana et al., 2011; Dahmen and Marquardt, 2015; Guo et al., 2203</t>
  </si>
  <si>
    <t>Saldana et al., 2011; Dahmen and Marquardt, 2015; Guo et al., 2204</t>
  </si>
  <si>
    <t>Saldana et al., 2011; Dahmen and Marquardt, 2015; Guo et al., 2206</t>
  </si>
  <si>
    <t>Saldana et al., 2011; Dahmen and Marquardt, 2015; Guo et al., 2208</t>
  </si>
  <si>
    <t>Saldana et al., 2011; Dahmen and Marquardt, 2015; Guo et al., 2210</t>
  </si>
  <si>
    <t>Saldana et al., 2011; Dahmen and Marquardt, 2015; Guo et al., 2211</t>
  </si>
  <si>
    <t>Saldana et al., 2011; Dahmen and Marquardt, 2015; Guo et al., 2212</t>
  </si>
  <si>
    <t>Saldana et al., 2011; Dahmen and Marquardt, 2015; Guo et al., 2213</t>
  </si>
  <si>
    <t>Saldana et al., 2011; Dahmen and Marquardt, 2015; Guo et al., 2215</t>
  </si>
  <si>
    <t>Saldana et al., 2011; Dahmen and Marquardt, 2015; Guo et al., 2216</t>
  </si>
  <si>
    <t>Saldana et al., 2011; Dahmen and Marquardt, 2015; Guo et al., 2217</t>
  </si>
  <si>
    <t>Saldana et al., 2011; Dahmen and Marquardt, 2015; Guo et al., 2218</t>
  </si>
  <si>
    <t>Saldana et al., 2011; Dahmen and Marquardt, 2015; Guo et al., 2219</t>
  </si>
  <si>
    <t>Saldana et al., 2011; Dahmen and Marquardt, 2015; Guo et al., 2220</t>
  </si>
  <si>
    <t>Saldana et al., 2011; Dahmen and Marquardt, 2015; Guo et al., 2221</t>
  </si>
  <si>
    <t>Saldana et al., 2011; Dahmen and Marquardt, 2015; Guo et al., 2222</t>
  </si>
  <si>
    <t>Saldana et al., 2011; Dahmen and Marquardt, 2015; Guo et al., 2223</t>
  </si>
  <si>
    <t>Saldana et al., 2011; Dahmen and Marquardt, 2015; Guo et al., 2224</t>
  </si>
  <si>
    <t>Saldana et al., 2011; Dahmen and Marquardt, 2015; Guo et al., 2225</t>
  </si>
  <si>
    <t>Saldana et al., 2011; Dahmen and Marquardt, 2015; Guo et al., 2226</t>
  </si>
  <si>
    <t>Saldana et al., 2011; Dahmen and Marquardt, 2015; Guo et al., 2227</t>
  </si>
  <si>
    <t>Saldana et al., 2011; Dahmen and Marquardt, 2015; Guo et al., 2229</t>
  </si>
  <si>
    <t>Saldana et al., 2011; Dahmen and Marquardt, 2015; Guo et al., 2230</t>
  </si>
  <si>
    <t>Saldana et al., 2011; Dahmen and Marquardt, 2015; Guo et al., 2232</t>
  </si>
  <si>
    <t>Saldana et al., 2011; Dahmen and Marquardt, 2015; Guo et al., 2233</t>
  </si>
  <si>
    <t>Saldana et al., 2011; Dahmen and Marquardt, 2015; Guo et al., 2234</t>
  </si>
  <si>
    <t>Saldana et al., 2011; Dahmen and Marquardt, 2015; Guo et al., 2235</t>
  </si>
  <si>
    <t>Saldana et al., 2011; Dahmen and Marquardt, 2015; Guo et al., 2236</t>
  </si>
  <si>
    <t>Saldana et al., 2011; Dahmen and Marquardt, 2015; Guo et al., 2237</t>
  </si>
  <si>
    <t>Saldana et al., 2011; Dahmen and Marquardt, 2015; Guo et al., 2238</t>
  </si>
  <si>
    <t>Saldana et al., 2011; Dahmen and Marquardt, 2015; Guo et al., 2239</t>
  </si>
  <si>
    <t>Saldana et al., 2011; Dahmen and Marquardt, 2015; Guo et al., 2240</t>
  </si>
  <si>
    <t>Saldana et al., 2011; Dahmen and Marquardt, 2015; Guo et al., 2241</t>
  </si>
  <si>
    <t>Saldana et al., 2011; Dahmen and Marquardt, 2015; Guo et al., 2243</t>
  </si>
  <si>
    <t>Saldana et al., 2011; Dahmen and Marquardt, 2015; Guo et al., 2244</t>
  </si>
  <si>
    <t>Saldana et al., 2011; Dahmen and Marquardt, 2015; Guo et al., 2245</t>
  </si>
  <si>
    <t>Saldana et al., 2011; Dahmen and Marquardt, 2015; Guo et al., 2246</t>
  </si>
  <si>
    <t>Saldana et al., 2011; Dahmen and Marquardt, 2015; Guo et al., 2247</t>
  </si>
  <si>
    <t>Saldana et al., 2011; Dahmen and Marquardt, 2015; Guo et al., 2248</t>
  </si>
  <si>
    <t>Saldana et al., 2011; Dahmen and Marquardt, 2015; Guo et al., 2249</t>
  </si>
  <si>
    <t>Saldana et al., 2011; Dahmen and Marquardt, 2015; Guo et al., 2250</t>
  </si>
  <si>
    <t>Saldana et al., 2011; Dahmen and Marquardt, 2015; Guo et al., 2251</t>
  </si>
  <si>
    <t>Saldana et al., 2011; Dahmen and Marquardt, 2015; Guo et al., 2252</t>
  </si>
  <si>
    <t>Saldana et al., 2011; Dahmen and Marquardt, 2015; Guo et al., 2253</t>
  </si>
  <si>
    <t>Saldana et al., 2011; Dahmen and Marquardt, 2015; Guo et al., 2254</t>
  </si>
  <si>
    <t>Saldana et al., 2011; Dahmen and Marquardt, 2015; Guo et al., 2255</t>
  </si>
  <si>
    <t>Saldana et al., 2011; Dahmen and Marquardt, 2015; Guo et al., 2256</t>
  </si>
  <si>
    <t>Saldana et al., 2011; Dahmen and Marquardt, 2015; Guo et al., 2257</t>
  </si>
  <si>
    <t>Saldana et al., 2011; Dahmen and Marquardt, 2015; Guo et al., 2258</t>
  </si>
  <si>
    <t>Saldana et al., 2011; Dahmen and Marquardt, 2015; Guo et al., 2259</t>
  </si>
  <si>
    <t>Saldana et al., 2011; Dahmen and Marquardt, 2015; Guo et al., 2261</t>
  </si>
  <si>
    <t>Saldana et al., 2011; Dahmen and Marquardt, 2015; Guo et al., 2262</t>
  </si>
  <si>
    <t>Saldana et al., 2011; Dahmen and Marquardt, 2015; Guo et al., 2263</t>
  </si>
  <si>
    <t>Saldana et al., 2011; Dahmen and Marquardt, 2015; Guo et al., 2264</t>
  </si>
  <si>
    <t>Saldana et al., 2011; Dahmen and Marquardt, 2015; Guo et al., 2265</t>
  </si>
  <si>
    <t>Saldana et al., 2011; Dahmen and Marquardt, 2015; Guo et al., 2266</t>
  </si>
  <si>
    <t>Saldana et al., 2011; Dahmen and Marquardt, 2015; Guo et al., 2267</t>
  </si>
  <si>
    <t>Saldana et al., 2011; Dahmen and Marquardt, 2015; Guo et al., 2269</t>
  </si>
  <si>
    <t>Saldana et al., 2011; Dahmen and Marquardt, 2015; Guo et al., 2270</t>
  </si>
  <si>
    <t>Saldana et al., 2011; Dahmen and Marquardt, 2015; Guo et al., 2271</t>
  </si>
  <si>
    <t>Saldana et al., 2011; Dahmen and Marquardt, 2015; Guo et al., 2272</t>
  </si>
  <si>
    <t>Saldana et al., 2011; Dahmen and Marquardt, 2015; Guo et al., 2273</t>
  </si>
  <si>
    <t>Saldana et al., 2011; Dahmen and Marquardt, 2015; Guo et al., 2274</t>
  </si>
  <si>
    <t>Saldana et al., 2011; Dahmen and Marquardt, 2015; Guo et al., 2275</t>
  </si>
  <si>
    <t>Saldana et al., 2011; Dahmen and Marquardt, 2015; Guo et al., 2277</t>
  </si>
  <si>
    <t>Saldana et al., 2011; Dahmen and Marquardt, 2015; Guo et al., 2279</t>
  </si>
  <si>
    <t>Saldana et al., 2011; Dahmen and Marquardt, 2015; Guo et al., 2280</t>
  </si>
  <si>
    <t>Saldana et al., 2011; Dahmen and Marquardt, 2015; Guo et al., 2281</t>
  </si>
  <si>
    <t>Saldana et al., 2011; Dahmen and Marquardt, 2015; Guo et al., 2282</t>
  </si>
  <si>
    <t>Saldana et al., 2011; Dahmen and Marquardt, 2015; Guo et al., 2283</t>
  </si>
  <si>
    <t>Saldana et al., 2011; Dahmen and Marquardt, 2015; Guo et al., 2284</t>
  </si>
  <si>
    <t>Saldana et al., 2011; Dahmen and Marquardt, 2015; Guo et al., 2285</t>
  </si>
  <si>
    <t>Saldana et al., 2011; Dahmen and Marquardt, 2015; Guo et al., 2286</t>
  </si>
  <si>
    <t>Saldana et al., 2011; Dahmen and Marquardt, 2015; Guo et al., 2287</t>
  </si>
  <si>
    <t>Saldana et al., 2011; Dahmen and Marquardt, 2015; Guo et al., 2288</t>
  </si>
  <si>
    <t>Saldana et al., 2011; Dahmen and Marquardt, 2015; Guo et al., 2289</t>
  </si>
  <si>
    <t>Saldana et al., 2011; Dahmen and Marquardt, 2015; Guo et al., 2290</t>
  </si>
  <si>
    <t>Saldana et al., 2011; Dahmen and Marquardt, 2015; Guo et al., 2291</t>
  </si>
  <si>
    <t>C11H10</t>
  </si>
  <si>
    <t>Saldana et al., 2011; Dahmen and Marquardt, 2015; Guo et al., 2293</t>
  </si>
  <si>
    <t>Saldana et al., 2011; Dahmen and Marquardt, 2015; Guo et al., 2294</t>
  </si>
  <si>
    <t>Saldana et al., 2011; Dahmen and Marquardt, 2015; Guo et al., 2295</t>
  </si>
  <si>
    <t>Saldana et al., 2011; Dahmen and Marquardt, 2015; Guo et al., 2296</t>
  </si>
  <si>
    <t>Saldana et al., 2011; Dahmen and Marquardt, 2015; Guo et al., 2299</t>
  </si>
  <si>
    <t>Saldana et al., 2011; Dahmen and Marquardt, 2015; Guo et al., 2300</t>
  </si>
  <si>
    <t>Saldana et al., 2011; Dahmen and Marquardt, 2015; Guo et al., 2303</t>
  </si>
  <si>
    <t>Saldana et al., 2011; Dahmen and Marquardt, 2015; Guo et al., 2304</t>
  </si>
  <si>
    <t>Saldana et al., 2011; Dahmen and Marquardt, 2015; Guo et al., 2305</t>
  </si>
  <si>
    <t>Saldana et al., 2011; Dahmen and Marquardt, 2015; Guo et al., 2306</t>
  </si>
  <si>
    <t>Saldana et al., 2011; Dahmen and Marquardt, 2015; Guo et al., 2307</t>
  </si>
  <si>
    <t>Saldana et al., 2011; Dahmen and Marquardt, 2015; Guo et al., 2308</t>
  </si>
  <si>
    <t>Saldana et al., 2011; Dahmen and Marquardt, 2015; Guo et al., 2309</t>
  </si>
  <si>
    <t>Saldana et al., 2011; Dahmen and Marquardt, 2015; Guo et al., 2310</t>
  </si>
  <si>
    <t>Saldana et al., 2011; Dahmen and Marquardt, 2015; Guo et al., 2311</t>
  </si>
  <si>
    <t>Saldana et al., 2011; Dahmen and Marquardt, 2015; Guo et al., 2312</t>
  </si>
  <si>
    <t>Saldana et al., 2011; Dahmen and Marquardt, 2015; Guo et al., 2313</t>
  </si>
  <si>
    <t>Saldana et al., 2011; Dahmen and Marquardt, 2015; Guo et al., 2314</t>
  </si>
  <si>
    <t>Saldana et al., 2011; Dahmen and Marquardt, 2015; Guo et al., 2315</t>
  </si>
  <si>
    <t>Saldana et al., 2011; Dahmen and Marquardt, 2015; Guo et al., 2316</t>
  </si>
  <si>
    <t>Saldana et al., 2011; Dahmen and Marquardt, 2015; Guo et al., 2317</t>
  </si>
  <si>
    <t>Saldana et al., 2011; Dahmen and Marquardt, 2015; Guo et al., 2318</t>
  </si>
  <si>
    <t>Saldana et al., 2011; Dahmen and Marquardt, 2015; Guo et al., 2319</t>
  </si>
  <si>
    <t>Saldana et al., 2011; Dahmen and Marquardt, 2015; Guo et al., 2320</t>
  </si>
  <si>
    <t>Saldana et al., 2011; Dahmen and Marquardt, 2015; Guo et al., 2321</t>
  </si>
  <si>
    <t>Saldana et al., 2011; Dahmen and Marquardt, 2015; Guo et al., 2322</t>
  </si>
  <si>
    <t>Saldana et al., 2011; Dahmen and Marquardt, 2015; Guo et al., 2324</t>
  </si>
  <si>
    <t>Saldana et al., 2011; Dahmen and Marquardt, 2015; Guo et al., 2325</t>
  </si>
  <si>
    <t>Saldana et al., 2011; Dahmen and Marquardt, 2015; Guo et al., 2326</t>
  </si>
  <si>
    <t>Saldana et al., 2011; Dahmen and Marquardt, 2015; Guo et al., 2327</t>
  </si>
  <si>
    <t>Saldana et al., 2011; Dahmen and Marquardt, 2015; Guo et al., 2328</t>
  </si>
  <si>
    <t>Saldana et al., 2011; Dahmen and Marquardt, 2015; Guo et al., 2329</t>
  </si>
  <si>
    <t>Saldana et al., 2011; Dahmen and Marquardt, 2015; Guo et al., 2330</t>
  </si>
  <si>
    <t>Saldana et al., 2011; Dahmen and Marquardt, 2015; Guo et al., 2331</t>
  </si>
  <si>
    <t>Saldana et al., 2011; Dahmen and Marquardt, 2015; Guo et al., 2332</t>
  </si>
  <si>
    <t>Saldana et al., 2011; Dahmen and Marquardt, 2015; Guo et al., 2333</t>
  </si>
  <si>
    <t>Saldana et al., 2011; Dahmen and Marquardt, 2015; Guo et al., 2334</t>
  </si>
  <si>
    <t>Saldana et al., 2011; Dahmen and Marquardt, 2015; Guo et al., 2335</t>
  </si>
  <si>
    <t>Saldana et al., 2011; Dahmen and Marquardt, 2015; Guo et al., 2336</t>
  </si>
  <si>
    <t>Saldana et al., 2011; Dahmen and Marquardt, 2015; Guo et al., 2337</t>
  </si>
  <si>
    <t>Saldana et al., 2011; Dahmen and Marquardt, 2015; Guo et al., 2338</t>
  </si>
  <si>
    <t>Saldana et al., 2011; Dahmen and Marquardt, 2015; Guo et al., 2339</t>
  </si>
  <si>
    <t>Saldana et al., 2011; Dahmen and Marquardt, 2015; Guo et al., 2340</t>
  </si>
  <si>
    <t>Saldana et al., 2011; Dahmen and Marquardt, 2015; Guo et al., 2341</t>
  </si>
  <si>
    <t>Saldana et al., 2011; Dahmen and Marquardt, 2015; Guo et al., 2342</t>
  </si>
  <si>
    <t>Saldana et al., 2011; Dahmen and Marquardt, 2015; Guo et al., 2343</t>
  </si>
  <si>
    <t>Saldana et al., 2011; Dahmen and Marquardt, 2015; Guo et al., 2344</t>
  </si>
  <si>
    <t>Saldana et al., 2011; Dahmen and Marquardt, 2015; Guo et al., 2345</t>
  </si>
  <si>
    <t>Saldana et al., 2011; Dahmen and Marquardt, 2015; Guo et al., 2346</t>
  </si>
  <si>
    <t>Saldana et al., 2011; Dahmen and Marquardt, 2015; Guo et al., 2349</t>
  </si>
  <si>
    <t>Saldana et al., 2011; Dahmen and Marquardt, 2015; Guo et al., 2350</t>
  </si>
  <si>
    <t>Saldana et al., 2011; Dahmen and Marquardt, 2015; Guo et al., 2351</t>
  </si>
  <si>
    <t>Saldana et al., 2011; Dahmen and Marquardt, 2015; Guo et al., 2352</t>
  </si>
  <si>
    <t>Saldana et al., 2011; Dahmen and Marquardt, 2015; Guo et al., 2354</t>
  </si>
  <si>
    <t>Saldana et al., 2011; Dahmen and Marquardt, 2015; Guo et al., 2355</t>
  </si>
  <si>
    <t>Saldana et al., 2011; Dahmen and Marquardt, 2015; Guo et al., 2356</t>
  </si>
  <si>
    <t>Saldana et al., 2011; Dahmen and Marquardt, 2015; Guo et al., 2358</t>
  </si>
  <si>
    <t>Saldana et al., 2011; Dahmen and Marquardt, 2015; Guo et al., 2359</t>
  </si>
  <si>
    <t>Saldana et al., 2011; Dahmen and Marquardt, 2015; Guo et al., 2361</t>
  </si>
  <si>
    <t>Saldana et al., 2011; Dahmen and Marquardt, 2015; Guo et al., 2362</t>
  </si>
  <si>
    <t>Saldana et al., 2011; Dahmen and Marquardt, 2015; Guo et al., 2363</t>
  </si>
  <si>
    <t>Saldana et al., 2011; Dahmen and Marquardt, 2015; Guo et al., 2364</t>
  </si>
  <si>
    <t>Saldana et al., 2011; Dahmen and Marquardt, 2015; Guo et al., 2365</t>
  </si>
  <si>
    <t>Saldana et al., 2011; Dahmen and Marquardt, 2015; Guo et al., 2366</t>
  </si>
  <si>
    <t>Saldana et al., 2011; Dahmen and Marquardt, 2015; Guo et al., 2367</t>
  </si>
  <si>
    <t>Saldana et al., 2011; Dahmen and Marquardt, 2015; Guo et al., 2368</t>
  </si>
  <si>
    <t>Saldana et al., 2011; Dahmen and Marquardt, 2015; Guo et al., 2369</t>
  </si>
  <si>
    <t>Saldana et al., 2011; Dahmen and Marquardt, 2015; Guo et al., 2370</t>
  </si>
  <si>
    <t>Saldana et al., 2011; Dahmen and Marquardt, 2015; Guo et al., 2371</t>
  </si>
  <si>
    <t>Saldana et al., 2011; Dahmen and Marquardt, 2015; Guo et al., 2373</t>
  </si>
  <si>
    <t>Saldana et al., 2011; Dahmen and Marquardt, 2015; Guo et al., 2374</t>
  </si>
  <si>
    <t>Saldana et al., 2011; Dahmen and Marquardt, 2015; Guo et al., 2375</t>
  </si>
  <si>
    <t>CN Predicted</t>
  </si>
  <si>
    <t>octan-3-ol</t>
  </si>
  <si>
    <t>1-butylnaphthalene</t>
  </si>
  <si>
    <t>1,2-dimethylbenzene</t>
  </si>
  <si>
    <t>1,2-diphenylethane</t>
  </si>
  <si>
    <t>1,3-xylene</t>
  </si>
  <si>
    <t>benzene</t>
  </si>
  <si>
    <t>octylxylene</t>
  </si>
  <si>
    <t>OCCCCCCCC/C=C\C/C=C\C/C=C\CC</t>
  </si>
  <si>
    <t>CCCCC/C=C\C/C=C\CCCCCCCCO</t>
  </si>
  <si>
    <t>CCCCCCCC/C=C\CCCCCCCCO</t>
  </si>
  <si>
    <t>CCCC[C@@H](CC)CO</t>
  </si>
  <si>
    <t>CCCC[C@H](CC)CO</t>
  </si>
  <si>
    <t>CCCCCC(O)CC</t>
  </si>
  <si>
    <t>CCCCCCCC/C=C(\C)/c1ccccc1</t>
  </si>
  <si>
    <t>CC[C@@H](C)C[C@@](C)(CC)c1ccc2ccccc2c1</t>
  </si>
  <si>
    <t>CC[C@H](C)C[C@@](C)(CC)c1ccc2ccccc2c1</t>
  </si>
  <si>
    <t>CC[C@H](C)C[C@](C)(CC)c1ccc2ccccc2c1</t>
  </si>
  <si>
    <t>CCCCc1cccc2ccccc12</t>
  </si>
  <si>
    <t>Cc1ccccc1C</t>
  </si>
  <si>
    <t>c1ccc(cc1)CCc1ccccc1</t>
  </si>
  <si>
    <t>Cc1cccc(C)c1</t>
  </si>
  <si>
    <t>CCCCCC[C@@H](C)c1ccccc1</t>
  </si>
  <si>
    <t>CCCCCCCCCCCC[C@@H](C)c1ccccc1</t>
  </si>
  <si>
    <t>CCCCCCCCC[C@@H](C)c1ccccc1</t>
  </si>
  <si>
    <t>CCCCCC[C@H](C)c1ccccc1</t>
  </si>
  <si>
    <t>CCCCCCCCCCCC[C@H](C)c1ccccc1</t>
  </si>
  <si>
    <t>CCCCCCCCC[C@H](C)c1ccccc1</t>
  </si>
  <si>
    <t>CCCCCCCC[C@@H](CCC)c1ccccc1</t>
  </si>
  <si>
    <t>CCCCCCCC[C@H](CCC)c1ccccc1</t>
  </si>
  <si>
    <t>CCCCCCCCCCCCCCC[C@H](CCCC)c1ccccc1</t>
  </si>
  <si>
    <t>CCCCCCCCc1cccc(C)c1C</t>
  </si>
  <si>
    <t>CC[C@@H](C)c1ccccc1</t>
  </si>
  <si>
    <t>CC[C@@H](C)C1CCCc2ccccc12</t>
  </si>
  <si>
    <t>CC[C@H](C)c1ccccc1</t>
  </si>
  <si>
    <t>CC[C@H](C)C1CCCc2ccccc12</t>
  </si>
  <si>
    <t>CC/C=C\C/C=C\C/C=C\CCCCCCCC(=O)O</t>
  </si>
  <si>
    <t>CCCCCCCC/C=C\CCCCCCCC(=O)O</t>
  </si>
  <si>
    <t>CCCCCCCC/C=C\CCCCCCCC(=O)OCCC(CC)CCC</t>
  </si>
  <si>
    <t>CCCCOC(=O)CCCCCCC/C=C\C/C=C\C/C=C\CC</t>
  </si>
  <si>
    <t>CCCCC/C=C\C/C=C\CCCCCCCC(=O)OCCCC</t>
  </si>
  <si>
    <t>CCCCOC(=O)/C=C\C(=O)OCCCC</t>
  </si>
  <si>
    <t>CC/C=C\C/C=C\C/C=C\CCCCCCCC(=O)OCC</t>
  </si>
  <si>
    <t>CCCCCCCC/C=C\CCCCCCCC(=O)OCC</t>
  </si>
  <si>
    <t>CC/C=C\C/C=C\C/C=C\CCCCCCCC(=O)OC</t>
  </si>
  <si>
    <t>CCCCC/C=C\C/C=C\CCCCCCCC(=O)OC</t>
  </si>
  <si>
    <t>CCCCCC/C=C\CCCCCCCC(=O)OC</t>
  </si>
  <si>
    <t>CCCCCCCC/C=C\CCCCCCCC(=O)OC</t>
  </si>
  <si>
    <t>CCCOC(=O)CCCCCCC/C=C\C/C=C\C/C=C\CC</t>
  </si>
  <si>
    <t>CCCCC/C=C\C/C=C\CCCCCCCC(=O)OCCC</t>
  </si>
  <si>
    <t>CCCCCCCC/C=C\CCCCCCCC(=O)OCCC</t>
  </si>
  <si>
    <t>CCCCCCCC/C=C\CCCCCCCC(=O)OC(C)CC</t>
  </si>
  <si>
    <t xml:space="preserve">This document is the database used by Diego Alonso Saldana et al. in the article entitled “Flash point and cetane number predictions for fuel compounds using QSPR methods”, DOI: 10.1021/ef200795j. </t>
  </si>
  <si>
    <t>CCCCCC[C@](C)(CC)C1CCCC2CCCCC12</t>
  </si>
  <si>
    <t>CCCCCCCCCCCCCCC[C@H](CCCC)C1CCCCC1</t>
  </si>
  <si>
    <t>CC[C@@H](C)C1CCCC2CCCCC12</t>
  </si>
  <si>
    <t>CC[C@H](C)C1CCCC2CCCCC12</t>
  </si>
  <si>
    <t>CCCCCCCCC[C@@H](C)CC[C@H](C)CCCCCCCCC</t>
  </si>
  <si>
    <t>CCCCCCCCC[C@@H](C)CC[C@@H](C)CCCCCCCCC</t>
  </si>
  <si>
    <t>CCCCCCCCC[C@H](C)CC[C@@H](C)CCCCCCCCC</t>
  </si>
  <si>
    <t>CCC[C@@H](CC)[C@H](CC)CCC</t>
  </si>
  <si>
    <t>CCC[C@@H](CC)[C@@H](CC)CCC</t>
  </si>
  <si>
    <t>CCC[C@H](CC)[C@@H](CC)CCC</t>
  </si>
  <si>
    <t>CCCCCC[C@@H](CC)[C@H](CC)CCCCCC</t>
  </si>
  <si>
    <t>CCCCCC[C@@H](C)[C@H](C)CCCCCC</t>
  </si>
  <si>
    <t>CCCCCC[C@@H](CC)[C@@H](CC)CCCCCC</t>
  </si>
  <si>
    <t>CCCCCC[C@@H](C)[C@@H](C)CCCCCC</t>
  </si>
  <si>
    <t>CCCCCC[C@H](CC)[C@@H](CC)CCCCCC</t>
  </si>
  <si>
    <t>CCCCCC[C@H](C)[C@@H](C)CCCCCC</t>
  </si>
  <si>
    <t>CCCCCCCC[C@@H](C)[C@H](C)CCCCCCCC</t>
  </si>
  <si>
    <t>CCCCCCCC[C@@H](CCC)[C@H](CCC)CCCCCCCC</t>
  </si>
  <si>
    <t>CCCCCCCC[C@@H](C)[C@@H](C)CCCCCCCC</t>
  </si>
  <si>
    <t>CCCCCCCC[C@@H](CCC)[C@@H](CCC)CCCCCCCC</t>
  </si>
  <si>
    <t>CCCCCCCC[C@H](C)[C@@H](C)CCCCCCCC</t>
  </si>
  <si>
    <t>CCCCCCCC[C@H](CCC)[C@@H](CCC)CCCCCCCC</t>
  </si>
  <si>
    <t>C[C@H](CC(C)(C)C)CC(C)(C)CC(C)(C)C</t>
  </si>
  <si>
    <t>C[C@@H](CC(C)(C)C)CC(C)(C)CC(C)(C)C</t>
  </si>
  <si>
    <t>CC[C@@H](C)C(C)C</t>
  </si>
  <si>
    <t>C[C@H](C(C)C)C(C)[C@H](C)C(C)C</t>
  </si>
  <si>
    <t>C[C@H](C(C)C)C(C)[C@@H](C)C(C)C</t>
  </si>
  <si>
    <t>CC[C@H](C)C(C)C</t>
  </si>
  <si>
    <t>C[C@@H](C(C)C)C(C)[C@@H](C)C(C)C</t>
  </si>
  <si>
    <t>CCCCCC[C@@H](C)CCC(C)C</t>
  </si>
  <si>
    <t>CCCCCC[C@H](C)CCC(C)C</t>
  </si>
  <si>
    <t>CC[C@H](CC(C)C)[C@H](CC)CC(C)C</t>
  </si>
  <si>
    <t>CC[C@H](CC(C)C)[C@@H](CC)CC(C)C</t>
  </si>
  <si>
    <t>CC[C@@H](CC(C)C)[C@@H](CC)CC(C)C</t>
  </si>
  <si>
    <t>CCCCCCCCC[C@@H](C)/C=C/[C@H](C)CCCCCCCCC</t>
  </si>
  <si>
    <t>CCCCCCCCC[C@@H](C)/C=C/[C@@H](C)CCCCCCCCC</t>
  </si>
  <si>
    <t>CCCCCCCCC[C@H](C)/C=C/[C@@H](C)CCCCCCCCC</t>
  </si>
  <si>
    <t>CCCCCCCCC[C@@H](C)/C=C\[C@H](C)CCCCCCCCC</t>
  </si>
  <si>
    <t>CCCCCCCCC[C@@H](C)/C=C\[C@@H](C)CCCCCCCCC</t>
  </si>
  <si>
    <t>CCCCCCCCC[C@H](C)/C=C\[C@@H](C)CCCCCCCCC</t>
  </si>
  <si>
    <t>CCCC/C=C/C</t>
  </si>
  <si>
    <t>CCCCC/C=C/C</t>
  </si>
  <si>
    <t>CCCC/C=C\C</t>
  </si>
  <si>
    <t>CCCCC/C=C\C</t>
  </si>
  <si>
    <t>CCCCCCC/C=C(\CCC)/CCCC</t>
  </si>
  <si>
    <t>CCCCCCC/C=C(/CCC)\CCCC</t>
  </si>
  <si>
    <t>CCCCCCC/C(=C\CCC)/CCCC</t>
  </si>
  <si>
    <t>CCCCCCC/C(=C/CCC)/CCCC</t>
  </si>
  <si>
    <t>CCCCCC/C(=C(\C)/CCC=C(C)C)/C</t>
  </si>
  <si>
    <t>CCCCCC/C(=C(/C)\CCC=C(C)C)/C</t>
  </si>
  <si>
    <t>CCCCCC[C@@H](C)/C=C/[C@H](C)CCCCCC</t>
  </si>
  <si>
    <t>CCCCCC[C@@H](C)/C=C/[C@@H](C)CCCCCC</t>
  </si>
  <si>
    <t>CCCCCC[C@H](C)/C=C/[C@@H](C)CCCCCC</t>
  </si>
  <si>
    <t>CCCCCCC/C(=C/CCCCCC)/CCC</t>
  </si>
  <si>
    <t>CCCCCC[C@@H](C)/C=C\[C@H](C)CCCCCC</t>
  </si>
  <si>
    <t>CCCCCC[C@@H](C)/C=C\[C@@H](C)CCCCCC</t>
  </si>
  <si>
    <t>CCCCCC[C@H](C)/C=C\[C@@H](C)CCCCCC</t>
  </si>
  <si>
    <t>CCCCCCC/C(=C\CCCCCC)/CCC</t>
  </si>
  <si>
    <t>CCCCCCCC/C(=C/CCCCCCC)/C</t>
  </si>
  <si>
    <t>CCCCCCCC/C(=C\CCCCCCC)/C</t>
  </si>
  <si>
    <t>CCCCCC[C@@H](CCCC)CCCCC=C</t>
  </si>
  <si>
    <t>CCCCCC[C@H](CCCC)CCCCC=C</t>
  </si>
  <si>
    <t>hept-1-yne</t>
  </si>
  <si>
    <t>CCCCCC#C</t>
  </si>
  <si>
    <t xml:space="preserve">n-butane </t>
  </si>
  <si>
    <t>2-methylpentane</t>
  </si>
  <si>
    <t>2,3-dimethylpentane</t>
  </si>
  <si>
    <t>3-methylhexane</t>
  </si>
  <si>
    <t>2,2-dimethylpentane</t>
  </si>
  <si>
    <t>2,3,4-trimethylpentane</t>
  </si>
  <si>
    <t>4-methylheptane</t>
  </si>
  <si>
    <t>2,2-dimethylhexane</t>
  </si>
  <si>
    <t>2,4-dimethylhexane</t>
  </si>
  <si>
    <t>2,5-dimethylhexane</t>
  </si>
  <si>
    <t>3,4-dimethylhexane</t>
  </si>
  <si>
    <t xml:space="preserve">2,2,5-trimethylhexane </t>
  </si>
  <si>
    <t xml:space="preserve">2,5-dimethylundecane </t>
  </si>
  <si>
    <t xml:space="preserve">4-propyldecane </t>
  </si>
  <si>
    <t xml:space="preserve">5-butylnonane </t>
  </si>
  <si>
    <t xml:space="preserve">5-butyldodecane </t>
  </si>
  <si>
    <t>cycloheptane</t>
  </si>
  <si>
    <t xml:space="preserve">1,5-cyclooctadiene </t>
  </si>
  <si>
    <t>1,1-dimethylcyclohexane</t>
  </si>
  <si>
    <t>1,2-dimethylcyclohexane</t>
  </si>
  <si>
    <t>1,3-dimethylcyclohexane</t>
  </si>
  <si>
    <t>n-propylcyclohexane</t>
  </si>
  <si>
    <t>isopropylcyclohexane</t>
  </si>
  <si>
    <t>n-butylcyclohexane</t>
  </si>
  <si>
    <t>tetrahydro dicyclopentadiene</t>
  </si>
  <si>
    <t xml:space="preserve">cis-decalin </t>
  </si>
  <si>
    <t xml:space="preserve">3-carene </t>
  </si>
  <si>
    <t xml:space="preserve">limonene </t>
  </si>
  <si>
    <t xml:space="preserve">?-pinene </t>
  </si>
  <si>
    <t xml:space="preserve">?-terpinene </t>
  </si>
  <si>
    <t>1-butyladamantane</t>
  </si>
  <si>
    <t xml:space="preserve">perhydrophenanthrene </t>
  </si>
  <si>
    <t>bisabolene</t>
  </si>
  <si>
    <t>1-hexene</t>
  </si>
  <si>
    <t>2-methyl-2-pentene</t>
  </si>
  <si>
    <t xml:space="preserve">1-heptyne </t>
  </si>
  <si>
    <t>1-heptene</t>
  </si>
  <si>
    <t>cis 2-heptene</t>
  </si>
  <si>
    <t>1-octene</t>
  </si>
  <si>
    <t>2,4,4-trimethyl-1-pentene</t>
  </si>
  <si>
    <t xml:space="preserve">cis-3-octene </t>
  </si>
  <si>
    <t xml:space="preserve">trans-3 octene </t>
  </si>
  <si>
    <t>1-nonene</t>
  </si>
  <si>
    <t xml:space="preserve">ocimene </t>
  </si>
  <si>
    <t xml:space="preserve">1,9-decadiene </t>
  </si>
  <si>
    <t>1-decene</t>
  </si>
  <si>
    <t>1-dodecene</t>
  </si>
  <si>
    <t xml:space="preserve">farnesene </t>
  </si>
  <si>
    <t>1-hexadecene</t>
  </si>
  <si>
    <t>cyclopentene</t>
  </si>
  <si>
    <t xml:space="preserve">methanol </t>
  </si>
  <si>
    <t>1-propanol</t>
  </si>
  <si>
    <t>2-propanol</t>
  </si>
  <si>
    <t xml:space="preserve">2-methoxyethanol </t>
  </si>
  <si>
    <t>1-butanol</t>
  </si>
  <si>
    <t xml:space="preserve">2-butanol </t>
  </si>
  <si>
    <t>2-methyl-1-propanol</t>
  </si>
  <si>
    <t>1-methoxy-2propanol</t>
  </si>
  <si>
    <t>tert-butanol</t>
  </si>
  <si>
    <t>1-pentanol</t>
  </si>
  <si>
    <t>3-methyl-1-butanol</t>
  </si>
  <si>
    <t xml:space="preserve">2-isopropoxyethanol </t>
  </si>
  <si>
    <t>1-hexanol</t>
  </si>
  <si>
    <t>1-heptanol</t>
  </si>
  <si>
    <t xml:space="preserve">4-heptanol </t>
  </si>
  <si>
    <t>1-octanol</t>
  </si>
  <si>
    <t>2-ethyl-1-hexanol</t>
  </si>
  <si>
    <t>1-nonanol</t>
  </si>
  <si>
    <t>4-nonanol</t>
  </si>
  <si>
    <t xml:space="preserve">1-decanol </t>
  </si>
  <si>
    <t xml:space="preserve">3,7-dimethyl-1-octanol </t>
  </si>
  <si>
    <t xml:space="preserve">?-citronellol </t>
  </si>
  <si>
    <t>1-undecanol</t>
  </si>
  <si>
    <t>1-dodecanol</t>
  </si>
  <si>
    <t>1-tetradecanol</t>
  </si>
  <si>
    <t xml:space="preserve">farnesol </t>
  </si>
  <si>
    <t xml:space="preserve">palmitoleyl alcohol </t>
  </si>
  <si>
    <t xml:space="preserve">1-hexadecanol </t>
  </si>
  <si>
    <t xml:space="preserve">linolenyl alcohol </t>
  </si>
  <si>
    <t xml:space="preserve">linoleyl alcohol </t>
  </si>
  <si>
    <t xml:space="preserve">oleyl alcohol </t>
  </si>
  <si>
    <t xml:space="preserve">guaiacol </t>
  </si>
  <si>
    <t xml:space="preserve">2-phenyl ethanol </t>
  </si>
  <si>
    <t xml:space="preserve">4-methyl guaiacol </t>
  </si>
  <si>
    <t xml:space="preserve">2,6-dimethoxyphenol </t>
  </si>
  <si>
    <t xml:space="preserve">4-propyl phenol </t>
  </si>
  <si>
    <t xml:space="preserve">4-ethyl guaiacol </t>
  </si>
  <si>
    <t>4-methyl-2,6-dimethoxyphenol</t>
  </si>
  <si>
    <t xml:space="preserve">4-propylguaiacol </t>
  </si>
  <si>
    <t>isobutanal(isobutyraldehyde)</t>
  </si>
  <si>
    <t>octanal</t>
  </si>
  <si>
    <t xml:space="preserve">2,4-dimethyl-3-pentanone </t>
  </si>
  <si>
    <t xml:space="preserve">3-octanone </t>
  </si>
  <si>
    <t xml:space="preserve">2-nonanone </t>
  </si>
  <si>
    <t>6-undecanone</t>
  </si>
  <si>
    <t>methyl acetate</t>
  </si>
  <si>
    <t>methyl levulinate</t>
  </si>
  <si>
    <t>ethyl levulinate</t>
  </si>
  <si>
    <t>pentyl acetate</t>
  </si>
  <si>
    <t>propyl valerate</t>
  </si>
  <si>
    <t>hexyl acetate</t>
  </si>
  <si>
    <t>butyl valerate</t>
  </si>
  <si>
    <t>pentyl valerate</t>
  </si>
  <si>
    <t>butyl hexanoate</t>
  </si>
  <si>
    <t>ethyl octanoate</t>
  </si>
  <si>
    <t>hexyl butyrate</t>
  </si>
  <si>
    <t xml:space="preserve">butyl octanoate </t>
  </si>
  <si>
    <t>hexyl hexanoate</t>
  </si>
  <si>
    <t>methyl laurate</t>
  </si>
  <si>
    <t>propyl laurate</t>
  </si>
  <si>
    <t>butyl laurate</t>
  </si>
  <si>
    <t>ethyl myristate</t>
  </si>
  <si>
    <t>methyl palmitate</t>
  </si>
  <si>
    <t>butyl myristate</t>
  </si>
  <si>
    <t>ethyl palmitate</t>
  </si>
  <si>
    <t>hexadecyl acetate</t>
  </si>
  <si>
    <t>methyl stearate</t>
  </si>
  <si>
    <t>ethyl stearate</t>
  </si>
  <si>
    <t xml:space="preserve">methyl sorbate </t>
  </si>
  <si>
    <t xml:space="preserve">methyl palmitoleate </t>
  </si>
  <si>
    <t>methyl linolenate</t>
  </si>
  <si>
    <t>methyl linoleate</t>
  </si>
  <si>
    <t xml:space="preserve">methyl linolelaidate </t>
  </si>
  <si>
    <t xml:space="preserve">methyl elaidate </t>
  </si>
  <si>
    <t>methyl oleate</t>
  </si>
  <si>
    <t xml:space="preserve">methyl petroselinate </t>
  </si>
  <si>
    <t xml:space="preserve">methyl ricinoleate </t>
  </si>
  <si>
    <t xml:space="preserve">ethyl linoleate </t>
  </si>
  <si>
    <t>dimethyl ether</t>
  </si>
  <si>
    <t>1-methoxy-2-propanol</t>
  </si>
  <si>
    <t>tert-butyl ethyl ether</t>
  </si>
  <si>
    <t>anisole</t>
  </si>
  <si>
    <t>ethyl tetrahydrofurfuryl ether</t>
  </si>
  <si>
    <t>dibutyl ether</t>
  </si>
  <si>
    <t>4-methoxy benzaldehyde</t>
  </si>
  <si>
    <t>4-methyl anisole</t>
  </si>
  <si>
    <t>4-propylanisole</t>
  </si>
  <si>
    <t>dodecyl vinyl ether</t>
  </si>
  <si>
    <t>Furans</t>
  </si>
  <si>
    <t xml:space="preserve">furan </t>
  </si>
  <si>
    <t xml:space="preserve">2,3-dihydrofuran </t>
  </si>
  <si>
    <t>2-methyl tetrahydrofuran</t>
  </si>
  <si>
    <t>2-furfuryl alcohol</t>
  </si>
  <si>
    <t>furfuryl ethyl ether</t>
  </si>
  <si>
    <t>?-undecanolactone</t>
  </si>
  <si>
    <t>toluene</t>
  </si>
  <si>
    <t>methoxybenzene</t>
  </si>
  <si>
    <t>1,2-dimethylbenzene (o-xylene)</t>
  </si>
  <si>
    <t>ethyl benzene</t>
  </si>
  <si>
    <t>?-methyl-trans cinnamaldehyde</t>
  </si>
  <si>
    <t>n-propylbenzene</t>
  </si>
  <si>
    <t>1,2,3-trimethylbenzene</t>
  </si>
  <si>
    <t>1,3,5-trimethylbenzene</t>
  </si>
  <si>
    <t>naphthalene</t>
  </si>
  <si>
    <t>?-methyl-trans-cinnamaldehyde</t>
  </si>
  <si>
    <t>(1-methylpropyl)-benzene</t>
  </si>
  <si>
    <t>1,2,4,5-tetramethylbenzene</t>
  </si>
  <si>
    <t>n-butylbenzene</t>
  </si>
  <si>
    <t>2-methylnaphthalene</t>
  </si>
  <si>
    <t>n-pentylbenzene</t>
  </si>
  <si>
    <t>1,3,5-triethylbenzene</t>
  </si>
  <si>
    <t>dibenzyl ether</t>
  </si>
  <si>
    <t>n-octylbenzene</t>
  </si>
  <si>
    <t>n-nonylbenzene</t>
  </si>
  <si>
    <t>n-tetradecylbenzene</t>
  </si>
  <si>
    <t>2-butoxyethanol</t>
  </si>
  <si>
    <t>Carboxylic Acids</t>
  </si>
  <si>
    <t>CN_literature</t>
  </si>
  <si>
    <t>g-CH3</t>
  </si>
  <si>
    <t>g-CH2-(linear)</t>
  </si>
  <si>
    <t>g-OH</t>
  </si>
  <si>
    <t>g-O-(linear) eter</t>
  </si>
  <si>
    <t>g-O-(ring)</t>
  </si>
  <si>
    <t>g&gt;C=O(linear) cet</t>
  </si>
  <si>
    <t>g&gt;C=Oring</t>
  </si>
  <si>
    <t>gO=CH- ald</t>
  </si>
  <si>
    <t>g-COO-(linear) ester</t>
  </si>
  <si>
    <t>g-CH-(lineal)</t>
  </si>
  <si>
    <t>CH= (lineal)</t>
  </si>
  <si>
    <t>CH= (ring)</t>
  </si>
  <si>
    <t>CH2= (lineal)</t>
  </si>
  <si>
    <t>g-CH-(ring)</t>
  </si>
  <si>
    <t>g-CH2-(ring)</t>
  </si>
  <si>
    <t xml:space="preserve">-OH (Phenol) </t>
  </si>
  <si>
    <t>?-terpinene</t>
  </si>
  <si>
    <t>?-pinene</t>
  </si>
  <si>
    <t>?-undecalactone</t>
  </si>
  <si>
    <t>C8H10</t>
  </si>
  <si>
    <t>C14H14</t>
  </si>
  <si>
    <t>C16H26</t>
  </si>
  <si>
    <t>CCCCCC[C@@H](C(C)C)C1CCCCC1</t>
  </si>
  <si>
    <t>CCCCCC[C@H](C(C)C)C1CCCCC1</t>
  </si>
  <si>
    <t>CCCCCCCCCCCC[C@@H](C)C1CCCCC1</t>
  </si>
  <si>
    <t>CCCCCCCCCCCC[C@H](C)C1CCCCC1</t>
  </si>
  <si>
    <t>CCC[C@@H](CC)C1CCCCC1</t>
  </si>
  <si>
    <t>CCC[C@H](CC)C1CCCCC1</t>
  </si>
  <si>
    <t>C26H52</t>
  </si>
  <si>
    <t>C1CC[C@@H]2CCCC[C@@H]2C1</t>
  </si>
  <si>
    <t>cis-decalin</t>
  </si>
  <si>
    <t>C7H12</t>
  </si>
  <si>
    <t>Runzhao Lia,1, Jose Martin Herrerosa,2, Athanasios Tsolakisa,3,?, Wenzhao Yangb, https://doi.org/10.1016/j.fuel.2020.118589 (This document is the database used)</t>
  </si>
  <si>
    <t>CCCC</t>
  </si>
  <si>
    <t xml:space="preserve">C4H10 </t>
  </si>
  <si>
    <t>CC(C)C</t>
  </si>
  <si>
    <t>C4H10</t>
  </si>
  <si>
    <t>CC(C)CCC</t>
  </si>
  <si>
    <t>CC(C)C(CC)C</t>
  </si>
  <si>
    <t>CC(CC)CCC</t>
  </si>
  <si>
    <t xml:space="preserve">C7H16 </t>
  </si>
  <si>
    <t>CC(C)(CCC)C</t>
  </si>
  <si>
    <t>CC(C)C(CC)CC</t>
  </si>
  <si>
    <t>CC(C)(C(CC)C)C</t>
  </si>
  <si>
    <t>CC(C)C(CC)(C)C</t>
  </si>
  <si>
    <t>CC(C)C(C(C)C)C</t>
  </si>
  <si>
    <t>CC(CCC)CCC</t>
  </si>
  <si>
    <t>CC(C)(CCCC)C</t>
  </si>
  <si>
    <t>CC(C)C(CCC)C</t>
  </si>
  <si>
    <t>CC(C)CC(CC)C</t>
  </si>
  <si>
    <t>CC(C)CCC(C)C</t>
  </si>
  <si>
    <t>CC(CC)(CCC)C</t>
  </si>
  <si>
    <t>CC(CC)C(CC)C</t>
  </si>
  <si>
    <t>CC(C)CCCCCC</t>
  </si>
  <si>
    <t>CC(C)(CCC(C)C)C</t>
  </si>
  <si>
    <t xml:space="preserve">C9H20 </t>
  </si>
  <si>
    <t>CC(C)(CCCCC)C</t>
  </si>
  <si>
    <t>C(C)C(CC)(CC)CC</t>
  </si>
  <si>
    <t>CC(C)(CC(C(C(C)C)C)C)C</t>
  </si>
  <si>
    <t>CC(C)CCC(CCCCCC)C</t>
  </si>
  <si>
    <t xml:space="preserve">C13H28 </t>
  </si>
  <si>
    <t>C(CC)C(CCC)CCCCCC</t>
  </si>
  <si>
    <t>C(CCC)C(CCCC)CCCC</t>
  </si>
  <si>
    <t>CC(C)CCCC(CCCC(CCC)C)C</t>
  </si>
  <si>
    <t>C(CCC)C(CCCC)CCCCCCC</t>
  </si>
  <si>
    <t xml:space="preserve">C16H34 </t>
  </si>
  <si>
    <t>C(CCCCC)C(CCCCCCC)CCCCCCC</t>
  </si>
  <si>
    <t>CC1(C(C1)C)C</t>
  </si>
  <si>
    <t>CC1CC(CC1)C</t>
  </si>
  <si>
    <t>C1CCCCCC1</t>
  </si>
  <si>
    <t>C1=CCCC=CCC1</t>
  </si>
  <si>
    <t xml:space="preserve">C8H12 </t>
  </si>
  <si>
    <t>CC1(CCCCC1)C</t>
  </si>
  <si>
    <t>CC1(CC(CC1)C)C</t>
  </si>
  <si>
    <t>CC1C(CC(C1)C)C</t>
  </si>
  <si>
    <t>CC1C(CCCC1)C</t>
  </si>
  <si>
    <t xml:space="preserve">C8H16 </t>
  </si>
  <si>
    <t>CC1CC(CCC1)C</t>
  </si>
  <si>
    <t>C(CC)C1CCCC1</t>
  </si>
  <si>
    <t>C(C)C1CC(CC1)C</t>
  </si>
  <si>
    <t>CC1(C(CC(C1)C)C)C</t>
  </si>
  <si>
    <t>C9H16</t>
  </si>
  <si>
    <t>CC1(C(CCCC1)C)C</t>
  </si>
  <si>
    <t>CC1(CC(CCC1)C)C</t>
  </si>
  <si>
    <t>CC1C(C(CCC1)C)C</t>
  </si>
  <si>
    <t>C(CC)C1CCCCC1</t>
  </si>
  <si>
    <t>C(C)(C)C1CCCCC1</t>
  </si>
  <si>
    <t>C(C(C)C)C1CCCC1</t>
  </si>
  <si>
    <t>C(CCC)C1CCCCC1</t>
  </si>
  <si>
    <t>C1CC2C3CCC(C3)C2C1</t>
  </si>
  <si>
    <t xml:space="preserve">C10H16 </t>
  </si>
  <si>
    <t>C1CCC[C@@H]2CCCC[C@H]12</t>
  </si>
  <si>
    <t xml:space="preserve">C10H18 </t>
  </si>
  <si>
    <t>C12CC(=CCC1C2(C)C)C</t>
  </si>
  <si>
    <t>CC1=CCC(CC1)C(=C)C</t>
  </si>
  <si>
    <t>CC1C(CCCC1)CCC</t>
  </si>
  <si>
    <t>C(C(C)C)C1CCCCC1</t>
  </si>
  <si>
    <t>C(C)(CC)C1CCCCC1</t>
  </si>
  <si>
    <t>C(C)(C)(C)C1CCCCC1</t>
  </si>
  <si>
    <t>C(C)C1C2CC3CC(CC1C3)C2</t>
  </si>
  <si>
    <t>C(CCCCC)C1CCCCC1</t>
  </si>
  <si>
    <t>C(CC)C1CCCC2CCCCC12</t>
  </si>
  <si>
    <t>C13H24</t>
  </si>
  <si>
    <t>C(CCC)C12CC3CC(CC(C1)C3)C2</t>
  </si>
  <si>
    <t xml:space="preserve">C14H24 </t>
  </si>
  <si>
    <t>C1CCCC2C3CCCCC3CCC12</t>
  </si>
  <si>
    <t>C(CCC)C1CCCC2CCCCC12</t>
  </si>
  <si>
    <t>C15H23</t>
  </si>
  <si>
    <t>C(CCCCCCC)C1CCCC2CCCCC12</t>
  </si>
  <si>
    <t>C=CCCC</t>
  </si>
  <si>
    <t>CC(=C)CC</t>
  </si>
  <si>
    <t>C=CCCCC</t>
  </si>
  <si>
    <t>CC(C)=CCC</t>
  </si>
  <si>
    <t>CC1CC=CCC1</t>
  </si>
  <si>
    <t xml:space="preserve">C7H12 </t>
  </si>
  <si>
    <t>C#CCCCCC</t>
  </si>
  <si>
    <t>C=CCCCCC</t>
  </si>
  <si>
    <t>C\C=C/CCCC</t>
  </si>
  <si>
    <t>C=CCCCCCC</t>
  </si>
  <si>
    <t>CC\C=C/CCCC</t>
  </si>
  <si>
    <t>CC\C=C\CCCC</t>
  </si>
  <si>
    <t>C(=C)C1CC=CCC1</t>
  </si>
  <si>
    <t>C(=C)C1CCCCC1</t>
  </si>
  <si>
    <t>C=CCCCCCCC</t>
  </si>
  <si>
    <t>CC(=C)CCCC(C)C</t>
  </si>
  <si>
    <t>CC(=CC/C=C(\C)/C=C)C</t>
  </si>
  <si>
    <t>C10H15</t>
  </si>
  <si>
    <t>C=CCCCCCCCC</t>
  </si>
  <si>
    <t>C=CCCCCCCCCC</t>
  </si>
  <si>
    <t>C=CCCCCCCCCCC</t>
  </si>
  <si>
    <t>C=CCCCCCCCCCCCC</t>
  </si>
  <si>
    <t>CC(=CCCC(=CCC=C(C)C=C)C)C</t>
  </si>
  <si>
    <t xml:space="preserve">C15H24 </t>
  </si>
  <si>
    <t>C=CCCCCCCCCCCCCCC</t>
  </si>
  <si>
    <t xml:space="preserve">C16H32 </t>
  </si>
  <si>
    <t>C=CCCCCCCCCCCCCCCCC</t>
  </si>
  <si>
    <t>C(CCCCC)C(CCCCCC)=CCCCCCCC</t>
  </si>
  <si>
    <t>C1=CCCC1</t>
  </si>
  <si>
    <t xml:space="preserve">CH4O </t>
  </si>
  <si>
    <t>C(CC)O</t>
  </si>
  <si>
    <t>CC(C)O</t>
  </si>
  <si>
    <t xml:space="preserve">C3H8O2 </t>
  </si>
  <si>
    <t>C(CCC)O</t>
  </si>
  <si>
    <t>CC(CC)O</t>
  </si>
  <si>
    <t>C(=C)OCCO</t>
  </si>
  <si>
    <t xml:space="preserve">C4H8O2 </t>
  </si>
  <si>
    <t>CC(CO)C</t>
  </si>
  <si>
    <t>COCC(C)O</t>
  </si>
  <si>
    <t xml:space="preserve">C4H10O2 </t>
  </si>
  <si>
    <t>C(C)(C)(C)O</t>
  </si>
  <si>
    <t>C(CCCC)O</t>
  </si>
  <si>
    <t>CC(CCO)C</t>
  </si>
  <si>
    <t>C(C)(C)OCCO</t>
  </si>
  <si>
    <t xml:space="preserve">C5H12O2 </t>
  </si>
  <si>
    <t>C(CCCCC)O</t>
  </si>
  <si>
    <t>OC(CC(C)=O)(C)C</t>
  </si>
  <si>
    <t xml:space="preserve">C6H12O2 </t>
  </si>
  <si>
    <t>COC(CCO)(C)C</t>
  </si>
  <si>
    <t xml:space="preserve">C6H14O2 </t>
  </si>
  <si>
    <t>C(CCCCCC)O</t>
  </si>
  <si>
    <t>CCCC(CCC)O</t>
  </si>
  <si>
    <t xml:space="preserve">C7H16O </t>
  </si>
  <si>
    <t>C(CCCCCCC)O</t>
  </si>
  <si>
    <t>C(C)C(CO)CCCC</t>
  </si>
  <si>
    <t>C(CCCCCCCC)O</t>
  </si>
  <si>
    <t>CCCC(CCCCC)O</t>
  </si>
  <si>
    <t xml:space="preserve">C9H20O </t>
  </si>
  <si>
    <t>C(CCCCCCCCC)O</t>
  </si>
  <si>
    <t xml:space="preserve">C10H22O </t>
  </si>
  <si>
    <t>CC(CCO)CCCC(C)C</t>
  </si>
  <si>
    <t>CC(C)=CCCC(C)CCO</t>
  </si>
  <si>
    <t xml:space="preserve">C10H20O </t>
  </si>
  <si>
    <t>C(CCCCCCCCCC)O</t>
  </si>
  <si>
    <t xml:space="preserve">C11H24O </t>
  </si>
  <si>
    <t>C(CCCCCCCCCCC)O</t>
  </si>
  <si>
    <t xml:space="preserve">C12H26O </t>
  </si>
  <si>
    <t>C(CCCCCCCCCCCCC)O</t>
  </si>
  <si>
    <t xml:space="preserve">C14H30O </t>
  </si>
  <si>
    <t>OCC=C(C)CCC=C(C)CCC=C(C)C</t>
  </si>
  <si>
    <t xml:space="preserve">C15H26O </t>
  </si>
  <si>
    <t>C(CCCCCCC\C=C/CCCCCC)O</t>
  </si>
  <si>
    <t xml:space="preserve">C16H32O </t>
  </si>
  <si>
    <t>C(CCCCCCCCCCCCCCC)O</t>
  </si>
  <si>
    <t xml:space="preserve">C16H34O </t>
  </si>
  <si>
    <t xml:space="preserve">C18H32O </t>
  </si>
  <si>
    <t>C(CCCCCCC\C=C/C\C=C/CCCCC)O</t>
  </si>
  <si>
    <t xml:space="preserve">C18H34O </t>
  </si>
  <si>
    <t>C(CCCCCCC\C=C/CCCCCCCC)O</t>
  </si>
  <si>
    <t xml:space="preserve">C18H36O </t>
  </si>
  <si>
    <t>C(CCCCCCCCCCCCCCCCC)O</t>
  </si>
  <si>
    <t>C=1(C(O)=CC=CC1)OC</t>
  </si>
  <si>
    <t xml:space="preserve">C7H8O2 </t>
  </si>
  <si>
    <t>C1(=CC=CC=C1)CCO</t>
  </si>
  <si>
    <t xml:space="preserve">C8H10O </t>
  </si>
  <si>
    <t>CC=1C=C(C(=CC1)OC)O</t>
  </si>
  <si>
    <t xml:space="preserve">C8H10O2 </t>
  </si>
  <si>
    <t>COC1=C(C(=CC=C1)OC)O</t>
  </si>
  <si>
    <t xml:space="preserve">C8H10O3 </t>
  </si>
  <si>
    <t>C(CC)C1=CC=C(C=C1)O</t>
  </si>
  <si>
    <t xml:space="preserve">C9H12O </t>
  </si>
  <si>
    <t>C(C)C=1C=C(C(=CC1)OC)O</t>
  </si>
  <si>
    <t xml:space="preserve">C9H12O2 </t>
  </si>
  <si>
    <t>CC1=CC(=C(C(=C1)OC)O)OC</t>
  </si>
  <si>
    <t xml:space="preserve">C9H12O3 </t>
  </si>
  <si>
    <t>C(CC)C=1C=C(C(=CC1)OC)O</t>
  </si>
  <si>
    <t xml:space="preserve">C10H14O2 </t>
  </si>
  <si>
    <t>C(CCCCCCC)=O</t>
  </si>
  <si>
    <t>CC(C)C(C(C)C)=O</t>
  </si>
  <si>
    <t>CCC(CCCCC)=O</t>
  </si>
  <si>
    <t>CC(CCCCCCC)=O</t>
  </si>
  <si>
    <t>CCCCCC(CCCCC)=O</t>
  </si>
  <si>
    <t xml:space="preserve">C11H22O </t>
  </si>
  <si>
    <t>C(C)(=O)OC</t>
  </si>
  <si>
    <t xml:space="preserve">C3H6O2 </t>
  </si>
  <si>
    <t>C(CCC(=O)C)(=O)OC</t>
  </si>
  <si>
    <t xml:space="preserve">C6H10O3 </t>
  </si>
  <si>
    <t xml:space="preserve">C6H12O3 </t>
  </si>
  <si>
    <t>C(CCC(=O)C)(=O)OCC</t>
  </si>
  <si>
    <t xml:space="preserve">C7H12O3 </t>
  </si>
  <si>
    <t>C(C)(=O)OCCCCC</t>
  </si>
  <si>
    <t xml:space="preserve">C7H14O2 </t>
  </si>
  <si>
    <t>C(CCCC)(=O)OCCC</t>
  </si>
  <si>
    <t>C(C)(=O)OCCCCCC</t>
  </si>
  <si>
    <t>C(CCCC)(=O)OCCCC</t>
  </si>
  <si>
    <t>C(CCCC)(=O)OCCCCC</t>
  </si>
  <si>
    <t>C(CCCCC)(=O)OCCCC</t>
  </si>
  <si>
    <t xml:space="preserve">C10H20O2 </t>
  </si>
  <si>
    <t>C(CCCCCCC)(=O)OCC</t>
  </si>
  <si>
    <t>C(CCC)(=O)OCCCCCC</t>
  </si>
  <si>
    <t>COC(CCCCCCCC=C)=O</t>
  </si>
  <si>
    <t>C(CCCCCCC)(=O)OCCCC</t>
  </si>
  <si>
    <t xml:space="preserve">C12H24O2 </t>
  </si>
  <si>
    <t>C(CCCCC)(=O)OCCCCCC</t>
  </si>
  <si>
    <t>C(C)(=O)OCCCCCCCCCC</t>
  </si>
  <si>
    <t>C(CCCCCCCCCCC)(=O)OC</t>
  </si>
  <si>
    <t>C(CCCC)(=O)OCCCCCCCC</t>
  </si>
  <si>
    <t>C(C)(=O)OCCCCCCCCCCCC</t>
  </si>
  <si>
    <t>C(CCCCCCCCCCC)(=O)OCC</t>
  </si>
  <si>
    <t>C(CCCCCCCCCCC)(=O)OCCC</t>
  </si>
  <si>
    <t xml:space="preserve">C15H30O2 </t>
  </si>
  <si>
    <t>C(CCCC)(=O)OCCCCCCCCCC</t>
  </si>
  <si>
    <t>C(C)(=O)OCCCCCCCCCCCCCC</t>
  </si>
  <si>
    <t xml:space="preserve">C16H32O2 </t>
  </si>
  <si>
    <t>C(CCCCCCCCCCC)(=O)OCCCC</t>
  </si>
  <si>
    <t>C(CCCCCCCCCCCCC)(=O)OCC</t>
  </si>
  <si>
    <t>C(CCCCCCCCCCCCCCC)(=O)OC</t>
  </si>
  <si>
    <t xml:space="preserve">C17H34O2 </t>
  </si>
  <si>
    <t>C(CCCC)(=O)OCCCCCCCCCCCC</t>
  </si>
  <si>
    <t>C(CCCCCCCCCCCCC)(=O)OCCC</t>
  </si>
  <si>
    <t>C(CCCCCCCCCCCCC)(=O)OCCCC</t>
  </si>
  <si>
    <t xml:space="preserve">C18H36O2 </t>
  </si>
  <si>
    <t>C(CCCCCCCCCCCCCCC)(=O)OCC</t>
  </si>
  <si>
    <t>C(C)(=O)OCCCCCCCCCCCCCCCC</t>
  </si>
  <si>
    <t>C(CCCCCCCCCCC)(=O)OCCCCCC</t>
  </si>
  <si>
    <t>C(CCCCCCCCCCCCCCCCC)(=O)OC</t>
  </si>
  <si>
    <t xml:space="preserve">C19H38O2 </t>
  </si>
  <si>
    <t>C(CCCCCCCCCCCCCCCCC)(=O)OCC</t>
  </si>
  <si>
    <t xml:space="preserve">C20H40O2 </t>
  </si>
  <si>
    <t>C(CCCCCCCCC)(=O)OCCCCCCCCCC</t>
  </si>
  <si>
    <t>C(CCCCCCCCCCCCC)(=O)OCCCCCC</t>
  </si>
  <si>
    <t>C(C)(=O)OCCCCCCCCCCCCCCCCCC</t>
  </si>
  <si>
    <t>C(CCCCCCCCCCC)(=O)OCCCCCCCC</t>
  </si>
  <si>
    <t>C(CCCC)(=O)OCCCCCCCCCCCCCCCC</t>
  </si>
  <si>
    <t>C(CCCCCCCCCCC)(=O)OCCCCCCCCCC</t>
  </si>
  <si>
    <t>C(CCCCCCCCCCCCC)(=O)OCCCCCCCC</t>
  </si>
  <si>
    <t>C(CCCCCCCCCCCCC)(=O)OCCCCCCCCCC</t>
  </si>
  <si>
    <t>C(CCCCCCCCCCC)(=O)OCCCCCCCCCCCC</t>
  </si>
  <si>
    <t>C(CCCCCCCCCCCCCCC)(=O)OCCCCCCCCCC</t>
  </si>
  <si>
    <t>C26H52O2</t>
  </si>
  <si>
    <t>C(CCCCCCCCCCCCC)(=O)OCCCCCCCCCCCC</t>
  </si>
  <si>
    <t>C(CCCCCCCCCCC)(=O)OCCCCCCCCCCCCCCCC</t>
  </si>
  <si>
    <t>C28H56O2</t>
  </si>
  <si>
    <t>C(\C=C\C=C\C)(=O)OC</t>
  </si>
  <si>
    <t xml:space="preserve">C7H10O2 </t>
  </si>
  <si>
    <t>C(CCCCCCCC=C)(=O)OC</t>
  </si>
  <si>
    <t>C(CCCCCCC\C=C/CCCCCC)(=O)OC</t>
  </si>
  <si>
    <t xml:space="preserve">C17H32O2 </t>
  </si>
  <si>
    <t>C(CCCCCCC\C=C/C\C=C/CCCCC)(=O)OC</t>
  </si>
  <si>
    <t xml:space="preserve">C19H34O2 </t>
  </si>
  <si>
    <t>C(CCCCCCC\C=C\CCCCCCCC)(=O)OC</t>
  </si>
  <si>
    <t xml:space="preserve">C19H36O2 </t>
  </si>
  <si>
    <t>C(CCCCCCC\C=C/CCCCCCCC)(=O)OC</t>
  </si>
  <si>
    <t>C(CCCC\C=C/CCCCCCCCCCC)(=O)OC</t>
  </si>
  <si>
    <t>C(CCCCCCC\C=C/C[C@H](O)CCCCCC)(=O)OC</t>
  </si>
  <si>
    <t xml:space="preserve">C19H36O3 </t>
  </si>
  <si>
    <t>C(CCCC)(=O)OCCCCCCCCCCCCCC</t>
  </si>
  <si>
    <t>C20H34O1</t>
  </si>
  <si>
    <t>C(CCCCCCC\C=C/C\C=C/CCCCC)(=O)OCC</t>
  </si>
  <si>
    <t xml:space="preserve">C20H36O2 </t>
  </si>
  <si>
    <t>C21H36O1</t>
  </si>
  <si>
    <t>C22H38O1</t>
  </si>
  <si>
    <t>COC</t>
  </si>
  <si>
    <t>COCOC</t>
  </si>
  <si>
    <t>COCOCCOCOC</t>
  </si>
  <si>
    <t>C6H14O4</t>
  </si>
  <si>
    <t>C(C)(=O)OCCOCC</t>
  </si>
  <si>
    <t>C(C)OC(C)OCC</t>
  </si>
  <si>
    <t>C(C)OC(C)(C)C</t>
  </si>
  <si>
    <t>C1(=CC=CC=C1)OC</t>
  </si>
  <si>
    <t xml:space="preserve">C7H8O </t>
  </si>
  <si>
    <t>C(C1CCCO1)OCC</t>
  </si>
  <si>
    <t>C(CCC)OCCCC</t>
  </si>
  <si>
    <t>COC1=CC=C(C=O)C=C1</t>
  </si>
  <si>
    <t xml:space="preserve">C8H8O2 </t>
  </si>
  <si>
    <t>CC1=CC=C(C=C1)OC</t>
  </si>
  <si>
    <t>C(CCC)OCOCCCC</t>
  </si>
  <si>
    <t>C9H20O2</t>
  </si>
  <si>
    <t>C(CC)C1=CC=C(C=C1)OC</t>
  </si>
  <si>
    <t xml:space="preserve">C10H14O </t>
  </si>
  <si>
    <t>O1C=CC=C1</t>
  </si>
  <si>
    <t>C4H4O</t>
  </si>
  <si>
    <t>O1CCC=C1</t>
  </si>
  <si>
    <t xml:space="preserve">C4H6O </t>
  </si>
  <si>
    <t>CC1OCCC1</t>
  </si>
  <si>
    <t xml:space="preserve">C5H10O </t>
  </si>
  <si>
    <t>C1=COC(=C1)CO</t>
  </si>
  <si>
    <t xml:space="preserve">C5H6O2 </t>
  </si>
  <si>
    <t>C(C)OCC1=CC=CO1</t>
  </si>
  <si>
    <t>CCCCCCC1CCC(=O)O1</t>
  </si>
  <si>
    <t>C1=CC=CC=C1</t>
  </si>
  <si>
    <t xml:space="preserve">C6H6 </t>
  </si>
  <si>
    <t>C1(=CC=CC=C1)C</t>
  </si>
  <si>
    <t xml:space="preserve">C7H8 </t>
  </si>
  <si>
    <t>COC1=CC=CC=C1</t>
  </si>
  <si>
    <t>C7H8O</t>
  </si>
  <si>
    <t xml:space="preserve">C8H10 </t>
  </si>
  <si>
    <t>C(C)C1=CC=CC=C1</t>
  </si>
  <si>
    <t>C/C(=C\C1=CC=CC=C1)/C=O</t>
  </si>
  <si>
    <t xml:space="preserve">C9H8O </t>
  </si>
  <si>
    <t>C1CCC2=CC=CC=C12</t>
  </si>
  <si>
    <t xml:space="preserve">C9H10 </t>
  </si>
  <si>
    <t>C(CC)C1=CC=CC=C1</t>
  </si>
  <si>
    <t>CC1=C(C(=CC=C1)C)C</t>
  </si>
  <si>
    <t xml:space="preserve">C9H12 </t>
  </si>
  <si>
    <t>CC1=CC(=CC(=C1)C)C</t>
  </si>
  <si>
    <t>C1=CC=CC2=CC=CC=C12</t>
  </si>
  <si>
    <t>C10H8</t>
  </si>
  <si>
    <t>C10H10O</t>
  </si>
  <si>
    <t>C1CCCC2=CC=CC=C12.C1CCCC2=CC=CC=C12</t>
  </si>
  <si>
    <t>CC(CC)C1=CC=CC=C1</t>
  </si>
  <si>
    <t>CC1=CC=C(C=C1)C(C)C</t>
  </si>
  <si>
    <t>CC1=C(C=C(C(=C1)C)C)C</t>
  </si>
  <si>
    <t>C(CCC)C1=CC=CC=C1</t>
  </si>
  <si>
    <t xml:space="preserve">C10H14 </t>
  </si>
  <si>
    <t>CC1=CC=C(C=C1)CCC</t>
  </si>
  <si>
    <t>CC1=CC2=CC=CC=C2C=C1</t>
  </si>
  <si>
    <t>C(CCCC)C1=CC=CC=C1</t>
  </si>
  <si>
    <t>C(CC)C1CCCC2=CC=CC=C12</t>
  </si>
  <si>
    <t>C(C)C1=CC(=CC(=C1)CC)CC</t>
  </si>
  <si>
    <t xml:space="preserve">C12H18 </t>
  </si>
  <si>
    <t>C(C1=CC=CC=C1)OCC1=CC=CC=C1</t>
  </si>
  <si>
    <t xml:space="preserve">C14H14O </t>
  </si>
  <si>
    <t>C(CCCCCCC)C1=CC=CC=C1</t>
  </si>
  <si>
    <t>C(CCCCCCCC)C1=CC=CC=C1</t>
  </si>
  <si>
    <t>C1(=CC=CC=C1)C(C)=CCCCCCCCC</t>
  </si>
  <si>
    <t>C(CCCCCCCCCCCCC)C1=CC=CC=C1</t>
  </si>
  <si>
    <t>C1(=CC=CC=C1)C(CCCC)CCCCCCCCCCCCCCC</t>
  </si>
  <si>
    <t>C(CCC)OCCO</t>
  </si>
  <si>
    <t>C(CC(=O)OC)(=O)OC</t>
  </si>
  <si>
    <t>C5H8O4</t>
  </si>
  <si>
    <t>C(C(=O)OCC)(=O)OCC</t>
  </si>
  <si>
    <t>C6H10O4</t>
  </si>
  <si>
    <t>C(CCC(=O)OCC)(=O)OCC</t>
  </si>
  <si>
    <t>C(CCCCC(=O)OC)(=O)OC</t>
  </si>
  <si>
    <t>C(C=1C(C(=O)OC)=CC=CC1)(=O)OC</t>
  </si>
  <si>
    <t>C10H10O4</t>
  </si>
  <si>
    <t>C(CCCCC(=O)OCC)(=O)OCC</t>
  </si>
  <si>
    <t>C10H18O4</t>
  </si>
  <si>
    <t>C(CCCCCCCC(=O)OC)(=O)OC</t>
  </si>
  <si>
    <t>C(CCC(=O)OCCCC)(=O)OCCCC</t>
  </si>
  <si>
    <t>C(\C=C/C(=O)OCCCC)(=O)OCCCC</t>
  </si>
  <si>
    <t>C(CCCCCCCC(=O)OCC)(=O)OCC</t>
  </si>
  <si>
    <t>C13H24O4</t>
  </si>
  <si>
    <t>C(CCCCC(=O)OCCCC)(=O)OCCCC</t>
  </si>
  <si>
    <t>C14H26O4</t>
  </si>
  <si>
    <t>C(CCCCCCCCC(=O)OCC)(=O)OCC</t>
  </si>
  <si>
    <t>C(C=1C(C(=O)OCCCC)=CC=CC1)(=O)OCCCC</t>
  </si>
  <si>
    <t>C16H22O4</t>
  </si>
  <si>
    <t>C(C=1C(C(=O)OCCCCCC)=CC=CC1)(=O)OCCCCCC</t>
  </si>
  <si>
    <t>C20H30O4</t>
  </si>
  <si>
    <t>C(CCCCC(=O)OCCCCCCCC)(=O)OCCCCCCCC</t>
  </si>
  <si>
    <t>C22H42O4</t>
  </si>
  <si>
    <t>C(CCCCCCCCC)(=O)O</t>
  </si>
  <si>
    <t>C(CCCCCCC\C=C/C\C=C/CCCCC)(=O)O</t>
  </si>
  <si>
    <t>C(CCCCCCC\C=C/CCCCCCCC)(=O)O</t>
  </si>
  <si>
    <t>C(CCCCCCCCCCCCCCCCCCC)(=O)OC</t>
  </si>
  <si>
    <t>C(=C)OCCCCCCCCCCCC</t>
  </si>
  <si>
    <t>C14H28O</t>
  </si>
  <si>
    <t>C=C</t>
  </si>
  <si>
    <t>c</t>
  </si>
  <si>
    <t>Ester of Dicarboxylic Acids</t>
  </si>
  <si>
    <t>Ester: saturated</t>
  </si>
  <si>
    <t>Ester: Unsaturated</t>
  </si>
  <si>
    <t>Cyclic Alcohol</t>
  </si>
  <si>
    <t>Mod Louvain</t>
  </si>
  <si>
    <t>Mod Leiden</t>
  </si>
  <si>
    <t>LICSS Programs -  Kevin Lawson, September 2016</t>
  </si>
  <si>
    <t>Enable individual worksheets by selecting the column(s) containing Smiles strings and choosing &lt;Ctrl Shift M&gt;</t>
  </si>
  <si>
    <t>Esters: saturated</t>
  </si>
  <si>
    <t>Esters: Unsaturated</t>
  </si>
  <si>
    <t>Esters of Dicarboxylic Acids</t>
  </si>
  <si>
    <t>Saldana et al., 2011; Dahmen and Marquardt, 2015; Guo et al., 2298</t>
  </si>
  <si>
    <t>(±)-2-butanol</t>
  </si>
  <si>
    <t>Saldana et al., 2011; Dahmen and Marquardt, 2015; Guo et al., 2228</t>
  </si>
  <si>
    <t>2,3(s),4,5(s),6-pentamethylheptane</t>
  </si>
  <si>
    <t>diethyl adipate</t>
  </si>
  <si>
    <t>Saldana et al., 2011; Dahmen and Marquardt, 2015; Guo et al., 2276</t>
  </si>
  <si>
    <t>(3r,6r)-dimethyl-3-(beta-naphthyl)octane</t>
  </si>
  <si>
    <t xml:space="preserve">(r )-(+ )-limonene </t>
  </si>
  <si>
    <t>(9z,12z,15z)-octadeca-9,12,15-trienoic acid</t>
  </si>
  <si>
    <t>(2z)-phenylundec-2-ene</t>
  </si>
  <si>
    <t>2-phenyl-2-undecene</t>
  </si>
  <si>
    <t>2(r)-ethylhexan-1-ol</t>
  </si>
  <si>
    <t>ethyl linolenate</t>
  </si>
  <si>
    <t>linolenic acid</t>
  </si>
  <si>
    <t>dibutyl maleate</t>
  </si>
  <si>
    <t>1,1,3-trimethylcyclohexane</t>
  </si>
  <si>
    <t>n-octyldecalin</t>
  </si>
  <si>
    <t>(z)-?-bisabolene</t>
  </si>
  <si>
    <t>methyl 9-decenoate</t>
  </si>
  <si>
    <t>5-phenyleicosane</t>
  </si>
  <si>
    <t>ethyl (9z,12z)-octadeca-9,12-dienoate</t>
  </si>
  <si>
    <t>(7s,8s)-dimethyltetradecane</t>
  </si>
  <si>
    <t>gamma-decalactone</t>
  </si>
  <si>
    <t>4(s)-phenyldodecane</t>
  </si>
  <si>
    <t>(2z)-oct-2-ene</t>
  </si>
  <si>
    <t>(8z)-(7r,10s)-dimethylhexadec-8-ene</t>
  </si>
  <si>
    <t>(8e)-8-propylpentadec-8-ene</t>
  </si>
  <si>
    <t>2,3-bis[[(9z)-octadec-9-enoyl]oxy]propyl (9z)-octadec-9-enoate</t>
  </si>
  <si>
    <t>(9z)-hexadec-9-en-1-ol</t>
  </si>
  <si>
    <t>(9r,10s)-dipropyloctadecane</t>
  </si>
  <si>
    <t>(9s,10s)-dipropyloctadecane</t>
  </si>
  <si>
    <t>2(s)-phenyltetradecane</t>
  </si>
  <si>
    <t>2(s)-phenylundecane</t>
  </si>
  <si>
    <t>(11e)-(10r,13s)-dimethyldoeicos-11-ene</t>
  </si>
  <si>
    <t>(10r,13s)-dimethyldocosane</t>
  </si>
  <si>
    <t>2,5(s)-dimethylundecane</t>
  </si>
  <si>
    <t>(9r,10r)-dimethyloctadecane</t>
  </si>
  <si>
    <t>2,4,7,9-tetraoxadecane</t>
  </si>
  <si>
    <t>5(s)-cyclohexyleicosane</t>
  </si>
  <si>
    <t>(7r,8r)-diethyltetradecane</t>
  </si>
  <si>
    <t>(7r,8s)-diethyltetradecane</t>
  </si>
  <si>
    <t>decyl myristate</t>
  </si>
  <si>
    <t>tetradecyl acetate</t>
  </si>
  <si>
    <t>1-tetradecene</t>
  </si>
  <si>
    <t>lauryl laurate</t>
  </si>
  <si>
    <t>methyl arachidate</t>
  </si>
  <si>
    <t>1-methyl-4-propylbenzene</t>
  </si>
  <si>
    <t>1-methyl-4-isopropylbenzene</t>
  </si>
  <si>
    <t>3,3-dimethylhexane</t>
  </si>
  <si>
    <t>dimethyl adipate</t>
  </si>
  <si>
    <t>sec-(r)-butylbenzene</t>
  </si>
  <si>
    <t>methyl (2e,4e)-hexa-2,4-dienoate</t>
  </si>
  <si>
    <t>C1(=CC=C(C=C1)C)C</t>
  </si>
  <si>
    <t>1,4-dimethylbenzene (p-xylene)</t>
  </si>
  <si>
    <t>sec-(r)-butyltetralin</t>
  </si>
  <si>
    <t>sec-(s)-butyltetralin</t>
  </si>
  <si>
    <t>C1(=CC(=CC=C1)C)C</t>
  </si>
  <si>
    <t>1,3-dimethylbenzene (m-xylene)</t>
  </si>
  <si>
    <t>C=1(C(=CC=CC1)C)C</t>
  </si>
  <si>
    <t>indane</t>
  </si>
  <si>
    <t>1,2,3,4-tetrahydronaphthalene (tetralin)</t>
  </si>
  <si>
    <t>2,3(r),4,5(r),6-pentamethylheptane</t>
  </si>
  <si>
    <t>2,3(r),4,5(s),6-pentamethylheptane</t>
  </si>
  <si>
    <t>3-methoxy-3-methyl-_x000D_
1-butanol</t>
  </si>
  <si>
    <t>4-hydroxy-4-methyl-_x000D_
2-pentanone</t>
  </si>
  <si>
    <t>2-methyl-3-ethylpentane</t>
  </si>
  <si>
    <t>dibutyl succinate</t>
  </si>
  <si>
    <t>Saldana et al., 2011; Dahmen and Marquardt, 2015; Guo et al., 2268</t>
  </si>
  <si>
    <t>ethylene glycol vinyl_x000D_
ether</t>
  </si>
  <si>
    <t>2,2,3-trimethylpentane</t>
  </si>
  <si>
    <t>dimethyl malonate</t>
  </si>
  <si>
    <t>2,2,4,4,6(r),8,8-heptamethylnonane</t>
  </si>
  <si>
    <t>2,2,4,4,6(s),8,8-heptamethylnonane</t>
  </si>
  <si>
    <t>1,1,3-trimethylcyclopentane</t>
  </si>
  <si>
    <t>1,1,2-trimethylcyclopropane</t>
  </si>
  <si>
    <t>3,3-diethylpentane</t>
  </si>
  <si>
    <t>(3r,6s)-dimethyl-3-(beta-naphthyl)octane</t>
  </si>
  <si>
    <t>(3s,6r)-dimethyl-3-(beta-naphthyl)octane</t>
  </si>
  <si>
    <t>(3s,6s)-dimethyl-3-(beta-naphthyl)octane</t>
  </si>
  <si>
    <t>3(r)-methyl-3-decalylnonane</t>
  </si>
  <si>
    <t>3(s)-methyl-3-decalylnonane</t>
  </si>
  <si>
    <t>1,2,4-trimethylcyclopentane</t>
  </si>
  <si>
    <t>dimethyl phthalate</t>
  </si>
  <si>
    <t>1-pentene</t>
  </si>
  <si>
    <t>2-methyl-1-butene</t>
  </si>
  <si>
    <t>(4r,5r)-diethyloctane</t>
  </si>
  <si>
    <t>(4r,5s)-diethyloctane</t>
  </si>
  <si>
    <t>(4s,5s)-diethyloctane</t>
  </si>
  <si>
    <t>Saldana et al., 2011; Dahmen and Marquardt, 2015; Guo et al., 2297</t>
  </si>
  <si>
    <t>diethyl oxalate</t>
  </si>
  <si>
    <t>diethyl succinate</t>
  </si>
  <si>
    <t>2,3(r)-dimethylpentane</t>
  </si>
  <si>
    <t>2,3(s)-dimethylpentane</t>
  </si>
  <si>
    <t>Saldana et al., 2011; Dahmen and Marquardt, 2015; Guo et al., 2231</t>
  </si>
  <si>
    <t>1-ethyl-3-methylcyclopentane</t>
  </si>
  <si>
    <t>methyl (9z,12z,15z)-octadeca-9,12,15-trienoate</t>
  </si>
  <si>
    <t>(2e)-phenylundec-2-ene</t>
  </si>
  <si>
    <t>2,3-bis[[(9z,12z,15z)-octadeca-9,12,15-trienoyl]oxy]propyl</t>
  </si>
  <si>
    <t>3,4-dihydro-2h-pyran</t>
  </si>
  <si>
    <t>(6e)-2,6,7-trimethyltridec-2,6-diene</t>
  </si>
  <si>
    <t xml:space="preserve">2,6,7-trimethyl-2,6-tridecadiene </t>
  </si>
  <si>
    <t>dimethyl azelate</t>
  </si>
  <si>
    <t>propylene glycol monomethyl ether acetate (1-methoxy-2-propyl acetate)</t>
  </si>
  <si>
    <t>Saldana et al., 2011; Dahmen and Marquardt, 2015; Guo et al., 2323</t>
  </si>
  <si>
    <t>1,3-dimethylcyclopentane</t>
  </si>
  <si>
    <t>n-propyl linolenate</t>
  </si>
  <si>
    <t>4-methyl-1-cyclohexene</t>
  </si>
  <si>
    <t>dibutyl (2z)-but-2-enedioate</t>
  </si>
  <si>
    <t>Saldana et al., 2011; Dahmen and Marquardt, 2015; Guo et al., 2357</t>
  </si>
  <si>
    <t>butyl (9z,12z,15z)-octadeca-9,12,15-trienoate</t>
  </si>
  <si>
    <t>1,1,2-trimethylcyclohexane</t>
  </si>
  <si>
    <t>butyl linolenate</t>
  </si>
  <si>
    <t>dimethoxymethane (pode1)</t>
  </si>
  <si>
    <t>1,2,3-trimethylcyclohexane</t>
  </si>
  <si>
    <t>tert-butylcyclohexane</t>
  </si>
  <si>
    <t>linoleic acid</t>
  </si>
  <si>
    <t>Saldana et al., 2011; Dahmen and Marquardt, 2015; Guo et al., 2187</t>
  </si>
  <si>
    <t>Saldana et al., 2011; Dahmen and Marquardt, 2015; Guo et al., 2347</t>
  </si>
  <si>
    <t>n-butyldecalin</t>
  </si>
  <si>
    <t>4-vinyl-1-cyclohexene</t>
  </si>
  <si>
    <t>2,3-bis[[(9z,12z)-octadeca-9,12-dienoyl]oxy]propyl</t>
  </si>
  <si>
    <t>2(r)-phenyloctane</t>
  </si>
  <si>
    <t>2(s)-phenyloctane</t>
  </si>
  <si>
    <t>sec-(s)butyldecalin</t>
  </si>
  <si>
    <t>1,1,2,4-tetramethylcyclopentane</t>
  </si>
  <si>
    <t>Saldana et al., 2011; Dahmen and Marquardt, 2015; Guo et al., 2348</t>
  </si>
  <si>
    <t>alpha-n-propyldecalin</t>
  </si>
  <si>
    <t>7(r)-7-butyltridec-1-ene</t>
  </si>
  <si>
    <t>7(s)-7-butyltridec-1-ene</t>
  </si>
  <si>
    <t>3-hexanylcyclohexane</t>
  </si>
  <si>
    <t>3(r)-cyclohexylhexane</t>
  </si>
  <si>
    <t>3(s)-cyclohexylhexane</t>
  </si>
  <si>
    <t>n-propylcyclopentane</t>
  </si>
  <si>
    <t>2,2-dimethylheptane</t>
  </si>
  <si>
    <t>vinyl cyclohexane</t>
  </si>
  <si>
    <t>dibutyl phthalate</t>
  </si>
  <si>
    <t>perhydro-phenanthrene</t>
  </si>
  <si>
    <t>5(r)-phenyleicosane</t>
  </si>
  <si>
    <t>5(s)-phenyleicosane</t>
  </si>
  <si>
    <t>2,7-dimethyl-(4r,5r)-diethyloctane</t>
  </si>
  <si>
    <t>2,7-dimethyl-(4r,5s)-diethyloctane</t>
  </si>
  <si>
    <t>2,7-dimethyl-(4s,5s)-diethyloctane</t>
  </si>
  <si>
    <t>2-ethoxyethyl acetate</t>
  </si>
  <si>
    <t>(7r,8r)-dimethyltetradecane</t>
  </si>
  <si>
    <t>(7r,8s)-dimethyltetradecane</t>
  </si>
  <si>
    <t>(9z,12z,15z)-octadeca-9,12,15-trien-1-ol</t>
  </si>
  <si>
    <t>Saldana et al., 2011; Dahmen and Marquardt, 2015; Guo et al., 2179</t>
  </si>
  <si>
    <t>methyl (9z,12z)-octadeca-9,12-dienoate</t>
  </si>
  <si>
    <t>propyl (9z,12z)-octadeca-9,12-dienoate</t>
  </si>
  <si>
    <t>(2e)-oct-2-ene</t>
  </si>
  <si>
    <t>(8e)-(7r,10r)-dimethylhexadec-8-ene</t>
  </si>
  <si>
    <t>(8e)-(7r,10s)-dimethylhexadec-8-ene</t>
  </si>
  <si>
    <t>(8e)-(7s,10s)-dimethylhexadec-8-ene</t>
  </si>
  <si>
    <t>(8z)-(7r,10r)-dimethylhexadec-8-ene</t>
  </si>
  <si>
    <t>(9z,12z)-octadeca-9,12-dien-1-ol</t>
  </si>
  <si>
    <t>(2e)-hept-2-ene</t>
  </si>
  <si>
    <t>(2z)-hept-2-ene</t>
  </si>
  <si>
    <t>(4z)-4-butyldodec-4-ene</t>
  </si>
  <si>
    <t>(4z)-5-butyldodec-4-ene</t>
  </si>
  <si>
    <t>(5e)-5-butyldodec-4-ene</t>
  </si>
  <si>
    <t>Saldana et al., 2011; Dahmen and Marquardt, 2015; Guo et al., 2301</t>
  </si>
  <si>
    <t>oleic acid</t>
  </si>
  <si>
    <t>(9z)-octadec-9-enoic acid</t>
  </si>
  <si>
    <t>diethyl azelate</t>
  </si>
  <si>
    <t>diethyl sebacate</t>
  </si>
  <si>
    <t>(9r,10r)-dipropyloctadecane</t>
  </si>
  <si>
    <t>butyl (9z,12z)-octadeca-9,12-dienoate</t>
  </si>
  <si>
    <t>iso-butylcyclopentane</t>
  </si>
  <si>
    <t>decanoic acid</t>
  </si>
  <si>
    <t>dihexyl phthalate</t>
  </si>
  <si>
    <t>2-methyloctane</t>
  </si>
  <si>
    <t>2(r)-phenyltetradecane</t>
  </si>
  <si>
    <t>iso-butylcyclohexane</t>
  </si>
  <si>
    <t>(9z)-octadec-9-en-1-ol</t>
  </si>
  <si>
    <t>2,6-dimethyl-1-heptene</t>
  </si>
  <si>
    <t>2(r)-phenylundecane</t>
  </si>
  <si>
    <t>methyl (9z)-hexadec-9-enoate</t>
  </si>
  <si>
    <t>(11e)-(10r,13r)-dimethyldoeicos-11-ene</t>
  </si>
  <si>
    <t>(11e)-(10s,13s)-dimethyldoeicos-11-ene</t>
  </si>
  <si>
    <t>(11z)-(10r,13r)-dimethyldoeicos-11-ene</t>
  </si>
  <si>
    <t>(11z)-(10r,13s)-dimethyldoeicos-11-ene</t>
  </si>
  <si>
    <t>(11z)-(10s,13s)-dimethyldoeicos-11-ene</t>
  </si>
  <si>
    <t>(10r,13r)-dimethyldocosane</t>
  </si>
  <si>
    <t>(10s,13s)-dimethyldocosane</t>
  </si>
  <si>
    <t>2(s)-cyclohexyltetradecane</t>
  </si>
  <si>
    <t>1,1-diethoxyethane</t>
  </si>
  <si>
    <t>1-methyl-2-propylcyclohexane</t>
  </si>
  <si>
    <t>propyl (9z)-octadec-9-enoate</t>
  </si>
  <si>
    <t>(9r,10s)-dimethyloctadecane</t>
  </si>
  <si>
    <t>(9s,10s)-dimethyloctadecane</t>
  </si>
  <si>
    <t>isobutyl (9z)-octadec-9-enoate</t>
  </si>
  <si>
    <t>2,6,10-trimethyltridecane</t>
  </si>
  <si>
    <t>ethyl (9z)-octadec-9-enoate</t>
  </si>
  <si>
    <t>decyl valerate</t>
  </si>
  <si>
    <t>decyl acetate</t>
  </si>
  <si>
    <t>2-methyl-3(r)-cyclohexylnonane</t>
  </si>
  <si>
    <t>1-undecene</t>
  </si>
  <si>
    <t>(9e)-9-methylheptadec-9-ene</t>
  </si>
  <si>
    <t>(9z)-9-methylheptadec-9-ene</t>
  </si>
  <si>
    <t>5(r)-cyclohexyleicosane</t>
  </si>
  <si>
    <t>Saldana et al., 2011; Dahmen and Marquardt, 2015; Guo et al., 2302</t>
  </si>
  <si>
    <t>dodecyl valerate</t>
  </si>
  <si>
    <t>(7s,8s)-diethyltetradecane</t>
  </si>
  <si>
    <t>hexadecyl valerate</t>
  </si>
  <si>
    <t>propyl myristate</t>
  </si>
  <si>
    <t>octyl myristate</t>
  </si>
  <si>
    <t>sec-butyl (9z)-octadec-9-enoate</t>
  </si>
  <si>
    <t>hexyl myristate</t>
  </si>
  <si>
    <t>ethyl laurate</t>
  </si>
  <si>
    <t>hexyl laurate</t>
  </si>
  <si>
    <t>lauryl myristate</t>
  </si>
  <si>
    <t>dibutoxymethane</t>
  </si>
  <si>
    <t>dodecyl acetate</t>
  </si>
  <si>
    <t>1-octadecanol</t>
  </si>
  <si>
    <t>dibutyl adipate</t>
  </si>
  <si>
    <t>decyl decanoate</t>
  </si>
  <si>
    <t>8-hexylpentadecane</t>
  </si>
  <si>
    <t>decyl laurate</t>
  </si>
  <si>
    <t>isopropyl (9z)-octadec-9-enoate</t>
  </si>
  <si>
    <t>hexadecyl dodecanoate</t>
  </si>
  <si>
    <t>2-ethylhexyl (9z)-octadec-9-enoate</t>
  </si>
  <si>
    <t>dioctyl adipate</t>
  </si>
  <si>
    <t>1-octadecene</t>
  </si>
  <si>
    <t>octadecyl acetate</t>
  </si>
  <si>
    <t>decyl palmitate</t>
  </si>
  <si>
    <t>2-methylpropane</t>
  </si>
  <si>
    <t>sec-(s)-butylbenzene</t>
  </si>
  <si>
    <t>n-propyltetralin</t>
  </si>
  <si>
    <t>2,2,4,5,6-pentamethylheptane</t>
  </si>
  <si>
    <t>Saldana et al., 2011; Dahmen and Marquardt, 2015; Guo et al., 2157</t>
  </si>
  <si>
    <t>2,3,3-trimethylpentane</t>
  </si>
  <si>
    <t>2(s)-ethylhexan-1-ol</t>
  </si>
  <si>
    <t>(6z)-2,6,7-trimethyltridec-2,6-diene</t>
  </si>
  <si>
    <t>ethyl (9z,12z,15z)-octadeca-9,12,15-trienoate</t>
  </si>
  <si>
    <t>propyl (9z,12z,15z)-octadeca-9,12,15-trienoate</t>
  </si>
  <si>
    <t>2,3-dimethylhexane</t>
  </si>
  <si>
    <t>sec-(r)butyldecalin</t>
  </si>
  <si>
    <t>sec-butylcyclohexane</t>
  </si>
  <si>
    <t>methyl-9-decenoate</t>
  </si>
  <si>
    <t>4(r)-phenyldodecane</t>
  </si>
  <si>
    <t>2-ethyladamantane</t>
  </si>
  <si>
    <t>(8z)-(7s,10s)-dimethylhexadec-8-ene</t>
  </si>
  <si>
    <t>(4e)-4-butyldodec-4-ene</t>
  </si>
  <si>
    <t>(8z)-8-propylpentadec-8-ene</t>
  </si>
  <si>
    <t>7-hexyl-7-pentadecene</t>
  </si>
  <si>
    <t>octyl valerate</t>
  </si>
  <si>
    <t>methyl (9z)-octadec-9-enoate</t>
  </si>
  <si>
    <t>2(r)-cyclohexyltetradecane</t>
  </si>
  <si>
    <t>2,5(r)-dimethylundecane</t>
  </si>
  <si>
    <t>2-methyl-3(s)-cyclohexylnonane</t>
  </si>
  <si>
    <t>tetradecyl valerate</t>
  </si>
  <si>
    <t>octyl laurate</t>
  </si>
  <si>
    <t>Revisar</t>
  </si>
  <si>
    <t>ID</t>
  </si>
  <si>
    <t>SMILE</t>
  </si>
  <si>
    <t xml:space="preserve">Aromaticos </t>
  </si>
  <si>
    <t>Conteo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</si>
</sst>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indexed="56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theme="1"/>
      </top>
      <bottom/>
      <diagonal/>
    </border>
    <border>
      <left style="medium">
        <color indexed="36"/>
      </left>
      <right style="medium">
        <color indexed="36"/>
      </right>
      <top style="medium">
        <color indexed="36"/>
      </top>
      <bottom/>
      <diagonal/>
    </border>
    <border>
      <left style="medium">
        <color indexed="36"/>
      </left>
      <right style="medium">
        <color indexed="36"/>
      </right>
      <top/>
      <bottom style="medium">
        <color indexed="36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6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0" fillId="0" borderId="0" xfId="0" applyFont="1" applyFill="1" applyBorder="1"/>
    <xf numFmtId="9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Border="1"/>
    <xf numFmtId="0" fontId="0" fillId="0" borderId="0" xfId="0" applyFont="1" applyBorder="1"/>
    <xf numFmtId="0" fontId="0" fillId="0" borderId="0" xfId="0" applyAlignme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14" fontId="0" fillId="0" borderId="0" xfId="0" applyNumberFormat="1" applyBorder="1"/>
    <xf numFmtId="1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Fill="1"/>
    <xf numFmtId="16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ill="1" applyAlignment="1"/>
    <xf numFmtId="0" fontId="7" fillId="0" borderId="0" xfId="0" applyFont="1" applyBorder="1"/>
    <xf numFmtId="0" fontId="7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left"/>
    </xf>
    <xf numFmtId="2" fontId="0" fillId="0" borderId="0" xfId="0" applyNumberFormat="1" applyFont="1" applyFill="1"/>
    <xf numFmtId="0" fontId="0" fillId="0" borderId="0" xfId="0" applyFill="1"/>
    <xf numFmtId="0" fontId="8" fillId="0" borderId="4" xfId="0" applyFont="1" applyFill="1" applyBorder="1"/>
    <xf numFmtId="0" fontId="1" fillId="2" borderId="2" xfId="0" applyFont="1" applyFill="1" applyBorder="1"/>
    <xf numFmtId="0" fontId="1" fillId="0" borderId="0" xfId="0" applyFont="1" applyFill="1"/>
    <xf numFmtId="0" fontId="0" fillId="0" borderId="0" xfId="0" applyNumberFormat="1" applyFont="1" applyFill="1" applyAlignment="1">
      <alignment horizontal="left"/>
    </xf>
    <xf numFmtId="0" fontId="0" fillId="0" borderId="0" xfId="0" applyFill="1" applyBorder="1" applyAlignment="1">
      <alignment horizontal="left"/>
    </xf>
    <xf numFmtId="0" fontId="1" fillId="2" borderId="5" xfId="0" applyFont="1" applyFill="1" applyBorder="1"/>
    <xf numFmtId="1" fontId="0" fillId="0" borderId="0" xfId="0" applyNumberFormat="1" applyFont="1" applyFill="1" applyBorder="1"/>
    <xf numFmtId="165" fontId="0" fillId="0" borderId="0" xfId="0" applyNumberFormat="1" applyFont="1" applyFill="1" applyBorder="1"/>
    <xf numFmtId="0" fontId="9" fillId="3" borderId="6" xfId="0" applyFont="1" applyFill="1" applyBorder="1" applyAlignment="1">
      <alignment horizontal="center" wrapText="1" readingOrder="1"/>
    </xf>
    <xf numFmtId="0" fontId="11" fillId="3" borderId="7" xfId="3" quotePrefix="1" applyFont="1" applyFill="1" applyBorder="1" applyAlignment="1" applyProtection="1">
      <alignment horizontal="center" wrapText="1" readingOrder="1"/>
    </xf>
    <xf numFmtId="0" fontId="0" fillId="4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5" borderId="2" xfId="0" applyFont="1" applyFill="1" applyBorder="1"/>
    <xf numFmtId="0" fontId="0" fillId="0" borderId="8" xfId="0" applyFont="1" applyBorder="1"/>
    <xf numFmtId="0" fontId="0" fillId="4" borderId="8" xfId="0" applyFont="1" applyFill="1" applyBorder="1"/>
    <xf numFmtId="0" fontId="0" fillId="4" borderId="9" xfId="0" applyFont="1" applyFill="1" applyBorder="1"/>
    <xf numFmtId="1" fontId="0" fillId="6" borderId="0" xfId="0" applyNumberFormat="1" applyFont="1" applyFill="1" applyBorder="1"/>
    <xf numFmtId="165" fontId="0" fillId="6" borderId="0" xfId="0" applyNumberFormat="1" applyFont="1" applyFill="1" applyBorder="1"/>
    <xf numFmtId="1" fontId="0" fillId="6" borderId="10" xfId="0" applyNumberFormat="1" applyFont="1" applyFill="1" applyBorder="1"/>
    <xf numFmtId="1" fontId="0" fillId="6" borderId="3" xfId="0" applyNumberFormat="1" applyFont="1" applyFill="1" applyBorder="1"/>
    <xf numFmtId="165" fontId="0" fillId="6" borderId="3" xfId="0" applyNumberFormat="1" applyFont="1" applyFill="1" applyBorder="1"/>
    <xf numFmtId="0" fontId="0" fillId="0" borderId="8" xfId="0" applyFont="1" applyFill="1" applyBorder="1"/>
    <xf numFmtId="0" fontId="1" fillId="5" borderId="2" xfId="0" applyFont="1" applyFill="1" applyBorder="1" applyAlignment="1">
      <alignment horizontal="center"/>
    </xf>
    <xf numFmtId="1" fontId="0" fillId="0" borderId="0" xfId="0" applyNumberFormat="1"/>
    <xf numFmtId="0" fontId="1" fillId="5" borderId="2" xfId="0" applyFont="1" applyFill="1" applyBorder="1" applyAlignment="1"/>
    <xf numFmtId="0" fontId="1" fillId="5" borderId="0" xfId="0" applyFont="1" applyFill="1" applyBorder="1" applyAlignment="1">
      <alignment horizontal="center"/>
    </xf>
  </cellXfs>
  <cellStyles count="4">
    <cellStyle name="Hipervínculo" xfId="3" builtinId="8"/>
    <cellStyle name="Normal" xfId="0" builtinId="0"/>
    <cellStyle name="Normal 2" xfId="1" xr:uid="{73FF1C2B-5577-4F3B-A443-B8F61F421BB2}"/>
    <cellStyle name="Porcentaje 2" xfId="2" xr:uid="{5A5DE53C-7CA6-4683-B8CE-005FF5BDCE44}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theme="7"/>
          <bgColor auto="1"/>
        </patternFill>
      </fill>
    </dxf>
  </dxfs>
  <tableStyles count="0" defaultTableStyle="TableStyleMedium2" defaultPivotStyle="PivotStyleLight16"/>
  <colors>
    <mruColors>
      <color rgb="FF00FFFF"/>
      <color rgb="FF00FF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MIII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EA-4A4D-8692-D807BD404FC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EA-4A4D-8692-D807BD404F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Resultados!$L$2:$M$2</c:f>
              <c:strCache>
                <c:ptCount val="2"/>
                <c:pt idx="0">
                  <c:v>No cumple</c:v>
                </c:pt>
                <c:pt idx="1">
                  <c:v>Cumple</c:v>
                </c:pt>
              </c:strCache>
            </c:strRef>
          </c:cat>
          <c:val>
            <c:numRef>
              <c:f>Resultados!$L$3:$M$3</c:f>
              <c:numCache>
                <c:formatCode>0</c:formatCode>
                <c:ptCount val="2"/>
                <c:pt idx="0">
                  <c:v>347</c:v>
                </c:pt>
                <c:pt idx="1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B-4B2C-8D23-AD657B91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Perfomance CN</a:t>
            </a:r>
          </a:p>
        </c:rich>
      </c:tx>
      <c:layout>
        <c:manualLayout>
          <c:xMode val="edge"/>
          <c:yMode val="edge"/>
          <c:x val="0.4107236742312540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Perfomance Viscosity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Resultados!$S$3:$S$22</c:f>
              <c:strCache>
                <c:ptCount val="20"/>
                <c:pt idx="0">
                  <c:v>Alcohol</c:v>
                </c:pt>
                <c:pt idx="1">
                  <c:v>Aldehyde</c:v>
                </c:pt>
                <c:pt idx="2">
                  <c:v>Alkene</c:v>
                </c:pt>
                <c:pt idx="3">
                  <c:v>Aromatic</c:v>
                </c:pt>
                <c:pt idx="4">
                  <c:v>Carboxylic Acids</c:v>
                </c:pt>
                <c:pt idx="5">
                  <c:v>Cyclic Alcohol</c:v>
                </c:pt>
                <c:pt idx="6">
                  <c:v>Cyclic Ether</c:v>
                </c:pt>
                <c:pt idx="7">
                  <c:v>Cyclic Ketone</c:v>
                </c:pt>
                <c:pt idx="8">
                  <c:v>cyclo-alkane</c:v>
                </c:pt>
                <c:pt idx="9">
                  <c:v>Ester</c:v>
                </c:pt>
                <c:pt idx="10">
                  <c:v>Esters of Dicarboxylic Acids</c:v>
                </c:pt>
                <c:pt idx="11">
                  <c:v>Esters: saturated</c:v>
                </c:pt>
                <c:pt idx="12">
                  <c:v>Esters: Unsaturated</c:v>
                </c:pt>
                <c:pt idx="13">
                  <c:v>Ether</c:v>
                </c:pt>
                <c:pt idx="14">
                  <c:v>Furans</c:v>
                </c:pt>
                <c:pt idx="15">
                  <c:v>iso-alkane</c:v>
                </c:pt>
                <c:pt idx="16">
                  <c:v>Ketone</c:v>
                </c:pt>
                <c:pt idx="17">
                  <c:v>Lactone</c:v>
                </c:pt>
                <c:pt idx="18">
                  <c:v>n-Alkane</c:v>
                </c:pt>
                <c:pt idx="19">
                  <c:v>Polyfunctional</c:v>
                </c:pt>
              </c:strCache>
            </c:strRef>
          </c:cat>
          <c:val>
            <c:numRef>
              <c:f>Resultados!$W$3:$W$22</c:f>
              <c:numCache>
                <c:formatCode>0.0</c:formatCode>
                <c:ptCount val="20"/>
                <c:pt idx="0">
                  <c:v>57.575757575757578</c:v>
                </c:pt>
                <c:pt idx="1">
                  <c:v>66.666666666666657</c:v>
                </c:pt>
                <c:pt idx="2">
                  <c:v>45.652173913043477</c:v>
                </c:pt>
                <c:pt idx="3">
                  <c:v>35.294117647058826</c:v>
                </c:pt>
                <c:pt idx="4">
                  <c:v>25</c:v>
                </c:pt>
                <c:pt idx="5">
                  <c:v>62.5</c:v>
                </c:pt>
                <c:pt idx="6">
                  <c:v>50</c:v>
                </c:pt>
                <c:pt idx="7">
                  <c:v>25</c:v>
                </c:pt>
                <c:pt idx="8">
                  <c:v>37.313432835820898</c:v>
                </c:pt>
                <c:pt idx="9">
                  <c:v>51.351351351351347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48</c:v>
                </c:pt>
                <c:pt idx="14">
                  <c:v>40</c:v>
                </c:pt>
                <c:pt idx="15">
                  <c:v>41.791044776119399</c:v>
                </c:pt>
                <c:pt idx="16">
                  <c:v>45.454545454545453</c:v>
                </c:pt>
                <c:pt idx="17">
                  <c:v>75</c:v>
                </c:pt>
                <c:pt idx="18">
                  <c:v>51.219512195121951</c:v>
                </c:pt>
                <c:pt idx="19">
                  <c:v>62.820512820512818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E4-457F-A62F-87077FD19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720640"/>
        <c:axId val="1720721056"/>
      </c:radarChart>
      <c:catAx>
        <c:axId val="1720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0721056"/>
        <c:crosses val="autoZero"/>
        <c:auto val="1"/>
        <c:lblAlgn val="ctr"/>
        <c:lblOffset val="100"/>
        <c:noMultiLvlLbl val="0"/>
      </c:catAx>
      <c:valAx>
        <c:axId val="172072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050"/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072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D2-4E01-93CB-84EA2006962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0D2-4E01-93CB-84EA20069624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D2-4E01-93CB-84EA200696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0D2-4E01-93CB-84EA20069624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0D2-4E01-93CB-84EA20069624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0D2-4E01-93CB-84EA20069624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0D2-4E01-93CB-84EA20069624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0D2-4E01-93CB-84EA20069624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0D2-4E01-93CB-84EA20069624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0D2-4E01-93CB-84EA200696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0D2-4E01-93CB-84EA20069624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0D2-4E01-93CB-84EA20069624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0D2-4E01-93CB-84EA20069624}"/>
              </c:ext>
            </c:extLst>
          </c:dPt>
          <c:dPt>
            <c:idx val="1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0D2-4E01-93CB-84EA20069624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0D2-4E01-93CB-84EA20069624}"/>
              </c:ext>
            </c:extLst>
          </c:dPt>
          <c:dPt>
            <c:idx val="1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0D2-4E01-93CB-84EA2006962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0D2-4E01-93CB-84EA20069624}"/>
              </c:ext>
            </c:extLst>
          </c:dPt>
          <c:dPt>
            <c:idx val="1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0D2-4E01-93CB-84EA20069624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0D2-4E01-93CB-84EA20069624}"/>
              </c:ext>
            </c:extLst>
          </c:dPt>
          <c:dPt>
            <c:idx val="1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0D2-4E01-93CB-84EA200696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Resultados!$S$3:$S$22</c:f>
              <c:strCache>
                <c:ptCount val="20"/>
                <c:pt idx="0">
                  <c:v>Alcohol</c:v>
                </c:pt>
                <c:pt idx="1">
                  <c:v>Aldehyde</c:v>
                </c:pt>
                <c:pt idx="2">
                  <c:v>Alkene</c:v>
                </c:pt>
                <c:pt idx="3">
                  <c:v>Aromatic</c:v>
                </c:pt>
                <c:pt idx="4">
                  <c:v>Carboxylic Acids</c:v>
                </c:pt>
                <c:pt idx="5">
                  <c:v>Cyclic Alcohol</c:v>
                </c:pt>
                <c:pt idx="6">
                  <c:v>Cyclic Ether</c:v>
                </c:pt>
                <c:pt idx="7">
                  <c:v>Cyclic Ketone</c:v>
                </c:pt>
                <c:pt idx="8">
                  <c:v>cyclo-alkane</c:v>
                </c:pt>
                <c:pt idx="9">
                  <c:v>Ester</c:v>
                </c:pt>
                <c:pt idx="10">
                  <c:v>Esters of Dicarboxylic Acids</c:v>
                </c:pt>
                <c:pt idx="11">
                  <c:v>Esters: saturated</c:v>
                </c:pt>
                <c:pt idx="12">
                  <c:v>Esters: Unsaturated</c:v>
                </c:pt>
                <c:pt idx="13">
                  <c:v>Ether</c:v>
                </c:pt>
                <c:pt idx="14">
                  <c:v>Furans</c:v>
                </c:pt>
                <c:pt idx="15">
                  <c:v>iso-alkane</c:v>
                </c:pt>
                <c:pt idx="16">
                  <c:v>Ketone</c:v>
                </c:pt>
                <c:pt idx="17">
                  <c:v>Lactone</c:v>
                </c:pt>
                <c:pt idx="18">
                  <c:v>n-Alkane</c:v>
                </c:pt>
                <c:pt idx="19">
                  <c:v>Polyfunctional</c:v>
                </c:pt>
              </c:strCache>
            </c:strRef>
          </c:cat>
          <c:val>
            <c:numRef>
              <c:f>Resultados!$T$3:$T$22</c:f>
              <c:numCache>
                <c:formatCode>0</c:formatCode>
                <c:ptCount val="20"/>
                <c:pt idx="0">
                  <c:v>66</c:v>
                </c:pt>
                <c:pt idx="1">
                  <c:v>6</c:v>
                </c:pt>
                <c:pt idx="2">
                  <c:v>92</c:v>
                </c:pt>
                <c:pt idx="3">
                  <c:v>102</c:v>
                </c:pt>
                <c:pt idx="4">
                  <c:v>4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67</c:v>
                </c:pt>
                <c:pt idx="9">
                  <c:v>74</c:v>
                </c:pt>
                <c:pt idx="10">
                  <c:v>15</c:v>
                </c:pt>
                <c:pt idx="11">
                  <c:v>47</c:v>
                </c:pt>
                <c:pt idx="12">
                  <c:v>15</c:v>
                </c:pt>
                <c:pt idx="13">
                  <c:v>25</c:v>
                </c:pt>
                <c:pt idx="14">
                  <c:v>5</c:v>
                </c:pt>
                <c:pt idx="15">
                  <c:v>67</c:v>
                </c:pt>
                <c:pt idx="16">
                  <c:v>11</c:v>
                </c:pt>
                <c:pt idx="17">
                  <c:v>4</c:v>
                </c:pt>
                <c:pt idx="18">
                  <c:v>41</c:v>
                </c:pt>
                <c:pt idx="19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D2-4E01-93CB-84EA2006962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/>
    <cx:plotArea>
      <cx:plotAreaRegion>
        <cx:series layoutId="clusteredColumn" uniqueId="{9129DCAE-C760-4AAF-A6AE-BB42182633A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38100</xdr:rowOff>
        </xdr:from>
        <xdr:to>
          <xdr:col>5</xdr:col>
          <xdr:colOff>600075</xdr:colOff>
          <xdr:row>28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580181</xdr:colOff>
      <xdr:row>29</xdr:row>
      <xdr:rowOff>62906</xdr:rowOff>
    </xdr:from>
    <xdr:to>
      <xdr:col>17</xdr:col>
      <xdr:colOff>533819</xdr:colOff>
      <xdr:row>44</xdr:row>
      <xdr:rowOff>48136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589293</xdr:colOff>
      <xdr:row>5</xdr:row>
      <xdr:rowOff>60410</xdr:rowOff>
    </xdr:from>
    <xdr:to>
      <xdr:col>17</xdr:col>
      <xdr:colOff>523351</xdr:colOff>
      <xdr:row>28</xdr:row>
      <xdr:rowOff>177939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561031</xdr:colOff>
      <xdr:row>44</xdr:row>
      <xdr:rowOff>114718</xdr:rowOff>
    </xdr:from>
    <xdr:to>
      <xdr:col>27</xdr:col>
      <xdr:colOff>198873</xdr:colOff>
      <xdr:row>77</xdr:row>
      <xdr:rowOff>20933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55168FA-5F03-439A-813D-EB13A2D6A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11</xdr:row>
      <xdr:rowOff>147637</xdr:rowOff>
    </xdr:from>
    <xdr:to>
      <xdr:col>16</xdr:col>
      <xdr:colOff>409575</xdr:colOff>
      <xdr:row>26</xdr:row>
      <xdr:rowOff>33337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F2EFB350-033F-4F79-862F-DBA80B9EF3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53700" y="22812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a7" displayName="Tabla7" ref="A1:AJ738" totalsRowShown="0" headerRowDxfId="68" dataDxfId="67">
  <autoFilter ref="A1:AJ738" xr:uid="{00000000-0009-0000-0100-000007000000}"/>
  <sortState xmlns:xlrd2="http://schemas.microsoft.com/office/spreadsheetml/2017/richdata2" ref="A2:AJ738">
    <sortCondition ref="AJ1:AJ738"/>
  </sortState>
  <tableColumns count="36">
    <tableColumn id="1" xr3:uid="{00000000-0010-0000-0000-000001000000}" name="No" dataDxfId="66"/>
    <tableColumn id="2" xr3:uid="{00000000-0010-0000-0000-000002000000}" name="SMILES" dataDxfId="65"/>
    <tableColumn id="41" xr3:uid="{1DC23AE5-C1CE-422D-81E8-BE0AF35DBD04}" name="Name" dataDxfId="64"/>
    <tableColumn id="3" xr3:uid="{00000000-0010-0000-0000-000003000000}" name="Class" dataDxfId="63"/>
    <tableColumn id="4" xr3:uid="{00000000-0010-0000-0000-000004000000}" name="Formula" dataDxfId="62"/>
    <tableColumn id="42" xr3:uid="{9AA7EF6A-B5C9-44D7-9FC5-A806801F51DF}" name="Molecular mass (g/mol)" dataDxfId="61"/>
    <tableColumn id="5" xr3:uid="{00000000-0010-0000-0000-000005000000}" name="CN_literature" dataDxfId="60"/>
    <tableColumn id="36" xr3:uid="{A356E73F-A2E5-48A9-9E5E-B04E5C5FD1BD}" name="dnAB" dataDxfId="59"/>
    <tableColumn id="7" xr3:uid="{00000000-0010-0000-0000-000007000000}" name="C=C" dataDxfId="58"/>
    <tableColumn id="8" xr3:uid="{00000000-0010-0000-0000-000008000000}" name="c" dataDxfId="57"/>
    <tableColumn id="9" xr3:uid="{00000000-0010-0000-0000-000009000000}" name="dnCCDB" dataDxfId="56"/>
    <tableColumn id="10" xr3:uid="{00000000-0010-0000-0000-00000A000000}" name="dnQC" dataDxfId="55"/>
    <tableColumn id="11" xr3:uid="{00000000-0010-0000-0000-00000B000000}" name="g-CH3" dataDxfId="54"/>
    <tableColumn id="12" xr3:uid="{00000000-0010-0000-0000-00000C000000}" name="g-CH2-(linear)" dataDxfId="53"/>
    <tableColumn id="13" xr3:uid="{00000000-0010-0000-0000-00000D000000}" name="g-OH" dataDxfId="52"/>
    <tableColumn id="14" xr3:uid="{00000000-0010-0000-0000-00000E000000}" name="g-O-(linear) eter" dataDxfId="51"/>
    <tableColumn id="15" xr3:uid="{00000000-0010-0000-0000-00000F000000}" name="g-O-(ring)" dataDxfId="50"/>
    <tableColumn id="16" xr3:uid="{00000000-0010-0000-0000-000010000000}" name="g&gt;C=O(linear) cet" dataDxfId="49"/>
    <tableColumn id="17" xr3:uid="{00000000-0010-0000-0000-000011000000}" name="g&gt;C=Oring" dataDxfId="48"/>
    <tableColumn id="18" xr3:uid="{00000000-0010-0000-0000-000012000000}" name="gO=CH- ald" dataDxfId="47"/>
    <tableColumn id="19" xr3:uid="{00000000-0010-0000-0000-000013000000}" name="g-COO-(linear) ester" dataDxfId="46"/>
    <tableColumn id="20" xr3:uid="{00000000-0010-0000-0000-000014000000}" name="g-CH-(lineal)" dataDxfId="45"/>
    <tableColumn id="21" xr3:uid="{00000000-0010-0000-0000-000015000000}" name="CH= (lineal)" dataDxfId="44"/>
    <tableColumn id="22" xr3:uid="{00000000-0010-0000-0000-000016000000}" name="CH= (ring)" dataDxfId="43"/>
    <tableColumn id="23" xr3:uid="{00000000-0010-0000-0000-000017000000}" name="CH2= (lineal)" dataDxfId="42"/>
    <tableColumn id="24" xr3:uid="{00000000-0010-0000-0000-000018000000}" name="g-CH-(ring)" dataDxfId="41"/>
    <tableColumn id="25" xr3:uid="{00000000-0010-0000-0000-000019000000}" name="g-CH2-(ring)" dataDxfId="40"/>
    <tableColumn id="26" xr3:uid="{00000000-0010-0000-0000-00001A000000}" name="dnOHprim" dataDxfId="39"/>
    <tableColumn id="28" xr3:uid="{00000000-0010-0000-0000-00001C000000}" name="dnOHsec" dataDxfId="38"/>
    <tableColumn id="34" xr3:uid="{A309AF95-DF0E-4FD8-BF93-321BCE90C0DE}" name="dnOHter" dataDxfId="37"/>
    <tableColumn id="33" xr3:uid="{CA3370BB-2CCA-4BFC-9971-067D91AD95AE}" name="-OH (Phenol) " dataDxfId="36"/>
    <tableColumn id="31" xr3:uid="{38CED87F-99FF-4AB5-9EA0-E3D146E1D6C3}" name="Carboxylic acid " dataDxfId="35"/>
    <tableColumn id="48" xr3:uid="{2D80D255-B6CC-4C09-8ED1-D674CA487B70}" name="Mod Louvain" dataDxfId="34"/>
    <tableColumn id="47" xr3:uid="{EB15AA49-8F01-4F60-B61D-BF2C27498E20}" name="Mod Leiden" dataDxfId="33"/>
    <tableColumn id="45" xr3:uid="{37B98A1F-B9AD-498A-AC09-E6F522DF026C}" name="References" dataDxfId="32"/>
    <tableColumn id="46" xr3:uid="{E07F6AE1-4C7C-48F3-9971-0BA5DA88116E}" name="Set" dataDxfId="10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Random" displayName="Random" ref="B27:C1529" totalsRowShown="0">
  <autoFilter ref="B27:C1529" xr:uid="{00000000-0009-0000-0100-000002000000}"/>
  <sortState xmlns:xlrd2="http://schemas.microsoft.com/office/spreadsheetml/2017/richdata2" ref="B28:C386">
    <sortCondition ref="B27:B386"/>
  </sortState>
  <tableColumns count="2">
    <tableColumn id="1" xr3:uid="{00000000-0010-0000-0600-000001000000}" name="Index"/>
    <tableColumn id="2" xr3:uid="{00000000-0010-0000-0600-000002000000}" name="Set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92FA7E-A0C5-4FC6-8886-A86F3A882128}" name="Selection" displayName="Selection" ref="B2:I22" totalsRowShown="0" headerRowDxfId="31" dataDxfId="30">
  <autoFilter ref="B2:I22" xr:uid="{9CB9FEBA-E91E-4034-906E-B30AF2CFF84A}"/>
  <tableColumns count="8">
    <tableColumn id="1" xr3:uid="{E04348DD-EBAC-4DA4-809C-268527CCBE71}" name="Classs" dataDxfId="29"/>
    <tableColumn id="2" xr3:uid="{A1C9FFAD-1734-4674-B801-FAEFDF473453}" name="Data" dataDxfId="28">
      <calculatedColumnFormula>COUNTIF(Desgloce!$D$2:$D$738,'Random'!$B3)</calculatedColumnFormula>
    </tableColumn>
    <tableColumn id="3" xr3:uid="{9B3E09C1-65B9-4B52-95D2-D13FC1DFD935}" name="Train" dataDxfId="27">
      <calculatedColumnFormula>ROUND($C3*D$1,0)</calculatedColumnFormula>
    </tableColumn>
    <tableColumn id="4" xr3:uid="{4FC8E349-6947-45B5-859B-FA286D765169}" name="Val" dataDxfId="26">
      <calculatedColumnFormula>ROUND($C3*E$1,0)</calculatedColumnFormula>
    </tableColumn>
    <tableColumn id="5" xr3:uid="{40CDB5AC-0A97-4096-874A-9318E5F58E16}" name="Test" dataDxfId="25">
      <calculatedColumnFormula>'Random'!$C3-'Random'!$D3-'Random'!$E3</calculatedColumnFormula>
    </tableColumn>
    <tableColumn id="6" xr3:uid="{C19D2CE2-4740-4AF8-9D67-54D0D3DED2AB}" name="Checking" dataDxfId="24">
      <calculatedColumnFormula>SUM('Random'!$D3:$F3)</calculatedColumnFormula>
    </tableColumn>
    <tableColumn id="7" xr3:uid="{63473472-380E-4380-8E2C-5F3ED9204E35}" name="Inicio" dataDxfId="23">
      <calculatedColumnFormula>I2+1</calculatedColumnFormula>
    </tableColumn>
    <tableColumn id="8" xr3:uid="{CD361CA5-27D3-47CA-9523-8514A6BC1170}" name="Final" dataDxfId="22">
      <calculatedColumnFormula>'Random'!$H3+'Random'!$C3-1</calculatedColumnFormula>
    </tableColumn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69ECE0-156A-4FA4-ADC9-9AED38BBD73D}" name="Tabla4" displayName="Tabla4" ref="K2:K22" totalsRowShown="0">
  <autoFilter ref="K2:K22" xr:uid="{E04D3B4C-D7C8-4FE6-9E30-7848B9C70B7C}"/>
  <sortState xmlns:xlrd2="http://schemas.microsoft.com/office/spreadsheetml/2017/richdata2" ref="K3:K22">
    <sortCondition ref="K2:K22"/>
  </sortState>
  <tableColumns count="1">
    <tableColumn id="1" xr3:uid="{EF40B34B-C6A4-4CE0-A1EE-C57374C51545}" name="Columna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a1" displayName="Tabla1" ref="A2:J739" totalsRowShown="0" dataDxfId="21">
  <autoFilter ref="A2:J739" xr:uid="{00000000-0009-0000-0100-000001000000}"/>
  <sortState xmlns:xlrd2="http://schemas.microsoft.com/office/spreadsheetml/2017/richdata2" ref="A3:J344">
    <sortCondition ref="A2:A344"/>
  </sortState>
  <tableColumns count="10">
    <tableColumn id="1" xr3:uid="{00000000-0010-0000-0700-000001000000}" name="No" dataDxfId="20">
      <calculatedColumnFormula>Desgloce!#REF!</calculatedColumnFormula>
    </tableColumn>
    <tableColumn id="2" xr3:uid="{00000000-0010-0000-0700-000002000000}" name="CN Literatura" dataDxfId="19">
      <calculatedColumnFormula>VLOOKUP(Tabla1[[#This Row],[No]],Tabla7[],7,FALSE)</calculatedColumnFormula>
    </tableColumn>
    <tableColumn id="3" xr3:uid="{00000000-0010-0000-0700-000003000000}" name="CN Predicted" dataDxfId="18">
      <calculatedColumnFormula>VLOOKUP(Tabla1[[#This Row],[No]],Tabla7[],8,FALSE)</calculatedColumnFormula>
    </tableColumn>
    <tableColumn id="4" xr3:uid="{00000000-0010-0000-0700-000004000000}" name="% Error1" dataDxfId="17">
      <calculatedColumnFormula>(B3-C3)/B3*100</calculatedColumnFormula>
    </tableColumn>
    <tableColumn id="17" xr3:uid="{00000000-0010-0000-0700-000011000000}" name="ID" dataDxfId="16">
      <calculatedColumnFormula>IF(Tabla1[[#This Row],[% Error1]]&gt;$E$1,Tabla1[[#This Row],[No]],IF(Tabla1[[#This Row],[% Error1]]&lt;-$E$1,Tabla1[[#This Row],[No]],""))</calculatedColumnFormula>
    </tableColumn>
    <tableColumn id="18" xr3:uid="{00000000-0010-0000-0700-000012000000}" name="SMILE" dataDxfId="15">
      <calculatedColumnFormula>IF(Tabla1[[#This Row],[ID]]="","",VLOOKUP(Tabla1[[#This Row],[ID]],Tabla7[],2,FALSE))</calculatedColumnFormula>
    </tableColumn>
    <tableColumn id="19" xr3:uid="{00000000-0010-0000-0700-000013000000}" name="Set" dataDxfId="14">
      <calculatedColumnFormula>IF(Tabla1[[#This Row],[ID]]="","",VLOOKUP(Tabla1[[#This Row],[ID]],Tabla7[],36,FALSE))</calculatedColumnFormula>
    </tableColumn>
    <tableColumn id="5" xr3:uid="{00000000-0010-0000-0700-000005000000}" name="Functional Class" dataDxfId="13">
      <calculatedColumnFormula>IF(Tabla1[[#This Row],[ID]]="","",VLOOKUP(Tabla1[[#This Row],[ID]],Tabla7[],4,FALSE))</calculatedColumnFormula>
    </tableColumn>
    <tableColumn id="21" xr3:uid="{00000000-0010-0000-0700-000015000000}" name="ERROR M1" dataDxfId="12">
      <calculatedColumnFormula>IF(Tabla1[[#This Row],[ID]]="","",VLOOKUP(Tabla1[[#This Row],[ID]],Tabla1[],4,FALSE))</calculatedColumnFormula>
    </tableColumn>
    <tableColumn id="6" xr3:uid="{74988D3A-2BCB-42DF-8DBB-F6DE0073D881}" name="ERROR M2" dataDxfId="11">
      <calculatedColumnFormula>Tabla1[[#This Row],[CN Literatura]]-Tabla1[[#This Row],[CN Predicted]]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J763"/>
  <sheetViews>
    <sheetView zoomScale="75" zoomScaleNormal="85" workbookViewId="0">
      <pane xSplit="2" ySplit="1" topLeftCell="C122" activePane="bottomRight" state="frozen"/>
      <selection pane="topRight" activeCell="C1" sqref="C1"/>
      <selection pane="bottomLeft" activeCell="A2" sqref="A2"/>
      <selection pane="bottomRight" activeCell="G122" sqref="A122:G122"/>
    </sheetView>
  </sheetViews>
  <sheetFormatPr baseColWidth="10" defaultRowHeight="15" x14ac:dyDescent="0.25"/>
  <cols>
    <col min="1" max="1" width="13.28515625" customWidth="1"/>
    <col min="2" max="2" width="18" customWidth="1"/>
    <col min="3" max="3" width="31" customWidth="1"/>
    <col min="4" max="4" width="29.7109375" customWidth="1"/>
    <col min="5" max="5" width="13.7109375" style="3" customWidth="1"/>
    <col min="6" max="6" width="24.5703125" style="3" customWidth="1"/>
    <col min="7" max="7" width="17.85546875" bestFit="1" customWidth="1"/>
    <col min="8" max="8" width="15.42578125" customWidth="1"/>
    <col min="10" max="11" width="11.42578125" customWidth="1"/>
    <col min="13" max="13" width="11.42578125" customWidth="1"/>
    <col min="14" max="14" width="13.85546875" bestFit="1" customWidth="1"/>
    <col min="15" max="15" width="15.85546875" customWidth="1"/>
    <col min="16" max="16" width="15.5703125" bestFit="1" customWidth="1"/>
    <col min="17" max="17" width="18" customWidth="1"/>
    <col min="18" max="18" width="11.7109375" customWidth="1"/>
    <col min="19" max="19" width="18.7109375" customWidth="1"/>
    <col min="20" max="20" width="12.140625" customWidth="1"/>
    <col min="21" max="21" width="18.7109375" customWidth="1"/>
    <col min="22" max="22" width="21.28515625" customWidth="1"/>
    <col min="23" max="23" width="14.85546875" customWidth="1"/>
    <col min="24" max="24" width="14" customWidth="1"/>
    <col min="25" max="25" width="12" customWidth="1"/>
    <col min="26" max="26" width="15" customWidth="1"/>
    <col min="27" max="27" width="12.7109375" customWidth="1"/>
    <col min="28" max="28" width="13.28515625" customWidth="1"/>
    <col min="29" max="32" width="14.42578125" customWidth="1"/>
  </cols>
  <sheetData>
    <row r="1" spans="1:36" ht="15.75" x14ac:dyDescent="0.25">
      <c r="A1" s="22" t="s">
        <v>6</v>
      </c>
      <c r="B1" s="20" t="s">
        <v>861</v>
      </c>
      <c r="C1" s="20" t="s">
        <v>561</v>
      </c>
      <c r="D1" s="20" t="s">
        <v>29</v>
      </c>
      <c r="E1" s="23" t="s">
        <v>916</v>
      </c>
      <c r="F1" s="23" t="s">
        <v>917</v>
      </c>
      <c r="G1" s="20" t="s">
        <v>1538</v>
      </c>
      <c r="H1" s="25" t="s">
        <v>0</v>
      </c>
      <c r="I1" s="25" t="s">
        <v>1927</v>
      </c>
      <c r="J1" s="25" t="s">
        <v>1928</v>
      </c>
      <c r="K1" s="26" t="s">
        <v>1</v>
      </c>
      <c r="L1" s="26" t="s">
        <v>2</v>
      </c>
      <c r="M1" s="26" t="s">
        <v>1539</v>
      </c>
      <c r="N1" s="26" t="s">
        <v>1540</v>
      </c>
      <c r="O1" s="26" t="s">
        <v>1541</v>
      </c>
      <c r="P1" s="26" t="s">
        <v>1542</v>
      </c>
      <c r="Q1" s="26" t="s">
        <v>1543</v>
      </c>
      <c r="R1" s="26" t="s">
        <v>1544</v>
      </c>
      <c r="S1" s="26" t="s">
        <v>1545</v>
      </c>
      <c r="T1" s="26" t="s">
        <v>1546</v>
      </c>
      <c r="U1" s="26" t="s">
        <v>1547</v>
      </c>
      <c r="V1" s="26" t="s">
        <v>1548</v>
      </c>
      <c r="W1" s="26" t="s">
        <v>1549</v>
      </c>
      <c r="X1" s="26" t="s">
        <v>1550</v>
      </c>
      <c r="Y1" s="26" t="s">
        <v>1551</v>
      </c>
      <c r="Z1" s="25" t="s">
        <v>1552</v>
      </c>
      <c r="AA1" s="25" t="s">
        <v>1553</v>
      </c>
      <c r="AB1" s="25" t="s">
        <v>3</v>
      </c>
      <c r="AC1" s="25" t="s">
        <v>4</v>
      </c>
      <c r="AD1" s="25" t="s">
        <v>5</v>
      </c>
      <c r="AE1" s="25" t="s">
        <v>1554</v>
      </c>
      <c r="AF1" s="25" t="s">
        <v>8</v>
      </c>
      <c r="AG1" t="s">
        <v>1933</v>
      </c>
      <c r="AH1" t="s">
        <v>1934</v>
      </c>
      <c r="AI1" s="28" t="s">
        <v>918</v>
      </c>
      <c r="AJ1" s="28" t="s">
        <v>31</v>
      </c>
    </row>
    <row r="2" spans="1:36" ht="15" customHeight="1" x14ac:dyDescent="0.25">
      <c r="A2" s="1">
        <v>9</v>
      </c>
      <c r="B2" s="25" t="s">
        <v>651</v>
      </c>
      <c r="C2" s="25" t="s">
        <v>527</v>
      </c>
      <c r="D2" s="25" t="s">
        <v>13</v>
      </c>
      <c r="E2" s="25" t="s">
        <v>145</v>
      </c>
      <c r="F2" s="25">
        <v>134.22</v>
      </c>
      <c r="G2" s="25">
        <v>2</v>
      </c>
      <c r="H2" s="25">
        <v>6</v>
      </c>
      <c r="I2" s="25">
        <v>0</v>
      </c>
      <c r="J2" s="25">
        <v>6</v>
      </c>
      <c r="K2" s="25">
        <v>3</v>
      </c>
      <c r="L2" s="25">
        <v>1</v>
      </c>
      <c r="M2" s="25">
        <v>3</v>
      </c>
      <c r="N2" s="25">
        <v>0</v>
      </c>
      <c r="O2" s="25">
        <v>0</v>
      </c>
      <c r="P2" s="25">
        <v>0</v>
      </c>
      <c r="Q2" s="25">
        <v>0</v>
      </c>
      <c r="R2" s="25">
        <v>0</v>
      </c>
      <c r="S2" s="25">
        <v>0</v>
      </c>
      <c r="T2" s="25">
        <v>0</v>
      </c>
      <c r="U2" s="25">
        <v>0</v>
      </c>
      <c r="V2" s="25">
        <v>0</v>
      </c>
      <c r="W2" s="25">
        <v>0</v>
      </c>
      <c r="X2" s="25">
        <v>5</v>
      </c>
      <c r="Y2" s="25">
        <v>0</v>
      </c>
      <c r="Z2" s="25">
        <v>0</v>
      </c>
      <c r="AA2" s="25">
        <v>0</v>
      </c>
      <c r="AB2" s="25">
        <v>0</v>
      </c>
      <c r="AC2" s="25">
        <v>0</v>
      </c>
      <c r="AD2" s="25">
        <v>0</v>
      </c>
      <c r="AE2" s="25">
        <v>0</v>
      </c>
      <c r="AF2" s="25">
        <v>0</v>
      </c>
      <c r="AG2" s="25">
        <v>0.436945266</v>
      </c>
      <c r="AH2" s="25">
        <v>0.35207100600000002</v>
      </c>
      <c r="AI2" s="25" t="s">
        <v>1224</v>
      </c>
      <c r="AJ2" s="14" t="s">
        <v>25</v>
      </c>
    </row>
    <row r="3" spans="1:36" ht="15" customHeight="1" x14ac:dyDescent="0.25">
      <c r="A3" s="1">
        <v>13</v>
      </c>
      <c r="B3" s="14" t="s">
        <v>670</v>
      </c>
      <c r="C3" s="14" t="s">
        <v>277</v>
      </c>
      <c r="D3" s="14" t="s">
        <v>13</v>
      </c>
      <c r="E3" s="29" t="s">
        <v>83</v>
      </c>
      <c r="F3" s="14">
        <v>184.28</v>
      </c>
      <c r="G3" s="14">
        <v>3</v>
      </c>
      <c r="H3" s="14">
        <v>10</v>
      </c>
      <c r="I3" s="14">
        <v>0</v>
      </c>
      <c r="J3" s="14">
        <v>10</v>
      </c>
      <c r="K3" s="14">
        <v>5</v>
      </c>
      <c r="L3" s="14">
        <v>1</v>
      </c>
      <c r="M3" s="14">
        <v>3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7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25">
        <v>0</v>
      </c>
      <c r="AE3" s="25">
        <v>0</v>
      </c>
      <c r="AF3" s="25">
        <v>0</v>
      </c>
      <c r="AG3" s="25">
        <v>0.38906035700000002</v>
      </c>
      <c r="AH3" s="25">
        <v>0.402141582</v>
      </c>
      <c r="AI3" s="14" t="s">
        <v>964</v>
      </c>
      <c r="AJ3" s="14" t="s">
        <v>25</v>
      </c>
    </row>
    <row r="4" spans="1:36" ht="15" customHeight="1" x14ac:dyDescent="0.25">
      <c r="A4" s="1">
        <v>26</v>
      </c>
      <c r="B4" s="14" t="s">
        <v>1878</v>
      </c>
      <c r="C4" s="14" t="s">
        <v>1526</v>
      </c>
      <c r="D4" s="14" t="s">
        <v>13</v>
      </c>
      <c r="E4" s="29" t="s">
        <v>145</v>
      </c>
      <c r="F4" s="14">
        <v>134.21199999999999</v>
      </c>
      <c r="G4" s="14">
        <v>6</v>
      </c>
      <c r="H4" s="14">
        <v>6</v>
      </c>
      <c r="I4" s="14">
        <v>0</v>
      </c>
      <c r="J4" s="14">
        <v>6</v>
      </c>
      <c r="K4" s="14">
        <v>3</v>
      </c>
      <c r="L4" s="14">
        <v>0</v>
      </c>
      <c r="M4" s="14">
        <v>2</v>
      </c>
      <c r="N4" s="14">
        <v>1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1</v>
      </c>
      <c r="W4" s="14">
        <v>0</v>
      </c>
      <c r="X4" s="14">
        <v>5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25">
        <v>0</v>
      </c>
      <c r="AE4" s="25">
        <v>0</v>
      </c>
      <c r="AF4" s="25">
        <v>0</v>
      </c>
      <c r="AG4" s="25">
        <v>0.42602040800000002</v>
      </c>
      <c r="AH4" s="25">
        <v>0.35207100600000002</v>
      </c>
      <c r="AI4" s="14" t="s">
        <v>1571</v>
      </c>
      <c r="AJ4" s="14" t="s">
        <v>25</v>
      </c>
    </row>
    <row r="5" spans="1:36" ht="15" customHeight="1" x14ac:dyDescent="0.25">
      <c r="A5" s="1">
        <v>32</v>
      </c>
      <c r="B5" s="25" t="s">
        <v>578</v>
      </c>
      <c r="C5" s="25" t="s">
        <v>287</v>
      </c>
      <c r="D5" s="25" t="s">
        <v>16</v>
      </c>
      <c r="E5" s="25" t="s">
        <v>94</v>
      </c>
      <c r="F5" s="25">
        <v>70.13</v>
      </c>
      <c r="G5" s="25">
        <v>6.1</v>
      </c>
      <c r="H5" s="25">
        <v>0</v>
      </c>
      <c r="I5" s="25">
        <v>0</v>
      </c>
      <c r="J5" s="25">
        <v>0</v>
      </c>
      <c r="K5" s="25">
        <v>0</v>
      </c>
      <c r="L5" s="25">
        <v>0</v>
      </c>
      <c r="M5" s="25">
        <v>0</v>
      </c>
      <c r="N5" s="25">
        <v>0</v>
      </c>
      <c r="O5" s="25">
        <v>0</v>
      </c>
      <c r="P5" s="25">
        <v>0</v>
      </c>
      <c r="Q5" s="25">
        <v>0</v>
      </c>
      <c r="R5" s="25">
        <v>0</v>
      </c>
      <c r="S5" s="25">
        <v>0</v>
      </c>
      <c r="T5" s="25">
        <v>0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5</v>
      </c>
      <c r="AB5" s="25">
        <v>0</v>
      </c>
      <c r="AC5" s="25">
        <v>0</v>
      </c>
      <c r="AD5" s="25">
        <v>0</v>
      </c>
      <c r="AE5" s="25">
        <v>0</v>
      </c>
      <c r="AF5" s="25">
        <v>0</v>
      </c>
      <c r="AG5" s="25">
        <v>0.109375</v>
      </c>
      <c r="AH5" s="25">
        <v>0.08</v>
      </c>
      <c r="AI5" s="25" t="s">
        <v>976</v>
      </c>
      <c r="AJ5" s="14" t="s">
        <v>25</v>
      </c>
    </row>
    <row r="6" spans="1:36" ht="15" customHeight="1" x14ac:dyDescent="0.25">
      <c r="A6" s="1">
        <v>34</v>
      </c>
      <c r="B6" s="14" t="s">
        <v>1865</v>
      </c>
      <c r="C6" s="14" t="s">
        <v>1519</v>
      </c>
      <c r="D6" s="14" t="s">
        <v>13</v>
      </c>
      <c r="E6" s="29" t="s">
        <v>1864</v>
      </c>
      <c r="F6" s="14">
        <v>106.16</v>
      </c>
      <c r="G6" s="14">
        <v>6.3</v>
      </c>
      <c r="H6" s="14">
        <v>6</v>
      </c>
      <c r="I6" s="14">
        <v>0</v>
      </c>
      <c r="J6" s="14">
        <v>6</v>
      </c>
      <c r="K6" s="14">
        <v>3</v>
      </c>
      <c r="L6" s="14">
        <v>0</v>
      </c>
      <c r="M6" s="14">
        <v>1</v>
      </c>
      <c r="N6" s="14">
        <v>1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5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25">
        <v>0</v>
      </c>
      <c r="AE6" s="25">
        <v>0</v>
      </c>
      <c r="AF6" s="25">
        <v>0</v>
      </c>
      <c r="AG6" s="25">
        <v>0.36805555600000001</v>
      </c>
      <c r="AH6" s="25">
        <v>0.24793388399999999</v>
      </c>
      <c r="AI6" s="14" t="s">
        <v>1571</v>
      </c>
      <c r="AJ6" s="14" t="s">
        <v>25</v>
      </c>
    </row>
    <row r="7" spans="1:36" ht="15" customHeight="1" x14ac:dyDescent="0.25">
      <c r="A7" s="1">
        <v>36</v>
      </c>
      <c r="B7" s="14" t="s">
        <v>714</v>
      </c>
      <c r="C7" s="14" t="s">
        <v>437</v>
      </c>
      <c r="D7" s="14" t="s">
        <v>17</v>
      </c>
      <c r="E7" s="29" t="s">
        <v>188</v>
      </c>
      <c r="F7" s="14">
        <v>102.13</v>
      </c>
      <c r="G7" s="14">
        <v>6.4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2</v>
      </c>
      <c r="N7" s="14">
        <v>2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1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25">
        <v>0</v>
      </c>
      <c r="AE7" s="25">
        <v>0</v>
      </c>
      <c r="AF7" s="25">
        <v>0</v>
      </c>
      <c r="AG7" s="25">
        <v>0.35714285699999998</v>
      </c>
      <c r="AH7" s="25">
        <v>0.35714285699999998</v>
      </c>
      <c r="AI7" s="14" t="s">
        <v>1133</v>
      </c>
      <c r="AJ7" s="14" t="s">
        <v>25</v>
      </c>
    </row>
    <row r="8" spans="1:36" ht="15" customHeight="1" x14ac:dyDescent="0.25">
      <c r="A8" s="1">
        <v>37</v>
      </c>
      <c r="B8" s="14" t="s">
        <v>1837</v>
      </c>
      <c r="C8" s="14" t="s">
        <v>1502</v>
      </c>
      <c r="D8" s="14" t="s">
        <v>18</v>
      </c>
      <c r="E8" s="29" t="s">
        <v>1838</v>
      </c>
      <c r="F8" s="14">
        <v>108.134</v>
      </c>
      <c r="G8" s="14">
        <v>6.4</v>
      </c>
      <c r="H8" s="14">
        <v>6</v>
      </c>
      <c r="I8" s="14">
        <v>0</v>
      </c>
      <c r="J8" s="14">
        <v>6</v>
      </c>
      <c r="K8" s="14">
        <v>3</v>
      </c>
      <c r="L8" s="14">
        <v>0</v>
      </c>
      <c r="M8" s="14">
        <v>1</v>
      </c>
      <c r="N8" s="14">
        <v>0</v>
      </c>
      <c r="O8" s="14">
        <v>0</v>
      </c>
      <c r="P8" s="14">
        <v>1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5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25">
        <v>0</v>
      </c>
      <c r="AE8" s="25">
        <v>0</v>
      </c>
      <c r="AF8" s="25">
        <v>0</v>
      </c>
      <c r="AG8" s="25">
        <v>0.37190082600000002</v>
      </c>
      <c r="AH8" s="25">
        <v>0.24793388399999999</v>
      </c>
      <c r="AI8" s="14" t="s">
        <v>1571</v>
      </c>
      <c r="AJ8" s="14" t="s">
        <v>25</v>
      </c>
    </row>
    <row r="9" spans="1:36" ht="15" customHeight="1" x14ac:dyDescent="0.25">
      <c r="A9" s="1">
        <v>45</v>
      </c>
      <c r="B9" s="14" t="s">
        <v>1846</v>
      </c>
      <c r="C9" s="14" t="s">
        <v>1507</v>
      </c>
      <c r="D9" s="14" t="s">
        <v>18</v>
      </c>
      <c r="E9" s="29" t="s">
        <v>1847</v>
      </c>
      <c r="F9" s="14">
        <v>150.21199999999999</v>
      </c>
      <c r="G9" s="14">
        <v>7.5</v>
      </c>
      <c r="H9" s="14">
        <v>6</v>
      </c>
      <c r="I9" s="14">
        <v>0</v>
      </c>
      <c r="J9" s="14">
        <v>6</v>
      </c>
      <c r="K9" s="14">
        <v>3</v>
      </c>
      <c r="L9" s="14">
        <v>0</v>
      </c>
      <c r="M9" s="14">
        <v>2</v>
      </c>
      <c r="N9" s="14">
        <v>2</v>
      </c>
      <c r="O9" s="14">
        <v>0</v>
      </c>
      <c r="P9" s="14">
        <v>1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4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25">
        <v>0</v>
      </c>
      <c r="AE9" s="25">
        <v>0</v>
      </c>
      <c r="AF9" s="25">
        <v>0</v>
      </c>
      <c r="AG9" s="25">
        <v>0.49319727899999999</v>
      </c>
      <c r="AH9" s="25">
        <v>0.33928571400000002</v>
      </c>
      <c r="AI9" s="14" t="s">
        <v>1571</v>
      </c>
      <c r="AJ9" s="14" t="s">
        <v>25</v>
      </c>
    </row>
    <row r="10" spans="1:36" ht="15" customHeight="1" x14ac:dyDescent="0.25">
      <c r="A10" s="1">
        <v>46</v>
      </c>
      <c r="B10" s="14" t="s">
        <v>1887</v>
      </c>
      <c r="C10" s="14" t="s">
        <v>1531</v>
      </c>
      <c r="D10" s="14" t="s">
        <v>13</v>
      </c>
      <c r="E10" s="29" t="s">
        <v>1888</v>
      </c>
      <c r="F10" s="14">
        <v>162.26400000000001</v>
      </c>
      <c r="G10" s="14">
        <v>7.6</v>
      </c>
      <c r="H10" s="14">
        <v>6</v>
      </c>
      <c r="I10" s="14">
        <v>0</v>
      </c>
      <c r="J10" s="14">
        <v>6</v>
      </c>
      <c r="K10" s="14">
        <v>3</v>
      </c>
      <c r="L10" s="14">
        <v>0</v>
      </c>
      <c r="M10" s="14">
        <v>3</v>
      </c>
      <c r="N10" s="14">
        <v>3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3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25">
        <v>0</v>
      </c>
      <c r="AE10" s="25">
        <v>0</v>
      </c>
      <c r="AF10" s="25">
        <v>0</v>
      </c>
      <c r="AG10" s="25">
        <v>0.45703125</v>
      </c>
      <c r="AH10" s="25">
        <v>0.366666667</v>
      </c>
      <c r="AI10" s="14" t="s">
        <v>1571</v>
      </c>
      <c r="AJ10" s="14" t="s">
        <v>25</v>
      </c>
    </row>
    <row r="11" spans="1:36" ht="15" customHeight="1" x14ac:dyDescent="0.25">
      <c r="A11" s="1">
        <v>47</v>
      </c>
      <c r="B11" s="14" t="s">
        <v>1753</v>
      </c>
      <c r="C11" s="14" t="s">
        <v>1467</v>
      </c>
      <c r="D11" s="14" t="s">
        <v>1930</v>
      </c>
      <c r="E11" s="29" t="s">
        <v>1754</v>
      </c>
      <c r="F11" s="14">
        <v>130.13999999999999</v>
      </c>
      <c r="G11" s="14">
        <v>7.8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2</v>
      </c>
      <c r="N11" s="14">
        <v>2</v>
      </c>
      <c r="O11" s="14">
        <v>0</v>
      </c>
      <c r="P11" s="14">
        <v>0</v>
      </c>
      <c r="Q11" s="14">
        <v>0</v>
      </c>
      <c r="R11" s="14">
        <v>1</v>
      </c>
      <c r="S11" s="14">
        <v>0</v>
      </c>
      <c r="T11" s="14">
        <v>0</v>
      </c>
      <c r="U11" s="14">
        <v>1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25">
        <v>0</v>
      </c>
      <c r="AE11" s="25">
        <v>0</v>
      </c>
      <c r="AF11" s="25">
        <v>0</v>
      </c>
      <c r="AG11" s="25">
        <v>0.435</v>
      </c>
      <c r="AH11" s="25">
        <v>0.435</v>
      </c>
      <c r="AI11" s="14" t="s">
        <v>1571</v>
      </c>
      <c r="AJ11" s="14" t="s">
        <v>25</v>
      </c>
    </row>
    <row r="12" spans="1:36" ht="15" customHeight="1" x14ac:dyDescent="0.25">
      <c r="A12" s="1">
        <v>49</v>
      </c>
      <c r="B12" s="25" t="s">
        <v>827</v>
      </c>
      <c r="C12" s="25" t="s">
        <v>490</v>
      </c>
      <c r="D12" s="25" t="s">
        <v>13</v>
      </c>
      <c r="E12" s="25" t="s">
        <v>54</v>
      </c>
      <c r="F12" s="25">
        <v>112.21</v>
      </c>
      <c r="G12" s="25">
        <v>8</v>
      </c>
      <c r="H12" s="25">
        <v>6</v>
      </c>
      <c r="I12" s="25">
        <v>0</v>
      </c>
      <c r="J12" s="25">
        <v>6</v>
      </c>
      <c r="K12" s="25">
        <v>3</v>
      </c>
      <c r="L12" s="25">
        <v>0</v>
      </c>
      <c r="M12" s="25">
        <v>1</v>
      </c>
      <c r="N12" s="25">
        <v>1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U12" s="25">
        <v>0</v>
      </c>
      <c r="V12" s="25">
        <v>0</v>
      </c>
      <c r="W12" s="25">
        <v>0</v>
      </c>
      <c r="X12" s="25">
        <v>5</v>
      </c>
      <c r="Y12" s="25">
        <v>0</v>
      </c>
      <c r="Z12" s="25">
        <v>0</v>
      </c>
      <c r="AA12" s="25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0.237764792</v>
      </c>
      <c r="AH12" s="25">
        <v>0.24793388399999999</v>
      </c>
      <c r="AI12" s="25" t="s">
        <v>1940</v>
      </c>
      <c r="AJ12" s="14" t="s">
        <v>25</v>
      </c>
    </row>
    <row r="13" spans="1:36" ht="15" customHeight="1" x14ac:dyDescent="0.25">
      <c r="A13" s="1">
        <v>57</v>
      </c>
      <c r="B13" s="25" t="s">
        <v>621</v>
      </c>
      <c r="C13" s="25" t="s">
        <v>1941</v>
      </c>
      <c r="D13" s="25" t="s">
        <v>10</v>
      </c>
      <c r="E13" s="25" t="s">
        <v>58</v>
      </c>
      <c r="F13" s="25">
        <v>74.12</v>
      </c>
      <c r="G13" s="25">
        <v>8.5</v>
      </c>
      <c r="H13" s="25">
        <v>0</v>
      </c>
      <c r="I13" s="25">
        <v>0</v>
      </c>
      <c r="J13" s="25">
        <v>0</v>
      </c>
      <c r="K13" s="25">
        <v>0</v>
      </c>
      <c r="L13" s="25">
        <v>0</v>
      </c>
      <c r="M13" s="25">
        <v>2</v>
      </c>
      <c r="N13" s="25">
        <v>1</v>
      </c>
      <c r="O13" s="25">
        <v>1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  <c r="W13" s="25">
        <v>0</v>
      </c>
      <c r="X13" s="25">
        <v>0</v>
      </c>
      <c r="Y13" s="25">
        <v>0</v>
      </c>
      <c r="Z13" s="25">
        <v>0</v>
      </c>
      <c r="AA13" s="25">
        <v>0</v>
      </c>
      <c r="AB13" s="25">
        <v>0</v>
      </c>
      <c r="AC13" s="25">
        <v>1</v>
      </c>
      <c r="AD13" s="25">
        <v>0</v>
      </c>
      <c r="AE13" s="25">
        <v>0</v>
      </c>
      <c r="AF13" s="25">
        <v>0</v>
      </c>
      <c r="AG13" s="25">
        <v>0.255102041</v>
      </c>
      <c r="AH13" s="25">
        <v>0.21875</v>
      </c>
      <c r="AI13" s="25" t="s">
        <v>1206</v>
      </c>
      <c r="AJ13" s="14" t="s">
        <v>25</v>
      </c>
    </row>
    <row r="14" spans="1:36" ht="15" customHeight="1" x14ac:dyDescent="0.25">
      <c r="A14" s="1">
        <v>64</v>
      </c>
      <c r="B14" s="14" t="s">
        <v>667</v>
      </c>
      <c r="C14" s="14" t="s">
        <v>426</v>
      </c>
      <c r="D14" s="14" t="s">
        <v>13</v>
      </c>
      <c r="E14" s="29" t="s">
        <v>129</v>
      </c>
      <c r="F14" s="14">
        <v>120.19</v>
      </c>
      <c r="G14" s="14">
        <v>8.9</v>
      </c>
      <c r="H14" s="14">
        <v>6</v>
      </c>
      <c r="I14" s="14">
        <v>0</v>
      </c>
      <c r="J14" s="14">
        <v>6</v>
      </c>
      <c r="K14" s="14">
        <v>3</v>
      </c>
      <c r="L14" s="14">
        <v>0</v>
      </c>
      <c r="M14" s="14">
        <v>3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3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25">
        <v>0</v>
      </c>
      <c r="AE14" s="25">
        <v>0</v>
      </c>
      <c r="AF14" s="25">
        <v>0</v>
      </c>
      <c r="AG14" s="25">
        <v>0.361053719</v>
      </c>
      <c r="AH14" s="25">
        <v>0.29166666699999999</v>
      </c>
      <c r="AI14" s="14" t="s">
        <v>1942</v>
      </c>
      <c r="AJ14" s="14" t="s">
        <v>25</v>
      </c>
    </row>
    <row r="15" spans="1:36" ht="15" customHeight="1" x14ac:dyDescent="0.25">
      <c r="A15" s="1">
        <v>68</v>
      </c>
      <c r="B15" s="25" t="s">
        <v>872</v>
      </c>
      <c r="C15" s="25" t="s">
        <v>360</v>
      </c>
      <c r="D15" s="25" t="s">
        <v>13</v>
      </c>
      <c r="E15" s="25" t="s">
        <v>91</v>
      </c>
      <c r="F15" s="25">
        <v>240.38</v>
      </c>
      <c r="G15" s="25">
        <v>9</v>
      </c>
      <c r="H15" s="25">
        <v>10</v>
      </c>
      <c r="I15" s="25">
        <v>0</v>
      </c>
      <c r="J15" s="25">
        <v>10</v>
      </c>
      <c r="K15" s="25">
        <v>5</v>
      </c>
      <c r="L15" s="25">
        <v>1</v>
      </c>
      <c r="M15" s="25">
        <v>3</v>
      </c>
      <c r="N15" s="25">
        <v>4</v>
      </c>
      <c r="O15" s="25">
        <v>0</v>
      </c>
      <c r="P15" s="25">
        <v>0</v>
      </c>
      <c r="Q15" s="25">
        <v>0</v>
      </c>
      <c r="R15" s="25">
        <v>0</v>
      </c>
      <c r="S15" s="25">
        <v>0</v>
      </c>
      <c r="T15" s="25">
        <v>0</v>
      </c>
      <c r="U15" s="25">
        <v>0</v>
      </c>
      <c r="V15" s="25">
        <v>0</v>
      </c>
      <c r="W15" s="25">
        <v>0</v>
      </c>
      <c r="X15" s="25">
        <v>7</v>
      </c>
      <c r="Y15" s="25">
        <v>0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0</v>
      </c>
      <c r="AG15" s="25">
        <v>0.46</v>
      </c>
      <c r="AH15" s="25">
        <v>0.489795918</v>
      </c>
      <c r="AI15" s="25" t="s">
        <v>1053</v>
      </c>
      <c r="AJ15" s="14" t="s">
        <v>25</v>
      </c>
    </row>
    <row r="16" spans="1:36" ht="15" customHeight="1" x14ac:dyDescent="0.25">
      <c r="A16" s="1">
        <v>74</v>
      </c>
      <c r="B16" s="25" t="s">
        <v>1335</v>
      </c>
      <c r="C16" s="25" t="s">
        <v>1943</v>
      </c>
      <c r="D16" s="25" t="s">
        <v>7</v>
      </c>
      <c r="E16" s="25" t="s">
        <v>77</v>
      </c>
      <c r="F16" s="25">
        <v>170.33529039999999</v>
      </c>
      <c r="G16" s="25">
        <v>9</v>
      </c>
      <c r="H16" s="25">
        <v>0</v>
      </c>
      <c r="I16" s="25">
        <v>0</v>
      </c>
      <c r="J16" s="25">
        <v>0</v>
      </c>
      <c r="K16" s="25">
        <v>0</v>
      </c>
      <c r="L16" s="25">
        <v>0</v>
      </c>
      <c r="M16" s="25">
        <v>7</v>
      </c>
      <c r="N16" s="25">
        <v>0</v>
      </c>
      <c r="O16" s="25">
        <v>0</v>
      </c>
      <c r="P16" s="25">
        <v>0</v>
      </c>
      <c r="Q16" s="25">
        <v>0</v>
      </c>
      <c r="R16" s="25">
        <v>0</v>
      </c>
      <c r="S16" s="25">
        <v>0</v>
      </c>
      <c r="T16" s="25">
        <v>0</v>
      </c>
      <c r="U16" s="25">
        <v>0</v>
      </c>
      <c r="V16" s="25">
        <v>5</v>
      </c>
      <c r="W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0.46694214899999997</v>
      </c>
      <c r="AH16" s="25">
        <v>0.46694214899999997</v>
      </c>
      <c r="AI16" s="25" t="s">
        <v>1306</v>
      </c>
      <c r="AJ16" s="14" t="s">
        <v>25</v>
      </c>
    </row>
    <row r="17" spans="1:36" ht="15" customHeight="1" x14ac:dyDescent="0.25">
      <c r="A17" s="1">
        <v>85</v>
      </c>
      <c r="B17" s="25" t="s">
        <v>607</v>
      </c>
      <c r="C17" s="25" t="s">
        <v>314</v>
      </c>
      <c r="D17" s="25" t="s">
        <v>21</v>
      </c>
      <c r="E17" s="25" t="s">
        <v>119</v>
      </c>
      <c r="F17" s="25">
        <v>96.13</v>
      </c>
      <c r="G17" s="25">
        <v>10.199999999999999</v>
      </c>
      <c r="H17" s="25">
        <v>5</v>
      </c>
      <c r="I17" s="25">
        <v>0</v>
      </c>
      <c r="J17" s="25">
        <v>4</v>
      </c>
      <c r="K17" s="25">
        <v>2</v>
      </c>
      <c r="L17" s="25">
        <v>0</v>
      </c>
      <c r="M17" s="25">
        <v>1</v>
      </c>
      <c r="N17" s="25">
        <v>1</v>
      </c>
      <c r="O17" s="25">
        <v>0</v>
      </c>
      <c r="P17" s="25">
        <v>0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0</v>
      </c>
      <c r="W17" s="25">
        <v>0</v>
      </c>
      <c r="X17" s="25">
        <v>3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0</v>
      </c>
      <c r="AG17" s="25">
        <v>0.191135734</v>
      </c>
      <c r="AH17" s="25">
        <v>0.19390581700000001</v>
      </c>
      <c r="AI17" s="25" t="s">
        <v>1005</v>
      </c>
      <c r="AJ17" s="14" t="s">
        <v>25</v>
      </c>
    </row>
    <row r="18" spans="1:36" ht="15" customHeight="1" x14ac:dyDescent="0.25">
      <c r="A18" s="1">
        <v>86</v>
      </c>
      <c r="B18" s="25" t="s">
        <v>677</v>
      </c>
      <c r="C18" s="25" t="s">
        <v>430</v>
      </c>
      <c r="D18" s="25" t="s">
        <v>15</v>
      </c>
      <c r="E18" s="25" t="s">
        <v>184</v>
      </c>
      <c r="F18" s="25">
        <v>98.14</v>
      </c>
      <c r="G18" s="25">
        <v>10.4</v>
      </c>
      <c r="H18" s="25">
        <v>0</v>
      </c>
      <c r="I18" s="25">
        <v>0</v>
      </c>
      <c r="J18" s="25">
        <v>0</v>
      </c>
      <c r="K18" s="25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5">
        <v>0</v>
      </c>
      <c r="S18" s="25">
        <v>1</v>
      </c>
      <c r="T18" s="25">
        <v>0</v>
      </c>
      <c r="U18" s="25">
        <v>0</v>
      </c>
      <c r="V18" s="25">
        <v>0</v>
      </c>
      <c r="W18" s="25">
        <v>0</v>
      </c>
      <c r="X18" s="25">
        <v>0</v>
      </c>
      <c r="Y18" s="25">
        <v>0</v>
      </c>
      <c r="Z18" s="25">
        <v>0</v>
      </c>
      <c r="AA18" s="25">
        <v>5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0.28125</v>
      </c>
      <c r="AH18" s="25">
        <v>0.28125</v>
      </c>
      <c r="AI18" s="25" t="s">
        <v>1126</v>
      </c>
      <c r="AJ18" s="14" t="s">
        <v>25</v>
      </c>
    </row>
    <row r="19" spans="1:36" ht="15" customHeight="1" x14ac:dyDescent="0.25">
      <c r="A19" s="1">
        <v>87</v>
      </c>
      <c r="B19" s="25" t="s">
        <v>778</v>
      </c>
      <c r="C19" s="25" t="s">
        <v>459</v>
      </c>
      <c r="D19" s="25" t="s">
        <v>21</v>
      </c>
      <c r="E19" s="25" t="s">
        <v>197</v>
      </c>
      <c r="F19" s="25">
        <v>152.19</v>
      </c>
      <c r="G19" s="25">
        <v>10.4</v>
      </c>
      <c r="H19" s="25">
        <v>6</v>
      </c>
      <c r="I19" s="25">
        <v>0</v>
      </c>
      <c r="J19" s="25">
        <v>6</v>
      </c>
      <c r="K19" s="25">
        <v>3</v>
      </c>
      <c r="L19" s="25">
        <v>0</v>
      </c>
      <c r="M19" s="25">
        <v>2</v>
      </c>
      <c r="N19" s="25">
        <v>0</v>
      </c>
      <c r="O19" s="25">
        <v>0</v>
      </c>
      <c r="P19" s="25">
        <v>2</v>
      </c>
      <c r="Q19" s="25">
        <v>0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  <c r="W19" s="25">
        <v>0</v>
      </c>
      <c r="X19" s="25">
        <v>5</v>
      </c>
      <c r="Y19" s="25">
        <v>0</v>
      </c>
      <c r="Z19" s="25">
        <v>0</v>
      </c>
      <c r="AA19" s="25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0.347554631</v>
      </c>
      <c r="AH19" s="25">
        <v>0.380102041</v>
      </c>
      <c r="AI19" s="25" t="s">
        <v>1156</v>
      </c>
      <c r="AJ19" s="14" t="s">
        <v>25</v>
      </c>
    </row>
    <row r="20" spans="1:36" ht="15" customHeight="1" x14ac:dyDescent="0.25">
      <c r="A20" s="1">
        <v>92</v>
      </c>
      <c r="B20" s="25" t="s">
        <v>785</v>
      </c>
      <c r="C20" s="25" t="s">
        <v>462</v>
      </c>
      <c r="D20" s="25" t="s">
        <v>21</v>
      </c>
      <c r="E20" s="25" t="s">
        <v>187</v>
      </c>
      <c r="F20" s="25">
        <v>116.16</v>
      </c>
      <c r="G20" s="25">
        <v>11.5</v>
      </c>
      <c r="H20" s="25">
        <v>0</v>
      </c>
      <c r="I20" s="25">
        <v>0</v>
      </c>
      <c r="J20" s="25">
        <v>0</v>
      </c>
      <c r="K20" s="25">
        <v>0</v>
      </c>
      <c r="L20" s="25">
        <v>0</v>
      </c>
      <c r="M20" s="25">
        <v>3</v>
      </c>
      <c r="N20" s="25">
        <v>1</v>
      </c>
      <c r="O20" s="25">
        <v>1</v>
      </c>
      <c r="P20" s="25">
        <v>0</v>
      </c>
      <c r="Q20" s="25">
        <v>0</v>
      </c>
      <c r="R20" s="25">
        <v>1</v>
      </c>
      <c r="S20" s="25">
        <v>0</v>
      </c>
      <c r="T20" s="25">
        <v>0</v>
      </c>
      <c r="U20" s="25">
        <v>0</v>
      </c>
      <c r="V20" s="25">
        <v>0</v>
      </c>
      <c r="W20" s="25">
        <v>0</v>
      </c>
      <c r="X20" s="25">
        <v>0</v>
      </c>
      <c r="Y20" s="25">
        <v>0</v>
      </c>
      <c r="Z20" s="25">
        <v>0</v>
      </c>
      <c r="AA20" s="25">
        <v>0</v>
      </c>
      <c r="AB20" s="25">
        <v>0</v>
      </c>
      <c r="AC20" s="25">
        <v>0</v>
      </c>
      <c r="AD20" s="25">
        <v>1</v>
      </c>
      <c r="AE20" s="25">
        <v>0</v>
      </c>
      <c r="AF20" s="25">
        <v>0</v>
      </c>
      <c r="AG20" s="25">
        <v>0.37152777799999998</v>
      </c>
      <c r="AH20" s="25">
        <v>0.3671875</v>
      </c>
      <c r="AI20" s="25" t="s">
        <v>1159</v>
      </c>
      <c r="AJ20" s="14" t="s">
        <v>25</v>
      </c>
    </row>
    <row r="21" spans="1:36" ht="15" customHeight="1" x14ac:dyDescent="0.25">
      <c r="A21" s="1">
        <v>94</v>
      </c>
      <c r="B21" s="14" t="s">
        <v>908</v>
      </c>
      <c r="C21" s="14" t="s">
        <v>558</v>
      </c>
      <c r="D21" s="14" t="s">
        <v>10</v>
      </c>
      <c r="E21" s="29" t="s">
        <v>235</v>
      </c>
      <c r="F21" s="14">
        <v>60.09</v>
      </c>
      <c r="G21" s="14">
        <v>12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1</v>
      </c>
      <c r="N21" s="14">
        <v>2</v>
      </c>
      <c r="O21" s="14">
        <v>1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1</v>
      </c>
      <c r="AC21" s="14">
        <v>0</v>
      </c>
      <c r="AD21" s="25">
        <v>0</v>
      </c>
      <c r="AE21" s="25">
        <v>0</v>
      </c>
      <c r="AF21" s="25">
        <v>0</v>
      </c>
      <c r="AG21" s="25">
        <v>0.16666666699999999</v>
      </c>
      <c r="AH21" s="25">
        <v>0.16666666699999999</v>
      </c>
      <c r="AI21" s="14" t="s">
        <v>1252</v>
      </c>
      <c r="AJ21" s="14" t="s">
        <v>25</v>
      </c>
    </row>
    <row r="22" spans="1:36" ht="15" customHeight="1" x14ac:dyDescent="0.25">
      <c r="A22" s="1">
        <v>95</v>
      </c>
      <c r="B22" s="14" t="s">
        <v>1678</v>
      </c>
      <c r="C22" s="14" t="s">
        <v>1422</v>
      </c>
      <c r="D22" s="14" t="s">
        <v>10</v>
      </c>
      <c r="E22" s="29" t="s">
        <v>235</v>
      </c>
      <c r="F22" s="14">
        <v>60.094000000000001</v>
      </c>
      <c r="G22" s="14">
        <v>12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1</v>
      </c>
      <c r="N22" s="14">
        <v>2</v>
      </c>
      <c r="O22" s="14">
        <v>1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1</v>
      </c>
      <c r="AC22" s="14">
        <v>0</v>
      </c>
      <c r="AD22" s="25">
        <v>0</v>
      </c>
      <c r="AE22" s="25">
        <v>0</v>
      </c>
      <c r="AF22" s="25">
        <v>0</v>
      </c>
      <c r="AG22" s="25">
        <v>0.16666666699999999</v>
      </c>
      <c r="AH22" s="25">
        <v>0.16666666699999999</v>
      </c>
      <c r="AI22" s="14" t="s">
        <v>1571</v>
      </c>
      <c r="AJ22" s="14" t="s">
        <v>25</v>
      </c>
    </row>
    <row r="23" spans="1:36" ht="15" customHeight="1" x14ac:dyDescent="0.25">
      <c r="A23" s="1">
        <v>97</v>
      </c>
      <c r="B23" s="25" t="s">
        <v>873</v>
      </c>
      <c r="C23" s="25" t="s">
        <v>526</v>
      </c>
      <c r="D23" s="25" t="s">
        <v>13</v>
      </c>
      <c r="E23" s="25" t="s">
        <v>214</v>
      </c>
      <c r="F23" s="25">
        <v>268.44</v>
      </c>
      <c r="G23" s="25">
        <v>12</v>
      </c>
      <c r="H23" s="25">
        <v>10</v>
      </c>
      <c r="I23" s="25">
        <v>0</v>
      </c>
      <c r="J23" s="25">
        <v>10</v>
      </c>
      <c r="K23" s="25">
        <v>5</v>
      </c>
      <c r="L23" s="25">
        <v>1</v>
      </c>
      <c r="M23" s="25">
        <v>3</v>
      </c>
      <c r="N23" s="25">
        <v>6</v>
      </c>
      <c r="O23" s="25">
        <v>0</v>
      </c>
      <c r="P23" s="25">
        <v>0</v>
      </c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0</v>
      </c>
      <c r="W23" s="25">
        <v>0</v>
      </c>
      <c r="X23" s="25">
        <v>7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5">
        <v>0</v>
      </c>
      <c r="AF23" s="25">
        <v>0</v>
      </c>
      <c r="AG23" s="25">
        <v>0.49080723900000001</v>
      </c>
      <c r="AH23" s="25">
        <v>0.52545389799999997</v>
      </c>
      <c r="AI23" s="25" t="s">
        <v>1223</v>
      </c>
      <c r="AJ23" s="14" t="s">
        <v>25</v>
      </c>
    </row>
    <row r="24" spans="1:36" ht="15" customHeight="1" x14ac:dyDescent="0.25">
      <c r="A24" s="1">
        <v>99</v>
      </c>
      <c r="B24" s="25" t="s">
        <v>622</v>
      </c>
      <c r="C24" s="25" t="s">
        <v>263</v>
      </c>
      <c r="D24" s="25" t="s">
        <v>10</v>
      </c>
      <c r="E24" s="25" t="s">
        <v>71</v>
      </c>
      <c r="F24" s="25">
        <v>88.15</v>
      </c>
      <c r="G24" s="25">
        <v>12.1</v>
      </c>
      <c r="H24" s="25">
        <v>0</v>
      </c>
      <c r="I24" s="25">
        <v>0</v>
      </c>
      <c r="J24" s="25">
        <v>0</v>
      </c>
      <c r="K24" s="25">
        <v>0</v>
      </c>
      <c r="L24" s="25">
        <v>0</v>
      </c>
      <c r="M24" s="25">
        <v>3</v>
      </c>
      <c r="N24" s="25">
        <v>1</v>
      </c>
      <c r="O24" s="25">
        <v>1</v>
      </c>
      <c r="P24" s="25">
        <v>0</v>
      </c>
      <c r="Q24" s="25">
        <v>0</v>
      </c>
      <c r="R24" s="25">
        <v>0</v>
      </c>
      <c r="S24" s="25">
        <v>0</v>
      </c>
      <c r="T24" s="25">
        <v>0</v>
      </c>
      <c r="U24" s="25">
        <v>0</v>
      </c>
      <c r="V24" s="25">
        <v>0</v>
      </c>
      <c r="W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</v>
      </c>
      <c r="AD24" s="25">
        <v>1</v>
      </c>
      <c r="AE24" s="25">
        <v>0</v>
      </c>
      <c r="AF24" s="25">
        <v>0</v>
      </c>
      <c r="AG24" s="25">
        <v>0.255102041</v>
      </c>
      <c r="AH24" s="25">
        <v>0.22</v>
      </c>
      <c r="AI24" s="25" t="s">
        <v>949</v>
      </c>
      <c r="AJ24" s="14" t="s">
        <v>25</v>
      </c>
    </row>
    <row r="25" spans="1:36" ht="15" customHeight="1" x14ac:dyDescent="0.25">
      <c r="A25" s="1">
        <v>111</v>
      </c>
      <c r="B25" s="25" t="s">
        <v>704</v>
      </c>
      <c r="C25" s="25" t="s">
        <v>435</v>
      </c>
      <c r="D25" s="25" t="s">
        <v>17</v>
      </c>
      <c r="E25" s="25" t="s">
        <v>187</v>
      </c>
      <c r="F25" s="25">
        <v>116.16</v>
      </c>
      <c r="G25" s="25">
        <v>13.3</v>
      </c>
      <c r="H25" s="25">
        <v>0</v>
      </c>
      <c r="I25" s="25">
        <v>0</v>
      </c>
      <c r="J25" s="25">
        <v>0</v>
      </c>
      <c r="K25" s="25">
        <v>0</v>
      </c>
      <c r="L25" s="25">
        <v>0</v>
      </c>
      <c r="M25" s="25">
        <v>2</v>
      </c>
      <c r="N25" s="25">
        <v>3</v>
      </c>
      <c r="O25" s="25">
        <v>0</v>
      </c>
      <c r="P25" s="25">
        <v>0</v>
      </c>
      <c r="Q25" s="25">
        <v>0</v>
      </c>
      <c r="R25" s="25">
        <v>0</v>
      </c>
      <c r="S25" s="25">
        <v>0</v>
      </c>
      <c r="T25" s="25">
        <v>0</v>
      </c>
      <c r="U25" s="25">
        <v>1</v>
      </c>
      <c r="V25" s="25">
        <v>0</v>
      </c>
      <c r="W25" s="25">
        <v>0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0</v>
      </c>
      <c r="AG25" s="25">
        <v>0.3828125</v>
      </c>
      <c r="AH25" s="25">
        <v>0.3828125</v>
      </c>
      <c r="AI25" s="25" t="s">
        <v>1131</v>
      </c>
      <c r="AJ25" s="14" t="s">
        <v>25</v>
      </c>
    </row>
    <row r="26" spans="1:36" ht="15" customHeight="1" x14ac:dyDescent="0.25">
      <c r="A26" s="1">
        <v>113</v>
      </c>
      <c r="B26" s="14" t="s">
        <v>806</v>
      </c>
      <c r="C26" s="14" t="s">
        <v>554</v>
      </c>
      <c r="D26" s="14" t="s">
        <v>21</v>
      </c>
      <c r="E26" s="29" t="s">
        <v>233</v>
      </c>
      <c r="F26" s="14">
        <v>96.08</v>
      </c>
      <c r="G26" s="14">
        <v>13.9</v>
      </c>
      <c r="H26" s="14">
        <v>5</v>
      </c>
      <c r="I26" s="14">
        <v>0</v>
      </c>
      <c r="J26" s="14">
        <v>4</v>
      </c>
      <c r="K26" s="14">
        <v>2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1</v>
      </c>
      <c r="R26" s="14">
        <v>0</v>
      </c>
      <c r="S26" s="14">
        <v>0</v>
      </c>
      <c r="T26" s="14">
        <v>1</v>
      </c>
      <c r="U26" s="14">
        <v>0</v>
      </c>
      <c r="V26" s="14">
        <v>0</v>
      </c>
      <c r="W26" s="14">
        <v>0</v>
      </c>
      <c r="X26" s="14">
        <v>3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25">
        <v>0</v>
      </c>
      <c r="AE26" s="25">
        <v>0</v>
      </c>
      <c r="AF26" s="25">
        <v>0</v>
      </c>
      <c r="AG26" s="25">
        <v>0.23553719000000001</v>
      </c>
      <c r="AH26" s="25">
        <v>0.26757369600000003</v>
      </c>
      <c r="AI26" s="14" t="s">
        <v>1248</v>
      </c>
      <c r="AJ26" s="14" t="s">
        <v>25</v>
      </c>
    </row>
    <row r="27" spans="1:36" ht="15" customHeight="1" x14ac:dyDescent="0.25">
      <c r="A27" s="1">
        <v>123</v>
      </c>
      <c r="B27" s="25" t="s">
        <v>1905</v>
      </c>
      <c r="C27" s="25" t="s">
        <v>1944</v>
      </c>
      <c r="D27" s="25" t="s">
        <v>1929</v>
      </c>
      <c r="E27" s="25" t="s">
        <v>1906</v>
      </c>
      <c r="F27" s="25">
        <v>202.244</v>
      </c>
      <c r="G27" s="25">
        <v>15</v>
      </c>
      <c r="H27" s="25">
        <v>0</v>
      </c>
      <c r="I27" s="25">
        <v>0</v>
      </c>
      <c r="J27" s="25">
        <v>0</v>
      </c>
      <c r="K27" s="25">
        <v>0</v>
      </c>
      <c r="L27" s="25">
        <v>0</v>
      </c>
      <c r="M27" s="25">
        <v>2</v>
      </c>
      <c r="N27" s="25">
        <v>6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2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0.52666666699999998</v>
      </c>
      <c r="AH27" s="25">
        <v>0.52666666699999998</v>
      </c>
      <c r="AI27" s="25" t="s">
        <v>1571</v>
      </c>
      <c r="AJ27" s="14" t="s">
        <v>25</v>
      </c>
    </row>
    <row r="28" spans="1:36" ht="15" customHeight="1" x14ac:dyDescent="0.25">
      <c r="A28" s="1">
        <v>128</v>
      </c>
      <c r="B28" s="25" t="s">
        <v>811</v>
      </c>
      <c r="C28" s="25" t="s">
        <v>1424</v>
      </c>
      <c r="D28" s="25" t="s">
        <v>10</v>
      </c>
      <c r="E28" s="25" t="s">
        <v>1680</v>
      </c>
      <c r="F28" s="25">
        <v>76.093999999999994</v>
      </c>
      <c r="G28" s="25">
        <v>15.5</v>
      </c>
      <c r="H28" s="25">
        <v>0</v>
      </c>
      <c r="I28" s="25">
        <v>0</v>
      </c>
      <c r="J28" s="25">
        <v>0</v>
      </c>
      <c r="K28" s="25">
        <v>0</v>
      </c>
      <c r="L28" s="25">
        <v>0</v>
      </c>
      <c r="M28" s="25">
        <v>1</v>
      </c>
      <c r="N28" s="25">
        <v>2</v>
      </c>
      <c r="O28" s="25">
        <v>1</v>
      </c>
      <c r="P28" s="25">
        <v>1</v>
      </c>
      <c r="Q28" s="25">
        <v>0</v>
      </c>
      <c r="R28" s="25">
        <v>0</v>
      </c>
      <c r="S28" s="25">
        <v>0</v>
      </c>
      <c r="T28" s="25">
        <v>0</v>
      </c>
      <c r="U28" s="25">
        <v>0</v>
      </c>
      <c r="V28" s="25">
        <v>0</v>
      </c>
      <c r="W28" s="25">
        <v>0</v>
      </c>
      <c r="X28" s="25">
        <v>0</v>
      </c>
      <c r="Y28" s="25">
        <v>0</v>
      </c>
      <c r="Z28" s="25">
        <v>0</v>
      </c>
      <c r="AA28" s="25">
        <v>0</v>
      </c>
      <c r="AB28" s="25">
        <v>1</v>
      </c>
      <c r="AC28" s="25">
        <v>0</v>
      </c>
      <c r="AD28" s="25">
        <v>0</v>
      </c>
      <c r="AE28" s="25">
        <v>0</v>
      </c>
      <c r="AF28" s="25">
        <v>0</v>
      </c>
      <c r="AG28" s="25">
        <v>0.255102041</v>
      </c>
      <c r="AH28" s="25">
        <v>0.21875</v>
      </c>
      <c r="AI28" s="25" t="s">
        <v>1571</v>
      </c>
      <c r="AJ28" s="14" t="s">
        <v>25</v>
      </c>
    </row>
    <row r="29" spans="1:36" ht="15" customHeight="1" x14ac:dyDescent="0.25">
      <c r="A29" s="1">
        <v>136</v>
      </c>
      <c r="B29" s="25" t="s">
        <v>1686</v>
      </c>
      <c r="C29" s="25" t="s">
        <v>1428</v>
      </c>
      <c r="D29" s="25" t="s">
        <v>10</v>
      </c>
      <c r="E29" s="25" t="s">
        <v>1687</v>
      </c>
      <c r="F29" s="25">
        <v>90.12</v>
      </c>
      <c r="G29" s="25">
        <v>16.3</v>
      </c>
      <c r="H29" s="25">
        <v>0</v>
      </c>
      <c r="I29" s="25">
        <v>0</v>
      </c>
      <c r="J29" s="25">
        <v>0</v>
      </c>
      <c r="K29" s="25">
        <v>0</v>
      </c>
      <c r="L29" s="25">
        <v>0</v>
      </c>
      <c r="M29" s="25">
        <v>2</v>
      </c>
      <c r="N29" s="25">
        <v>1</v>
      </c>
      <c r="O29" s="25">
        <v>1</v>
      </c>
      <c r="P29" s="25">
        <v>1</v>
      </c>
      <c r="Q29" s="25">
        <v>0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  <c r="W29" s="25">
        <v>0</v>
      </c>
      <c r="X29" s="25">
        <v>0</v>
      </c>
      <c r="Y29" s="25">
        <v>0</v>
      </c>
      <c r="Z29" s="25">
        <v>0</v>
      </c>
      <c r="AA29" s="25">
        <v>0</v>
      </c>
      <c r="AB29" s="25">
        <v>0</v>
      </c>
      <c r="AC29" s="25">
        <v>1</v>
      </c>
      <c r="AD29" s="25">
        <v>0</v>
      </c>
      <c r="AE29" s="25">
        <v>0</v>
      </c>
      <c r="AF29" s="25">
        <v>0</v>
      </c>
      <c r="AG29" s="25">
        <v>0.3359375</v>
      </c>
      <c r="AH29" s="25">
        <v>0.3</v>
      </c>
      <c r="AI29" s="25" t="s">
        <v>1571</v>
      </c>
      <c r="AJ29" s="14" t="s">
        <v>25</v>
      </c>
    </row>
    <row r="30" spans="1:36" ht="15" customHeight="1" x14ac:dyDescent="0.25">
      <c r="A30" s="1">
        <v>146</v>
      </c>
      <c r="B30" s="25" t="s">
        <v>803</v>
      </c>
      <c r="C30" s="25" t="s">
        <v>471</v>
      </c>
      <c r="D30" s="25" t="s">
        <v>21</v>
      </c>
      <c r="E30" s="25" t="s">
        <v>134</v>
      </c>
      <c r="F30" s="25">
        <v>98.1</v>
      </c>
      <c r="G30" s="25">
        <v>17.899999999999999</v>
      </c>
      <c r="H30" s="25">
        <v>0</v>
      </c>
      <c r="I30" s="25">
        <v>0</v>
      </c>
      <c r="J30" s="25">
        <v>0</v>
      </c>
      <c r="K30" s="25">
        <v>0</v>
      </c>
      <c r="L30" s="25">
        <v>0</v>
      </c>
      <c r="M30" s="25">
        <v>0</v>
      </c>
      <c r="N30" s="25">
        <v>1</v>
      </c>
      <c r="O30" s="25">
        <v>1</v>
      </c>
      <c r="P30" s="25"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0</v>
      </c>
      <c r="W30" s="25">
        <v>0</v>
      </c>
      <c r="X30" s="25">
        <v>0</v>
      </c>
      <c r="Y30" s="25">
        <v>0</v>
      </c>
      <c r="Z30" s="25">
        <v>1</v>
      </c>
      <c r="AA30" s="25">
        <v>3</v>
      </c>
      <c r="AB30" s="25">
        <v>1</v>
      </c>
      <c r="AC30" s="25">
        <v>0</v>
      </c>
      <c r="AD30" s="25">
        <v>0</v>
      </c>
      <c r="AE30" s="25">
        <v>0</v>
      </c>
      <c r="AF30" s="25">
        <v>0</v>
      </c>
      <c r="AG30" s="25">
        <v>0.22448979599999999</v>
      </c>
      <c r="AH30" s="25">
        <v>0.22448979599999999</v>
      </c>
      <c r="AI30" s="25" t="s">
        <v>1945</v>
      </c>
      <c r="AJ30" s="14" t="s">
        <v>25</v>
      </c>
    </row>
    <row r="31" spans="1:36" ht="15" customHeight="1" x14ac:dyDescent="0.25">
      <c r="A31" s="1">
        <v>148</v>
      </c>
      <c r="B31" s="25" t="s">
        <v>878</v>
      </c>
      <c r="C31" s="25" t="s">
        <v>254</v>
      </c>
      <c r="D31" s="25" t="s">
        <v>13</v>
      </c>
      <c r="E31" s="25" t="s">
        <v>61</v>
      </c>
      <c r="F31" s="25">
        <v>244.41</v>
      </c>
      <c r="G31" s="25">
        <v>18</v>
      </c>
      <c r="H31" s="25">
        <v>6</v>
      </c>
      <c r="I31" s="25">
        <v>0</v>
      </c>
      <c r="J31" s="25">
        <v>6</v>
      </c>
      <c r="K31" s="25">
        <v>3</v>
      </c>
      <c r="L31" s="25">
        <v>0</v>
      </c>
      <c r="M31" s="25">
        <v>1</v>
      </c>
      <c r="N31" s="25">
        <v>7</v>
      </c>
      <c r="O31" s="25">
        <v>0</v>
      </c>
      <c r="P31" s="25">
        <v>0</v>
      </c>
      <c r="Q31" s="25">
        <v>0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0</v>
      </c>
      <c r="X31" s="25">
        <v>4</v>
      </c>
      <c r="Y31" s="25">
        <v>0</v>
      </c>
      <c r="Z31" s="25">
        <v>1</v>
      </c>
      <c r="AA31" s="25">
        <v>3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0.50929752100000003</v>
      </c>
      <c r="AH31" s="25">
        <v>0.51136363600000001</v>
      </c>
      <c r="AI31" s="25" t="s">
        <v>937</v>
      </c>
      <c r="AJ31" s="14" t="s">
        <v>25</v>
      </c>
    </row>
    <row r="32" spans="1:36" ht="15" customHeight="1" x14ac:dyDescent="0.25">
      <c r="A32" s="1">
        <v>153</v>
      </c>
      <c r="B32" s="25" t="s">
        <v>828</v>
      </c>
      <c r="C32" s="25" t="s">
        <v>504</v>
      </c>
      <c r="D32" s="25" t="s">
        <v>13</v>
      </c>
      <c r="E32" s="25" t="s">
        <v>214</v>
      </c>
      <c r="F32" s="25">
        <v>268.44</v>
      </c>
      <c r="G32" s="25">
        <v>18</v>
      </c>
      <c r="H32" s="25">
        <v>10</v>
      </c>
      <c r="I32" s="25">
        <v>0</v>
      </c>
      <c r="J32" s="25">
        <v>10</v>
      </c>
      <c r="K32" s="25">
        <v>5</v>
      </c>
      <c r="L32" s="25">
        <v>1</v>
      </c>
      <c r="M32" s="25">
        <v>4</v>
      </c>
      <c r="N32" s="25">
        <v>4</v>
      </c>
      <c r="O32" s="25">
        <v>0</v>
      </c>
      <c r="P32" s="25">
        <v>0</v>
      </c>
      <c r="Q32" s="25">
        <v>0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  <c r="W32" s="25">
        <v>0</v>
      </c>
      <c r="X32" s="25">
        <v>7</v>
      </c>
      <c r="Y32" s="25">
        <v>0</v>
      </c>
      <c r="Z32" s="25">
        <v>0</v>
      </c>
      <c r="AA32" s="25">
        <v>0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0.545280612</v>
      </c>
      <c r="AH32" s="25">
        <v>0.52972588099999995</v>
      </c>
      <c r="AI32" s="25" t="s">
        <v>1198</v>
      </c>
      <c r="AJ32" s="14" t="s">
        <v>25</v>
      </c>
    </row>
    <row r="33" spans="1:36" ht="15" customHeight="1" x14ac:dyDescent="0.25">
      <c r="A33" s="1">
        <v>154</v>
      </c>
      <c r="B33" s="25" t="s">
        <v>1269</v>
      </c>
      <c r="C33" s="25" t="s">
        <v>1946</v>
      </c>
      <c r="D33" s="25" t="s">
        <v>13</v>
      </c>
      <c r="E33" s="25" t="s">
        <v>144</v>
      </c>
      <c r="F33" s="25">
        <v>254.41044160000001</v>
      </c>
      <c r="G33" s="25">
        <v>18</v>
      </c>
      <c r="H33" s="25">
        <v>10</v>
      </c>
      <c r="I33" s="25">
        <v>0</v>
      </c>
      <c r="J33" s="25">
        <v>10</v>
      </c>
      <c r="K33" s="25">
        <v>5</v>
      </c>
      <c r="L33" s="25">
        <v>1</v>
      </c>
      <c r="M33" s="25">
        <v>4</v>
      </c>
      <c r="N33" s="25">
        <v>3</v>
      </c>
      <c r="O33" s="25">
        <v>0</v>
      </c>
      <c r="P33" s="25">
        <v>0</v>
      </c>
      <c r="Q33" s="25">
        <v>0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  <c r="W33" s="25">
        <v>0</v>
      </c>
      <c r="X33" s="25">
        <v>7</v>
      </c>
      <c r="Y33" s="25">
        <v>0</v>
      </c>
      <c r="Z33" s="25">
        <v>0</v>
      </c>
      <c r="AA33" s="25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0</v>
      </c>
      <c r="AG33" s="25">
        <v>0.46569824199999998</v>
      </c>
      <c r="AH33" s="25">
        <v>0.51364859699999998</v>
      </c>
      <c r="AI33" s="25" t="s">
        <v>1306</v>
      </c>
      <c r="AJ33" s="14" t="s">
        <v>25</v>
      </c>
    </row>
    <row r="34" spans="1:36" ht="15" customHeight="1" x14ac:dyDescent="0.25">
      <c r="A34" s="1">
        <v>157</v>
      </c>
      <c r="B34" s="25" t="s">
        <v>1885</v>
      </c>
      <c r="C34" s="25" t="s">
        <v>1530</v>
      </c>
      <c r="D34" s="25" t="s">
        <v>13</v>
      </c>
      <c r="E34" s="25" t="s">
        <v>125</v>
      </c>
      <c r="F34" s="25">
        <v>148.238</v>
      </c>
      <c r="G34" s="25">
        <v>18</v>
      </c>
      <c r="H34" s="25">
        <v>6</v>
      </c>
      <c r="I34" s="25">
        <v>0</v>
      </c>
      <c r="J34" s="25">
        <v>6</v>
      </c>
      <c r="K34" s="25">
        <v>3</v>
      </c>
      <c r="L34" s="25">
        <v>0</v>
      </c>
      <c r="M34" s="25">
        <v>1</v>
      </c>
      <c r="N34" s="25">
        <v>4</v>
      </c>
      <c r="O34" s="25">
        <v>0</v>
      </c>
      <c r="P34" s="25">
        <v>0</v>
      </c>
      <c r="Q34" s="25">
        <v>0</v>
      </c>
      <c r="R34" s="25">
        <v>0</v>
      </c>
      <c r="S34" s="25">
        <v>0</v>
      </c>
      <c r="T34" s="25">
        <v>0</v>
      </c>
      <c r="U34" s="25">
        <v>0</v>
      </c>
      <c r="V34" s="25">
        <v>0</v>
      </c>
      <c r="W34" s="25">
        <v>0</v>
      </c>
      <c r="X34" s="25">
        <v>5</v>
      </c>
      <c r="Y34" s="25">
        <v>0</v>
      </c>
      <c r="Z34" s="25">
        <v>0</v>
      </c>
      <c r="AA34" s="25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0.442222222</v>
      </c>
      <c r="AH34" s="25">
        <v>0.380102041</v>
      </c>
      <c r="AI34" s="25" t="s">
        <v>1571</v>
      </c>
      <c r="AJ34" s="14" t="s">
        <v>25</v>
      </c>
    </row>
    <row r="35" spans="1:36" ht="15" customHeight="1" x14ac:dyDescent="0.25">
      <c r="A35" s="1">
        <v>167</v>
      </c>
      <c r="B35" s="14" t="s">
        <v>675</v>
      </c>
      <c r="C35" s="14" t="s">
        <v>334</v>
      </c>
      <c r="D35" s="14" t="s">
        <v>14</v>
      </c>
      <c r="E35" s="29" t="s">
        <v>114</v>
      </c>
      <c r="F35" s="14">
        <v>154.25</v>
      </c>
      <c r="G35" s="14">
        <v>18.8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3</v>
      </c>
      <c r="N35" s="14">
        <v>0</v>
      </c>
      <c r="O35" s="14">
        <v>0</v>
      </c>
      <c r="P35" s="14">
        <v>0</v>
      </c>
      <c r="Q35" s="14">
        <v>1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1</v>
      </c>
      <c r="AA35" s="14">
        <v>4</v>
      </c>
      <c r="AB35" s="14">
        <v>0</v>
      </c>
      <c r="AC35" s="14">
        <v>0</v>
      </c>
      <c r="AD35" s="25">
        <v>0</v>
      </c>
      <c r="AE35" s="25">
        <v>0</v>
      </c>
      <c r="AF35" s="25">
        <v>0</v>
      </c>
      <c r="AG35" s="25">
        <v>0.32291666699999999</v>
      </c>
      <c r="AH35" s="25">
        <v>0.32291666699999999</v>
      </c>
      <c r="AI35" s="14" t="s">
        <v>1026</v>
      </c>
      <c r="AJ35" s="14" t="s">
        <v>25</v>
      </c>
    </row>
    <row r="36" spans="1:36" ht="15" customHeight="1" x14ac:dyDescent="0.25">
      <c r="A36" s="1">
        <v>172</v>
      </c>
      <c r="B36" s="25" t="s">
        <v>1633</v>
      </c>
      <c r="C36" s="25" t="s">
        <v>1947</v>
      </c>
      <c r="D36" s="25" t="s">
        <v>16</v>
      </c>
      <c r="E36" s="25" t="s">
        <v>1629</v>
      </c>
      <c r="F36" s="25">
        <v>136.22800000000001</v>
      </c>
      <c r="G36" s="25">
        <v>19</v>
      </c>
      <c r="H36" s="25">
        <v>0</v>
      </c>
      <c r="I36" s="25">
        <v>2</v>
      </c>
      <c r="J36" s="25">
        <v>0</v>
      </c>
      <c r="K36" s="25">
        <v>2</v>
      </c>
      <c r="L36" s="25">
        <v>0</v>
      </c>
      <c r="M36" s="25">
        <v>2</v>
      </c>
      <c r="N36" s="25">
        <v>0</v>
      </c>
      <c r="O36" s="25">
        <v>0</v>
      </c>
      <c r="P36" s="25">
        <v>0</v>
      </c>
      <c r="Q36" s="25">
        <v>0</v>
      </c>
      <c r="R36" s="25">
        <v>0</v>
      </c>
      <c r="S36" s="25">
        <v>0</v>
      </c>
      <c r="T36" s="25">
        <v>0</v>
      </c>
      <c r="U36" s="25">
        <v>0</v>
      </c>
      <c r="V36" s="25">
        <v>0</v>
      </c>
      <c r="W36" s="25">
        <v>0</v>
      </c>
      <c r="X36" s="25">
        <v>1</v>
      </c>
      <c r="Y36" s="25">
        <v>1</v>
      </c>
      <c r="Z36" s="25">
        <v>1</v>
      </c>
      <c r="AA36" s="25">
        <v>3</v>
      </c>
      <c r="AB36" s="25">
        <v>0</v>
      </c>
      <c r="AC36" s="25">
        <v>0</v>
      </c>
      <c r="AD36" s="25">
        <v>0</v>
      </c>
      <c r="AE36" s="25">
        <v>0</v>
      </c>
      <c r="AF36" s="25">
        <v>0</v>
      </c>
      <c r="AG36" s="25">
        <v>0.40532544399999998</v>
      </c>
      <c r="AH36" s="25">
        <v>0.41319444399999999</v>
      </c>
      <c r="AI36" s="25" t="s">
        <v>1571</v>
      </c>
      <c r="AJ36" s="14" t="s">
        <v>25</v>
      </c>
    </row>
    <row r="37" spans="1:36" ht="15" customHeight="1" x14ac:dyDescent="0.25">
      <c r="A37" s="1">
        <v>174</v>
      </c>
      <c r="B37" s="14" t="s">
        <v>1686</v>
      </c>
      <c r="C37" s="14" t="s">
        <v>1500</v>
      </c>
      <c r="D37" s="14" t="s">
        <v>18</v>
      </c>
      <c r="E37" s="29" t="s">
        <v>1687</v>
      </c>
      <c r="F37" s="14">
        <v>90.12</v>
      </c>
      <c r="G37" s="14">
        <v>19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2</v>
      </c>
      <c r="N37" s="14">
        <v>1</v>
      </c>
      <c r="O37" s="14">
        <v>1</v>
      </c>
      <c r="P37" s="14">
        <v>1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1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1</v>
      </c>
      <c r="AD37" s="25">
        <v>0</v>
      </c>
      <c r="AE37" s="25">
        <v>0</v>
      </c>
      <c r="AF37" s="25">
        <v>0</v>
      </c>
      <c r="AG37" s="25">
        <v>0.3359375</v>
      </c>
      <c r="AH37" s="25">
        <v>0.3</v>
      </c>
      <c r="AI37" s="14" t="s">
        <v>1571</v>
      </c>
      <c r="AJ37" s="14" t="s">
        <v>25</v>
      </c>
    </row>
    <row r="38" spans="1:36" ht="15" customHeight="1" x14ac:dyDescent="0.25">
      <c r="A38" s="1">
        <v>177</v>
      </c>
      <c r="B38" s="14" t="s">
        <v>781</v>
      </c>
      <c r="C38" s="14" t="s">
        <v>550</v>
      </c>
      <c r="D38" s="14" t="s">
        <v>21</v>
      </c>
      <c r="E38" s="29" t="s">
        <v>231</v>
      </c>
      <c r="F38" s="14">
        <v>222.37</v>
      </c>
      <c r="G38" s="14">
        <v>19.2</v>
      </c>
      <c r="H38" s="14">
        <v>0</v>
      </c>
      <c r="I38" s="14">
        <v>3</v>
      </c>
      <c r="J38" s="14">
        <v>0</v>
      </c>
      <c r="K38" s="14">
        <v>3</v>
      </c>
      <c r="L38" s="14">
        <v>0</v>
      </c>
      <c r="M38" s="14">
        <v>4</v>
      </c>
      <c r="N38" s="14">
        <v>4</v>
      </c>
      <c r="O38" s="14">
        <v>1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3</v>
      </c>
      <c r="X38" s="14">
        <v>0</v>
      </c>
      <c r="Y38" s="14">
        <v>1</v>
      </c>
      <c r="Z38" s="14">
        <v>0</v>
      </c>
      <c r="AA38" s="14">
        <v>0</v>
      </c>
      <c r="AB38" s="14">
        <v>0</v>
      </c>
      <c r="AC38" s="14">
        <v>0</v>
      </c>
      <c r="AD38" s="25">
        <v>1</v>
      </c>
      <c r="AE38" s="25">
        <v>0</v>
      </c>
      <c r="AF38" s="25">
        <v>0</v>
      </c>
      <c r="AG38" s="25">
        <v>0.53125</v>
      </c>
      <c r="AH38" s="25">
        <v>0.56635802499999999</v>
      </c>
      <c r="AI38" s="14" t="s">
        <v>1244</v>
      </c>
      <c r="AJ38" s="14" t="s">
        <v>25</v>
      </c>
    </row>
    <row r="39" spans="1:36" ht="15" customHeight="1" x14ac:dyDescent="0.25">
      <c r="A39" s="1">
        <v>195</v>
      </c>
      <c r="B39" s="25" t="s">
        <v>802</v>
      </c>
      <c r="C39" s="25" t="s">
        <v>470</v>
      </c>
      <c r="D39" s="25" t="s">
        <v>21</v>
      </c>
      <c r="E39" s="25" t="s">
        <v>124</v>
      </c>
      <c r="F39" s="25">
        <v>70.09</v>
      </c>
      <c r="G39" s="25">
        <v>20</v>
      </c>
      <c r="H39" s="25">
        <v>0</v>
      </c>
      <c r="I39" s="25">
        <v>1</v>
      </c>
      <c r="J39" s="25">
        <v>0</v>
      </c>
      <c r="K39" s="25">
        <v>1</v>
      </c>
      <c r="L39" s="25">
        <v>0</v>
      </c>
      <c r="M39" s="25">
        <v>0</v>
      </c>
      <c r="N39" s="25">
        <v>0</v>
      </c>
      <c r="O39" s="25">
        <v>0</v>
      </c>
      <c r="P39" s="25">
        <v>0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0</v>
      </c>
      <c r="W39" s="25">
        <v>0</v>
      </c>
      <c r="X39" s="25">
        <v>2</v>
      </c>
      <c r="Y39" s="25">
        <v>0</v>
      </c>
      <c r="Z39" s="25">
        <v>0</v>
      </c>
      <c r="AA39" s="25">
        <v>2</v>
      </c>
      <c r="AB39" s="25">
        <v>0</v>
      </c>
      <c r="AC39" s="25">
        <v>0</v>
      </c>
      <c r="AD39" s="25">
        <v>0</v>
      </c>
      <c r="AE39" s="25">
        <v>0</v>
      </c>
      <c r="AF39" s="25">
        <v>0</v>
      </c>
      <c r="AG39" s="25">
        <v>0.1171875</v>
      </c>
      <c r="AH39" s="25">
        <v>0.16666666699999999</v>
      </c>
      <c r="AI39" s="25" t="s">
        <v>1166</v>
      </c>
      <c r="AJ39" s="14" t="s">
        <v>25</v>
      </c>
    </row>
    <row r="40" spans="1:36" ht="15" customHeight="1" x14ac:dyDescent="0.25">
      <c r="A40" s="1">
        <v>196</v>
      </c>
      <c r="B40" s="14" t="s">
        <v>637</v>
      </c>
      <c r="C40" s="14" t="s">
        <v>1555</v>
      </c>
      <c r="D40" s="14" t="s">
        <v>12</v>
      </c>
      <c r="E40" s="29" t="s">
        <v>72</v>
      </c>
      <c r="F40" s="14">
        <v>136.22999999999999</v>
      </c>
      <c r="G40" s="14">
        <v>20.3</v>
      </c>
      <c r="H40" s="14">
        <v>0</v>
      </c>
      <c r="I40" s="14">
        <v>2</v>
      </c>
      <c r="J40" s="14">
        <v>0</v>
      </c>
      <c r="K40" s="14">
        <v>2</v>
      </c>
      <c r="L40" s="14">
        <v>0</v>
      </c>
      <c r="M40" s="14">
        <v>3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1</v>
      </c>
      <c r="W40" s="14">
        <v>0</v>
      </c>
      <c r="X40" s="14">
        <v>2</v>
      </c>
      <c r="Y40" s="14">
        <v>0</v>
      </c>
      <c r="Z40" s="14">
        <v>0</v>
      </c>
      <c r="AA40" s="14">
        <v>2</v>
      </c>
      <c r="AB40" s="14">
        <v>0</v>
      </c>
      <c r="AC40" s="14">
        <v>0</v>
      </c>
      <c r="AD40" s="25">
        <v>0</v>
      </c>
      <c r="AE40" s="25">
        <v>0</v>
      </c>
      <c r="AF40" s="25">
        <v>0</v>
      </c>
      <c r="AG40" s="25">
        <v>0.380102041</v>
      </c>
      <c r="AH40" s="25">
        <v>0.39236111099999998</v>
      </c>
      <c r="AI40" s="14" t="s">
        <v>950</v>
      </c>
      <c r="AJ40" s="14" t="s">
        <v>25</v>
      </c>
    </row>
    <row r="41" spans="1:36" ht="15" customHeight="1" x14ac:dyDescent="0.25">
      <c r="A41" s="1">
        <v>199</v>
      </c>
      <c r="B41" s="14" t="s">
        <v>1290</v>
      </c>
      <c r="C41" s="14" t="s">
        <v>1948</v>
      </c>
      <c r="D41" s="14" t="s">
        <v>17</v>
      </c>
      <c r="E41" s="29" t="s">
        <v>118</v>
      </c>
      <c r="F41" s="14">
        <v>278.43027860000001</v>
      </c>
      <c r="G41" s="14">
        <v>20.399999999999999</v>
      </c>
      <c r="H41" s="14">
        <v>0</v>
      </c>
      <c r="I41" s="14">
        <v>3</v>
      </c>
      <c r="J41" s="14">
        <v>0</v>
      </c>
      <c r="K41" s="14">
        <v>3</v>
      </c>
      <c r="L41" s="14">
        <v>0</v>
      </c>
      <c r="M41" s="14">
        <v>1</v>
      </c>
      <c r="N41" s="14">
        <v>10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6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25">
        <v>0</v>
      </c>
      <c r="AE41" s="25">
        <v>0</v>
      </c>
      <c r="AF41" s="25">
        <v>1</v>
      </c>
      <c r="AG41" s="25">
        <v>0.58844953200000005</v>
      </c>
      <c r="AH41" s="25">
        <v>0.624763705</v>
      </c>
      <c r="AI41" s="14" t="s">
        <v>1306</v>
      </c>
      <c r="AJ41" s="14" t="s">
        <v>25</v>
      </c>
    </row>
    <row r="42" spans="1:36" ht="15" customHeight="1" x14ac:dyDescent="0.25">
      <c r="A42" s="1">
        <v>203</v>
      </c>
      <c r="B42" s="14" t="s">
        <v>1572</v>
      </c>
      <c r="C42" s="14" t="s">
        <v>1371</v>
      </c>
      <c r="D42" s="14" t="s">
        <v>7</v>
      </c>
      <c r="E42" s="29" t="s">
        <v>1573</v>
      </c>
      <c r="F42" s="14">
        <v>58.12</v>
      </c>
      <c r="G42" s="14">
        <v>20.6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2</v>
      </c>
      <c r="N42" s="14">
        <v>2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25">
        <v>0</v>
      </c>
      <c r="AE42" s="25">
        <v>0</v>
      </c>
      <c r="AF42" s="25">
        <v>0</v>
      </c>
      <c r="AG42" s="25">
        <v>0.16666666699999999</v>
      </c>
      <c r="AH42" s="25">
        <v>0.16666666699999999</v>
      </c>
      <c r="AI42" s="14" t="s">
        <v>1571</v>
      </c>
      <c r="AJ42" s="14" t="s">
        <v>25</v>
      </c>
    </row>
    <row r="43" spans="1:36" ht="15" customHeight="1" x14ac:dyDescent="0.25">
      <c r="A43" s="1">
        <v>204</v>
      </c>
      <c r="B43" s="14" t="s">
        <v>713</v>
      </c>
      <c r="C43" s="14" t="s">
        <v>436</v>
      </c>
      <c r="D43" s="14" t="s">
        <v>17</v>
      </c>
      <c r="E43" s="29" t="s">
        <v>75</v>
      </c>
      <c r="F43" s="14">
        <v>144.21</v>
      </c>
      <c r="G43" s="14">
        <v>20.7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2</v>
      </c>
      <c r="N43" s="14">
        <v>5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1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25">
        <v>0</v>
      </c>
      <c r="AE43" s="25">
        <v>0</v>
      </c>
      <c r="AF43" s="25">
        <v>0</v>
      </c>
      <c r="AG43" s="25">
        <v>0.46500000000000002</v>
      </c>
      <c r="AH43" s="25">
        <v>0.46500000000000002</v>
      </c>
      <c r="AI43" s="14" t="s">
        <v>1132</v>
      </c>
      <c r="AJ43" s="14" t="s">
        <v>25</v>
      </c>
    </row>
    <row r="44" spans="1:36" ht="15" customHeight="1" x14ac:dyDescent="0.25">
      <c r="A44" s="1">
        <v>230</v>
      </c>
      <c r="B44" s="25" t="s">
        <v>685</v>
      </c>
      <c r="C44" s="25" t="s">
        <v>388</v>
      </c>
      <c r="D44" s="25" t="s">
        <v>16</v>
      </c>
      <c r="E44" s="25" t="s">
        <v>54</v>
      </c>
      <c r="F44" s="25">
        <v>112.21</v>
      </c>
      <c r="G44" s="25">
        <v>22</v>
      </c>
      <c r="H44" s="25">
        <v>0</v>
      </c>
      <c r="I44" s="25">
        <v>0</v>
      </c>
      <c r="J44" s="25">
        <v>0</v>
      </c>
      <c r="K44" s="25">
        <v>0</v>
      </c>
      <c r="L44" s="25">
        <v>0</v>
      </c>
      <c r="M44" s="25">
        <v>0</v>
      </c>
      <c r="N44" s="25">
        <v>0</v>
      </c>
      <c r="O44" s="25">
        <v>0</v>
      </c>
      <c r="P44" s="25">
        <v>0</v>
      </c>
      <c r="Q44" s="25">
        <v>0</v>
      </c>
      <c r="R44" s="25">
        <v>0</v>
      </c>
      <c r="S44" s="25">
        <v>0</v>
      </c>
      <c r="T44" s="25">
        <v>0</v>
      </c>
      <c r="U44" s="25">
        <v>0</v>
      </c>
      <c r="V44" s="25">
        <v>0</v>
      </c>
      <c r="W44" s="25">
        <v>0</v>
      </c>
      <c r="X44" s="25">
        <v>0</v>
      </c>
      <c r="Y44" s="25">
        <v>0</v>
      </c>
      <c r="Z44" s="25">
        <v>0</v>
      </c>
      <c r="AA44" s="25">
        <v>8</v>
      </c>
      <c r="AB44" s="25">
        <v>0</v>
      </c>
      <c r="AC44" s="25">
        <v>0</v>
      </c>
      <c r="AD44" s="25">
        <v>0</v>
      </c>
      <c r="AE44" s="25">
        <v>0</v>
      </c>
      <c r="AF44" s="25">
        <v>0</v>
      </c>
      <c r="AG44" s="25">
        <v>0.25</v>
      </c>
      <c r="AH44" s="25">
        <v>0.25</v>
      </c>
      <c r="AI44" s="25" t="s">
        <v>1086</v>
      </c>
      <c r="AJ44" s="14" t="s">
        <v>25</v>
      </c>
    </row>
    <row r="45" spans="1:36" ht="15" customHeight="1" x14ac:dyDescent="0.25">
      <c r="A45" s="1">
        <v>231</v>
      </c>
      <c r="B45" s="14" t="s">
        <v>676</v>
      </c>
      <c r="C45" s="14" t="s">
        <v>266</v>
      </c>
      <c r="D45" s="14" t="s">
        <v>15</v>
      </c>
      <c r="E45" s="29" t="s">
        <v>73</v>
      </c>
      <c r="F45" s="14">
        <v>112.17</v>
      </c>
      <c r="G45" s="14">
        <v>22.5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6</v>
      </c>
      <c r="AB45" s="14">
        <v>0</v>
      </c>
      <c r="AC45" s="14">
        <v>0</v>
      </c>
      <c r="AD45" s="25">
        <v>0</v>
      </c>
      <c r="AE45" s="25">
        <v>0</v>
      </c>
      <c r="AF45" s="25">
        <v>0</v>
      </c>
      <c r="AG45" s="25">
        <v>0.30864197500000001</v>
      </c>
      <c r="AH45" s="25">
        <v>0.33333333300000001</v>
      </c>
      <c r="AI45" s="14" t="s">
        <v>953</v>
      </c>
      <c r="AJ45" s="14" t="s">
        <v>25</v>
      </c>
    </row>
    <row r="46" spans="1:36" ht="15" customHeight="1" x14ac:dyDescent="0.25">
      <c r="A46" s="1">
        <v>233</v>
      </c>
      <c r="B46" s="14" t="s">
        <v>603</v>
      </c>
      <c r="C46" s="14" t="s">
        <v>310</v>
      </c>
      <c r="D46" s="14" t="s">
        <v>21</v>
      </c>
      <c r="E46" s="29" t="s">
        <v>115</v>
      </c>
      <c r="F46" s="14">
        <v>292.45</v>
      </c>
      <c r="G46" s="14">
        <v>22.7</v>
      </c>
      <c r="H46" s="14">
        <v>0</v>
      </c>
      <c r="I46" s="14">
        <v>3</v>
      </c>
      <c r="J46" s="14">
        <v>0</v>
      </c>
      <c r="K46" s="14">
        <v>3</v>
      </c>
      <c r="L46" s="14">
        <v>0</v>
      </c>
      <c r="M46" s="14">
        <v>2</v>
      </c>
      <c r="N46" s="14">
        <v>10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1</v>
      </c>
      <c r="V46" s="14">
        <v>0</v>
      </c>
      <c r="W46" s="14">
        <v>6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25">
        <v>0</v>
      </c>
      <c r="AE46" s="25">
        <v>0</v>
      </c>
      <c r="AF46" s="25">
        <v>0</v>
      </c>
      <c r="AG46" s="25">
        <v>0.59716796900000002</v>
      </c>
      <c r="AH46" s="25">
        <v>0.6328125</v>
      </c>
      <c r="AI46" s="14" t="s">
        <v>1001</v>
      </c>
      <c r="AJ46" s="14" t="s">
        <v>25</v>
      </c>
    </row>
    <row r="47" spans="1:36" ht="15" customHeight="1" x14ac:dyDescent="0.25">
      <c r="A47" s="1">
        <v>236</v>
      </c>
      <c r="B47" s="14" t="s">
        <v>865</v>
      </c>
      <c r="C47" s="14" t="s">
        <v>1949</v>
      </c>
      <c r="D47" s="14" t="s">
        <v>13</v>
      </c>
      <c r="E47" s="29" t="s">
        <v>182</v>
      </c>
      <c r="F47" s="14">
        <v>230.39</v>
      </c>
      <c r="G47" s="14">
        <v>23</v>
      </c>
      <c r="H47" s="14">
        <v>6</v>
      </c>
      <c r="I47" s="14">
        <v>1</v>
      </c>
      <c r="J47" s="14">
        <v>6</v>
      </c>
      <c r="K47" s="14">
        <v>4</v>
      </c>
      <c r="L47" s="14">
        <v>0</v>
      </c>
      <c r="M47" s="14">
        <v>2</v>
      </c>
      <c r="N47" s="14">
        <v>7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1</v>
      </c>
      <c r="X47" s="14">
        <v>5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25">
        <v>0</v>
      </c>
      <c r="AE47" s="25">
        <v>0</v>
      </c>
      <c r="AF47" s="25">
        <v>0</v>
      </c>
      <c r="AG47" s="25">
        <v>0.54989975499999999</v>
      </c>
      <c r="AH47" s="25">
        <v>0.55215419499999996</v>
      </c>
      <c r="AI47" s="14" t="s">
        <v>1222</v>
      </c>
      <c r="AJ47" s="14" t="s">
        <v>25</v>
      </c>
    </row>
    <row r="48" spans="1:36" ht="15" customHeight="1" x14ac:dyDescent="0.25">
      <c r="A48" s="1">
        <v>238</v>
      </c>
      <c r="B48" s="14" t="s">
        <v>1893</v>
      </c>
      <c r="C48" s="14" t="s">
        <v>1950</v>
      </c>
      <c r="D48" s="14" t="s">
        <v>13</v>
      </c>
      <c r="E48" s="29" t="s">
        <v>182</v>
      </c>
      <c r="F48" s="14">
        <v>230.37799999999999</v>
      </c>
      <c r="G48" s="14">
        <v>23</v>
      </c>
      <c r="H48" s="14">
        <v>6</v>
      </c>
      <c r="I48" s="14">
        <v>1</v>
      </c>
      <c r="J48" s="14">
        <v>6</v>
      </c>
      <c r="K48" s="14">
        <v>4</v>
      </c>
      <c r="L48" s="14">
        <v>0</v>
      </c>
      <c r="M48" s="14">
        <v>2</v>
      </c>
      <c r="N48" s="14">
        <v>7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1</v>
      </c>
      <c r="X48" s="14">
        <v>5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25">
        <v>0</v>
      </c>
      <c r="AE48" s="25">
        <v>0</v>
      </c>
      <c r="AF48" s="25">
        <v>0</v>
      </c>
      <c r="AG48" s="25">
        <v>0.540289256</v>
      </c>
      <c r="AH48" s="25">
        <v>0.55215419499999996</v>
      </c>
      <c r="AI48" s="14" t="s">
        <v>1571</v>
      </c>
      <c r="AJ48" s="14" t="s">
        <v>25</v>
      </c>
    </row>
    <row r="49" spans="1:36" ht="15" customHeight="1" x14ac:dyDescent="0.25">
      <c r="A49" s="1">
        <v>241</v>
      </c>
      <c r="B49" s="25" t="s">
        <v>1265</v>
      </c>
      <c r="C49" s="25" t="s">
        <v>1951</v>
      </c>
      <c r="D49" s="25" t="s">
        <v>10</v>
      </c>
      <c r="E49" s="25" t="s">
        <v>102</v>
      </c>
      <c r="F49" s="25">
        <v>130.2282257</v>
      </c>
      <c r="G49" s="25">
        <v>23.4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2</v>
      </c>
      <c r="N49" s="25">
        <v>5</v>
      </c>
      <c r="O49" s="25">
        <v>1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1</v>
      </c>
      <c r="AC49" s="25">
        <v>0</v>
      </c>
      <c r="AD49" s="25">
        <v>0</v>
      </c>
      <c r="AE49" s="25">
        <v>0</v>
      </c>
      <c r="AF49" s="25">
        <v>0</v>
      </c>
      <c r="AG49" s="25">
        <v>0.39930555600000001</v>
      </c>
      <c r="AH49" s="25">
        <v>0.3828125</v>
      </c>
      <c r="AI49" s="25" t="s">
        <v>1306</v>
      </c>
      <c r="AJ49" s="14" t="s">
        <v>25</v>
      </c>
    </row>
    <row r="50" spans="1:36" ht="15" customHeight="1" x14ac:dyDescent="0.25">
      <c r="A50" s="1">
        <v>243</v>
      </c>
      <c r="B50" s="14" t="s">
        <v>1702</v>
      </c>
      <c r="C50" s="14" t="s">
        <v>1437</v>
      </c>
      <c r="D50" s="14" t="s">
        <v>10</v>
      </c>
      <c r="E50" s="29" t="s">
        <v>102</v>
      </c>
      <c r="F50" s="14">
        <v>130.22399999999999</v>
      </c>
      <c r="G50" s="14">
        <v>23.5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2</v>
      </c>
      <c r="N50" s="14">
        <v>5</v>
      </c>
      <c r="O50" s="14">
        <v>1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1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1</v>
      </c>
      <c r="AC50" s="14">
        <v>0</v>
      </c>
      <c r="AD50" s="25">
        <v>0</v>
      </c>
      <c r="AE50" s="25">
        <v>0</v>
      </c>
      <c r="AF50" s="25">
        <v>0</v>
      </c>
      <c r="AG50" s="25">
        <v>0.39930555600000001</v>
      </c>
      <c r="AH50" s="25">
        <v>0.3828125</v>
      </c>
      <c r="AI50" s="14" t="s">
        <v>1571</v>
      </c>
      <c r="AJ50" s="14" t="s">
        <v>25</v>
      </c>
    </row>
    <row r="51" spans="1:36" ht="15" customHeight="1" x14ac:dyDescent="0.25">
      <c r="A51" s="1">
        <v>244</v>
      </c>
      <c r="B51" s="14" t="s">
        <v>581</v>
      </c>
      <c r="C51" s="14" t="s">
        <v>306</v>
      </c>
      <c r="D51" s="14" t="s">
        <v>17</v>
      </c>
      <c r="E51" s="29" t="s">
        <v>112</v>
      </c>
      <c r="F51" s="14">
        <v>158.24</v>
      </c>
      <c r="G51" s="14">
        <v>23.5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2</v>
      </c>
      <c r="N51" s="14">
        <v>6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1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25">
        <v>0</v>
      </c>
      <c r="AE51" s="25">
        <v>0</v>
      </c>
      <c r="AF51" s="25">
        <v>0</v>
      </c>
      <c r="AG51" s="25">
        <v>0.47520661199999997</v>
      </c>
      <c r="AH51" s="25">
        <v>0.483471074</v>
      </c>
      <c r="AI51" s="14" t="s">
        <v>997</v>
      </c>
      <c r="AJ51" s="14" t="s">
        <v>25</v>
      </c>
    </row>
    <row r="52" spans="1:36" ht="15" customHeight="1" x14ac:dyDescent="0.25">
      <c r="A52" s="1">
        <v>247</v>
      </c>
      <c r="B52" s="25" t="s">
        <v>586</v>
      </c>
      <c r="C52" s="25" t="s">
        <v>348</v>
      </c>
      <c r="D52" s="25" t="s">
        <v>18</v>
      </c>
      <c r="E52" s="25" t="s">
        <v>140</v>
      </c>
      <c r="F52" s="25">
        <v>102.17</v>
      </c>
      <c r="G52" s="25">
        <v>23.6</v>
      </c>
      <c r="H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4</v>
      </c>
      <c r="N52" s="25">
        <v>0</v>
      </c>
      <c r="O52" s="25">
        <v>0</v>
      </c>
      <c r="P52" s="25">
        <v>1</v>
      </c>
      <c r="Q52" s="25">
        <v>0</v>
      </c>
      <c r="R52" s="25">
        <v>0</v>
      </c>
      <c r="S52" s="25">
        <v>0</v>
      </c>
      <c r="T52" s="25">
        <v>0</v>
      </c>
      <c r="U52" s="25">
        <v>0</v>
      </c>
      <c r="V52" s="25">
        <v>2</v>
      </c>
      <c r="W52" s="25">
        <v>0</v>
      </c>
      <c r="X52" s="25">
        <v>0</v>
      </c>
      <c r="Y52" s="25">
        <v>0</v>
      </c>
      <c r="Z52" s="25">
        <v>0</v>
      </c>
      <c r="AA52" s="25">
        <v>0</v>
      </c>
      <c r="AB52" s="25">
        <v>0</v>
      </c>
      <c r="AC52" s="25">
        <v>0</v>
      </c>
      <c r="AD52" s="25">
        <v>0</v>
      </c>
      <c r="AE52" s="25">
        <v>0</v>
      </c>
      <c r="AF52" s="25">
        <v>0</v>
      </c>
      <c r="AG52" s="25">
        <v>0.3359375</v>
      </c>
      <c r="AH52" s="25">
        <v>0.31944444399999999</v>
      </c>
      <c r="AI52" s="25" t="s">
        <v>1040</v>
      </c>
      <c r="AJ52" s="14" t="s">
        <v>25</v>
      </c>
    </row>
    <row r="53" spans="1:36" ht="15" customHeight="1" x14ac:dyDescent="0.25">
      <c r="A53" s="1">
        <v>251</v>
      </c>
      <c r="B53" s="25" t="s">
        <v>649</v>
      </c>
      <c r="C53" s="25" t="s">
        <v>421</v>
      </c>
      <c r="D53" s="25" t="s">
        <v>12</v>
      </c>
      <c r="E53" s="25" t="s">
        <v>179</v>
      </c>
      <c r="F53" s="25">
        <v>222.41</v>
      </c>
      <c r="G53" s="25">
        <v>24</v>
      </c>
      <c r="H53" s="25">
        <v>0</v>
      </c>
      <c r="I53" s="25">
        <v>2</v>
      </c>
      <c r="J53" s="25">
        <v>0</v>
      </c>
      <c r="K53" s="25">
        <v>2</v>
      </c>
      <c r="L53" s="25">
        <v>0</v>
      </c>
      <c r="M53" s="25">
        <v>5</v>
      </c>
      <c r="N53" s="25">
        <v>7</v>
      </c>
      <c r="O53" s="25">
        <v>0</v>
      </c>
      <c r="P53" s="25">
        <v>0</v>
      </c>
      <c r="Q53" s="25">
        <v>0</v>
      </c>
      <c r="R53" s="25">
        <v>0</v>
      </c>
      <c r="S53" s="25">
        <v>0</v>
      </c>
      <c r="T53" s="25">
        <v>0</v>
      </c>
      <c r="U53" s="25">
        <v>0</v>
      </c>
      <c r="V53" s="25">
        <v>0</v>
      </c>
      <c r="W53" s="25">
        <v>1</v>
      </c>
      <c r="X53" s="25">
        <v>0</v>
      </c>
      <c r="Y53" s="25">
        <v>0</v>
      </c>
      <c r="Z53" s="25">
        <v>0</v>
      </c>
      <c r="AA53" s="25">
        <v>0</v>
      </c>
      <c r="AB53" s="25">
        <v>0</v>
      </c>
      <c r="AC53" s="25">
        <v>0</v>
      </c>
      <c r="AD53" s="25">
        <v>0</v>
      </c>
      <c r="AE53" s="25">
        <v>0</v>
      </c>
      <c r="AF53" s="25">
        <v>0</v>
      </c>
      <c r="AG53" s="25">
        <v>0.54914933799999999</v>
      </c>
      <c r="AH53" s="25">
        <v>0.54844290699999998</v>
      </c>
      <c r="AI53" s="25" t="s">
        <v>1119</v>
      </c>
      <c r="AJ53" s="14" t="s">
        <v>25</v>
      </c>
    </row>
    <row r="54" spans="1:36" ht="15" customHeight="1" x14ac:dyDescent="0.25">
      <c r="A54" s="1">
        <v>259</v>
      </c>
      <c r="B54" s="25" t="s">
        <v>724</v>
      </c>
      <c r="C54" s="25" t="s">
        <v>250</v>
      </c>
      <c r="D54" s="25" t="s">
        <v>19</v>
      </c>
      <c r="E54" s="25" t="s">
        <v>57</v>
      </c>
      <c r="F54" s="25">
        <v>72.150000000000006</v>
      </c>
      <c r="G54" s="25">
        <v>24</v>
      </c>
      <c r="H54" s="25">
        <v>0</v>
      </c>
      <c r="I54" s="25">
        <v>0</v>
      </c>
      <c r="J54" s="25">
        <v>0</v>
      </c>
      <c r="K54" s="25">
        <v>0</v>
      </c>
      <c r="L54" s="25">
        <v>0</v>
      </c>
      <c r="M54" s="25">
        <v>3</v>
      </c>
      <c r="N54" s="25">
        <v>1</v>
      </c>
      <c r="O54" s="25">
        <v>0</v>
      </c>
      <c r="P54" s="25">
        <v>0</v>
      </c>
      <c r="Q54" s="25">
        <v>0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  <c r="W54" s="25">
        <v>0</v>
      </c>
      <c r="X54" s="25">
        <v>0</v>
      </c>
      <c r="Y54" s="25">
        <v>0</v>
      </c>
      <c r="Z54" s="25">
        <v>0</v>
      </c>
      <c r="AA54" s="25">
        <v>0</v>
      </c>
      <c r="AB54" s="25">
        <v>0</v>
      </c>
      <c r="AC54" s="25">
        <v>0</v>
      </c>
      <c r="AD54" s="25">
        <v>0</v>
      </c>
      <c r="AE54" s="25">
        <v>0</v>
      </c>
      <c r="AF54" s="25">
        <v>0</v>
      </c>
      <c r="AG54" s="25">
        <v>0.255102041</v>
      </c>
      <c r="AH54" s="25">
        <v>0.21875</v>
      </c>
      <c r="AI54" s="25" t="s">
        <v>933</v>
      </c>
      <c r="AJ54" s="14" t="s">
        <v>25</v>
      </c>
    </row>
    <row r="55" spans="1:36" ht="15" customHeight="1" x14ac:dyDescent="0.25">
      <c r="A55" s="1">
        <v>265</v>
      </c>
      <c r="B55" s="14" t="s">
        <v>817</v>
      </c>
      <c r="C55" s="14" t="s">
        <v>351</v>
      </c>
      <c r="D55" s="14" t="s">
        <v>10</v>
      </c>
      <c r="E55" s="29" t="s">
        <v>140</v>
      </c>
      <c r="F55" s="14">
        <v>102.17</v>
      </c>
      <c r="G55" s="14">
        <v>24.4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1</v>
      </c>
      <c r="N55" s="14">
        <v>5</v>
      </c>
      <c r="O55" s="14">
        <v>1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1</v>
      </c>
      <c r="AC55" s="14">
        <v>0</v>
      </c>
      <c r="AD55" s="25">
        <v>0</v>
      </c>
      <c r="AE55" s="25">
        <v>0</v>
      </c>
      <c r="AF55" s="25">
        <v>0</v>
      </c>
      <c r="AG55" s="25">
        <v>0.31944444399999999</v>
      </c>
      <c r="AH55" s="25">
        <v>0.31944444399999999</v>
      </c>
      <c r="AI55" s="14" t="s">
        <v>1043</v>
      </c>
      <c r="AJ55" s="14" t="s">
        <v>25</v>
      </c>
    </row>
    <row r="56" spans="1:36" ht="15" customHeight="1" x14ac:dyDescent="0.25">
      <c r="A56" s="1">
        <v>268</v>
      </c>
      <c r="B56" s="25" t="s">
        <v>1741</v>
      </c>
      <c r="C56" s="25" t="s">
        <v>1458</v>
      </c>
      <c r="D56" s="25" t="s">
        <v>1932</v>
      </c>
      <c r="E56" s="25" t="s">
        <v>1742</v>
      </c>
      <c r="F56" s="25">
        <v>168.18600000000001</v>
      </c>
      <c r="G56" s="25">
        <v>25</v>
      </c>
      <c r="H56" s="25">
        <v>6</v>
      </c>
      <c r="I56" s="25">
        <v>0</v>
      </c>
      <c r="J56" s="25">
        <v>6</v>
      </c>
      <c r="K56" s="25">
        <v>3</v>
      </c>
      <c r="L56" s="25">
        <v>0</v>
      </c>
      <c r="M56" s="25">
        <v>3</v>
      </c>
      <c r="N56" s="25">
        <v>0</v>
      </c>
      <c r="O56" s="25">
        <v>1</v>
      </c>
      <c r="P56" s="25">
        <v>2</v>
      </c>
      <c r="Q56" s="25">
        <v>0</v>
      </c>
      <c r="R56" s="25">
        <v>0</v>
      </c>
      <c r="S56" s="25">
        <v>0</v>
      </c>
      <c r="T56" s="25">
        <v>0</v>
      </c>
      <c r="U56" s="25">
        <v>0</v>
      </c>
      <c r="V56" s="25">
        <v>0</v>
      </c>
      <c r="W56" s="25">
        <v>0</v>
      </c>
      <c r="X56" s="25">
        <v>2</v>
      </c>
      <c r="Y56" s="25">
        <v>0</v>
      </c>
      <c r="Z56" s="25">
        <v>0</v>
      </c>
      <c r="AA56" s="25">
        <v>0</v>
      </c>
      <c r="AB56" s="25">
        <v>0</v>
      </c>
      <c r="AC56" s="25">
        <v>0</v>
      </c>
      <c r="AD56" s="25">
        <v>0</v>
      </c>
      <c r="AE56" s="25">
        <v>1</v>
      </c>
      <c r="AF56" s="25">
        <v>0</v>
      </c>
      <c r="AG56" s="25">
        <v>0.45777777800000002</v>
      </c>
      <c r="AH56" s="25">
        <v>0.35777777799999999</v>
      </c>
      <c r="AI56" s="25" t="s">
        <v>1571</v>
      </c>
      <c r="AJ56" s="14" t="s">
        <v>25</v>
      </c>
    </row>
    <row r="57" spans="1:36" ht="15" customHeight="1" x14ac:dyDescent="0.25">
      <c r="A57" s="1">
        <v>271</v>
      </c>
      <c r="B57" s="25" t="s">
        <v>1591</v>
      </c>
      <c r="C57" s="25" t="s">
        <v>1381</v>
      </c>
      <c r="D57" s="25" t="s">
        <v>19</v>
      </c>
      <c r="E57" s="25" t="s">
        <v>90</v>
      </c>
      <c r="F57" s="25">
        <v>114.224</v>
      </c>
      <c r="G57" s="25">
        <v>25.1</v>
      </c>
      <c r="H57" s="25">
        <v>0</v>
      </c>
      <c r="I57" s="25">
        <v>0</v>
      </c>
      <c r="J57" s="25">
        <v>0</v>
      </c>
      <c r="K57" s="25">
        <v>0</v>
      </c>
      <c r="L57" s="25">
        <v>0</v>
      </c>
      <c r="M57" s="25">
        <v>4</v>
      </c>
      <c r="N57" s="25">
        <v>2</v>
      </c>
      <c r="O57" s="25">
        <v>0</v>
      </c>
      <c r="P57" s="25">
        <v>0</v>
      </c>
      <c r="Q57" s="25">
        <v>0</v>
      </c>
      <c r="R57" s="25">
        <v>0</v>
      </c>
      <c r="S57" s="25">
        <v>0</v>
      </c>
      <c r="T57" s="25">
        <v>0</v>
      </c>
      <c r="U57" s="25">
        <v>0</v>
      </c>
      <c r="V57" s="25">
        <v>2</v>
      </c>
      <c r="W57" s="25">
        <v>0</v>
      </c>
      <c r="X57" s="25">
        <v>0</v>
      </c>
      <c r="Y57" s="25">
        <v>0</v>
      </c>
      <c r="Z57" s="25">
        <v>0</v>
      </c>
      <c r="AA57" s="25">
        <v>0</v>
      </c>
      <c r="AB57" s="25">
        <v>0</v>
      </c>
      <c r="AC57" s="25">
        <v>0</v>
      </c>
      <c r="AD57" s="25">
        <v>0</v>
      </c>
      <c r="AE57" s="25">
        <v>0</v>
      </c>
      <c r="AF57" s="25">
        <v>0</v>
      </c>
      <c r="AG57" s="25">
        <v>0.375</v>
      </c>
      <c r="AH57" s="25">
        <v>0.35714285699999998</v>
      </c>
      <c r="AI57" s="25" t="s">
        <v>1571</v>
      </c>
      <c r="AJ57" s="14" t="s">
        <v>25</v>
      </c>
    </row>
    <row r="58" spans="1:36" ht="15" customHeight="1" x14ac:dyDescent="0.25">
      <c r="A58" s="1">
        <v>280</v>
      </c>
      <c r="B58" s="14" t="s">
        <v>863</v>
      </c>
      <c r="C58" s="14" t="s">
        <v>237</v>
      </c>
      <c r="D58" s="14" t="s">
        <v>13</v>
      </c>
      <c r="E58" s="29" t="s">
        <v>45</v>
      </c>
      <c r="F58" s="14">
        <v>356.63</v>
      </c>
      <c r="G58" s="14">
        <v>26</v>
      </c>
      <c r="H58" s="14">
        <v>6</v>
      </c>
      <c r="I58" s="14">
        <v>0</v>
      </c>
      <c r="J58" s="14">
        <v>6</v>
      </c>
      <c r="K58" s="14">
        <v>3</v>
      </c>
      <c r="L58" s="14">
        <v>0</v>
      </c>
      <c r="M58" s="14">
        <v>2</v>
      </c>
      <c r="N58" s="14">
        <v>14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4</v>
      </c>
      <c r="Y58" s="14">
        <v>0</v>
      </c>
      <c r="Z58" s="14">
        <v>2</v>
      </c>
      <c r="AA58" s="14">
        <v>2</v>
      </c>
      <c r="AB58" s="14">
        <v>0</v>
      </c>
      <c r="AC58" s="14">
        <v>0</v>
      </c>
      <c r="AD58" s="25">
        <v>0</v>
      </c>
      <c r="AE58" s="25">
        <v>0</v>
      </c>
      <c r="AF58" s="25">
        <v>0</v>
      </c>
      <c r="AG58" s="25">
        <v>0.58056640599999998</v>
      </c>
      <c r="AH58" s="25">
        <v>0.60722222199999998</v>
      </c>
      <c r="AI58" s="14" t="s">
        <v>920</v>
      </c>
      <c r="AJ58" s="14" t="s">
        <v>25</v>
      </c>
    </row>
    <row r="59" spans="1:36" ht="15" customHeight="1" x14ac:dyDescent="0.25">
      <c r="A59" s="1">
        <v>291</v>
      </c>
      <c r="B59" s="14" t="s">
        <v>1296</v>
      </c>
      <c r="C59" s="14" t="s">
        <v>1952</v>
      </c>
      <c r="D59" s="14" t="s">
        <v>1931</v>
      </c>
      <c r="E59" s="29" t="s">
        <v>1825</v>
      </c>
      <c r="F59" s="14">
        <v>306.47199999999998</v>
      </c>
      <c r="G59" s="14">
        <v>27</v>
      </c>
      <c r="H59" s="14">
        <v>0</v>
      </c>
      <c r="I59" s="14">
        <v>3</v>
      </c>
      <c r="J59" s="14">
        <v>0</v>
      </c>
      <c r="K59" s="14">
        <v>3</v>
      </c>
      <c r="L59" s="14">
        <v>0</v>
      </c>
      <c r="M59" s="14">
        <v>2</v>
      </c>
      <c r="N59" s="14">
        <v>11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1</v>
      </c>
      <c r="V59" s="14">
        <v>0</v>
      </c>
      <c r="W59" s="14">
        <v>6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25">
        <v>0</v>
      </c>
      <c r="AE59" s="25">
        <v>0</v>
      </c>
      <c r="AF59" s="25">
        <v>0</v>
      </c>
      <c r="AG59" s="25">
        <v>0.606519743</v>
      </c>
      <c r="AH59" s="25">
        <v>0.63919999999999999</v>
      </c>
      <c r="AI59" s="14" t="s">
        <v>1571</v>
      </c>
      <c r="AJ59" s="14" t="s">
        <v>25</v>
      </c>
    </row>
    <row r="60" spans="1:36" ht="15" customHeight="1" x14ac:dyDescent="0.25">
      <c r="A60" s="1">
        <v>296</v>
      </c>
      <c r="B60" s="14" t="s">
        <v>1691</v>
      </c>
      <c r="C60" s="14" t="s">
        <v>1432</v>
      </c>
      <c r="D60" s="14" t="s">
        <v>10</v>
      </c>
      <c r="E60" s="29" t="s">
        <v>1692</v>
      </c>
      <c r="F60" s="14">
        <v>104.146</v>
      </c>
      <c r="G60" s="14">
        <v>27.8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2</v>
      </c>
      <c r="N60" s="14">
        <v>2</v>
      </c>
      <c r="O60" s="14">
        <v>1</v>
      </c>
      <c r="P60" s="14">
        <v>1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1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1</v>
      </c>
      <c r="AC60" s="14">
        <v>0</v>
      </c>
      <c r="AD60" s="25">
        <v>0</v>
      </c>
      <c r="AE60" s="25">
        <v>0</v>
      </c>
      <c r="AF60" s="25">
        <v>0</v>
      </c>
      <c r="AG60" s="25">
        <v>0.375</v>
      </c>
      <c r="AH60" s="25">
        <v>0.31944444399999999</v>
      </c>
      <c r="AI60" s="14" t="s">
        <v>1571</v>
      </c>
      <c r="AJ60" s="14" t="s">
        <v>25</v>
      </c>
    </row>
    <row r="61" spans="1:36" ht="15" customHeight="1" x14ac:dyDescent="0.25">
      <c r="A61" s="1">
        <v>304</v>
      </c>
      <c r="B61" s="14" t="s">
        <v>771</v>
      </c>
      <c r="C61" s="14" t="s">
        <v>456</v>
      </c>
      <c r="D61" s="14" t="s">
        <v>21</v>
      </c>
      <c r="E61" s="29" t="s">
        <v>194</v>
      </c>
      <c r="F61" s="14">
        <v>110.15</v>
      </c>
      <c r="G61" s="14">
        <v>28.1</v>
      </c>
      <c r="H61" s="14">
        <v>0</v>
      </c>
      <c r="I61" s="14">
        <v>1</v>
      </c>
      <c r="J61" s="14">
        <v>0</v>
      </c>
      <c r="K61" s="14">
        <v>1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1</v>
      </c>
      <c r="U61" s="14">
        <v>0</v>
      </c>
      <c r="V61" s="14">
        <v>0</v>
      </c>
      <c r="W61" s="14">
        <v>0</v>
      </c>
      <c r="X61" s="14">
        <v>2</v>
      </c>
      <c r="Y61" s="14">
        <v>0</v>
      </c>
      <c r="Z61" s="14">
        <v>1</v>
      </c>
      <c r="AA61" s="14">
        <v>3</v>
      </c>
      <c r="AB61" s="14">
        <v>0</v>
      </c>
      <c r="AC61" s="14">
        <v>0</v>
      </c>
      <c r="AD61" s="25">
        <v>0</v>
      </c>
      <c r="AE61" s="25">
        <v>0</v>
      </c>
      <c r="AF61" s="25">
        <v>0</v>
      </c>
      <c r="AG61" s="25">
        <v>0.34499999999999997</v>
      </c>
      <c r="AH61" s="25">
        <v>0.34499999999999997</v>
      </c>
      <c r="AI61" s="14" t="s">
        <v>1153</v>
      </c>
      <c r="AJ61" s="14" t="s">
        <v>25</v>
      </c>
    </row>
    <row r="62" spans="1:36" ht="15" customHeight="1" x14ac:dyDescent="0.25">
      <c r="A62" s="1">
        <v>310</v>
      </c>
      <c r="B62" s="14" t="s">
        <v>606</v>
      </c>
      <c r="C62" s="14" t="s">
        <v>1953</v>
      </c>
      <c r="D62" s="14" t="s">
        <v>1537</v>
      </c>
      <c r="E62" s="29" t="s">
        <v>118</v>
      </c>
      <c r="F62" s="14">
        <v>278.42</v>
      </c>
      <c r="G62" s="14">
        <v>29</v>
      </c>
      <c r="H62" s="14">
        <v>0</v>
      </c>
      <c r="I62" s="14">
        <v>3</v>
      </c>
      <c r="J62" s="14">
        <v>0</v>
      </c>
      <c r="K62" s="14">
        <v>3</v>
      </c>
      <c r="L62" s="14">
        <v>0</v>
      </c>
      <c r="M62" s="14">
        <v>1</v>
      </c>
      <c r="N62" s="14">
        <v>10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6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25">
        <v>0</v>
      </c>
      <c r="AE62" s="25">
        <v>0</v>
      </c>
      <c r="AF62" s="25">
        <v>1</v>
      </c>
      <c r="AG62" s="25">
        <v>0.58844953200000005</v>
      </c>
      <c r="AH62" s="25">
        <v>0.624763705</v>
      </c>
      <c r="AI62" s="14" t="s">
        <v>1571</v>
      </c>
      <c r="AJ62" s="14" t="s">
        <v>25</v>
      </c>
    </row>
    <row r="63" spans="1:36" ht="15" customHeight="1" x14ac:dyDescent="0.25">
      <c r="A63" s="1">
        <v>312</v>
      </c>
      <c r="B63" s="14" t="s">
        <v>1909</v>
      </c>
      <c r="C63" s="14" t="s">
        <v>1954</v>
      </c>
      <c r="D63" s="14" t="s">
        <v>1929</v>
      </c>
      <c r="E63" s="29" t="s">
        <v>53</v>
      </c>
      <c r="F63" s="14">
        <v>228.28</v>
      </c>
      <c r="G63" s="14">
        <v>29</v>
      </c>
      <c r="H63" s="14">
        <v>0</v>
      </c>
      <c r="I63" s="14">
        <v>1</v>
      </c>
      <c r="J63" s="14">
        <v>0</v>
      </c>
      <c r="K63" s="14">
        <v>1</v>
      </c>
      <c r="L63" s="14">
        <v>0</v>
      </c>
      <c r="M63" s="14">
        <v>2</v>
      </c>
      <c r="N63" s="14">
        <v>6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2</v>
      </c>
      <c r="V63" s="14">
        <v>0</v>
      </c>
      <c r="W63" s="14">
        <v>2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25">
        <v>0</v>
      </c>
      <c r="AE63" s="25">
        <v>0</v>
      </c>
      <c r="AF63" s="25">
        <v>0</v>
      </c>
      <c r="AG63" s="25">
        <v>0.56944444400000005</v>
      </c>
      <c r="AH63" s="25">
        <v>0.57561728400000001</v>
      </c>
      <c r="AI63" s="14" t="s">
        <v>1571</v>
      </c>
      <c r="AJ63" s="14" t="s">
        <v>25</v>
      </c>
    </row>
    <row r="64" spans="1:36" ht="15" customHeight="1" x14ac:dyDescent="0.25">
      <c r="A64" s="1">
        <v>320</v>
      </c>
      <c r="B64" s="25" t="s">
        <v>1622</v>
      </c>
      <c r="C64" s="25" t="s">
        <v>1955</v>
      </c>
      <c r="D64" s="25" t="s">
        <v>16</v>
      </c>
      <c r="E64" s="25" t="s">
        <v>105</v>
      </c>
      <c r="F64" s="25">
        <v>126.23399999999999</v>
      </c>
      <c r="G64" s="25">
        <v>29.3</v>
      </c>
      <c r="H64" s="25">
        <v>0</v>
      </c>
      <c r="I64" s="25">
        <v>0</v>
      </c>
      <c r="J64" s="25">
        <v>0</v>
      </c>
      <c r="K64" s="25">
        <v>0</v>
      </c>
      <c r="L64" s="25">
        <v>1</v>
      </c>
      <c r="M64" s="25">
        <v>3</v>
      </c>
      <c r="N64" s="25">
        <v>0</v>
      </c>
      <c r="O64" s="25">
        <v>0</v>
      </c>
      <c r="P64" s="25">
        <v>0</v>
      </c>
      <c r="Q64" s="25">
        <v>0</v>
      </c>
      <c r="R64" s="25">
        <v>0</v>
      </c>
      <c r="S64" s="25">
        <v>0</v>
      </c>
      <c r="T64" s="25">
        <v>0</v>
      </c>
      <c r="U64" s="25">
        <v>0</v>
      </c>
      <c r="V64" s="25">
        <v>0</v>
      </c>
      <c r="W64" s="25">
        <v>0</v>
      </c>
      <c r="X64" s="25">
        <v>0</v>
      </c>
      <c r="Y64" s="25">
        <v>0</v>
      </c>
      <c r="Z64" s="25">
        <v>1</v>
      </c>
      <c r="AA64" s="25">
        <v>4</v>
      </c>
      <c r="AB64" s="25">
        <v>0</v>
      </c>
      <c r="AC64" s="25">
        <v>0</v>
      </c>
      <c r="AD64" s="25">
        <v>0</v>
      </c>
      <c r="AE64" s="25">
        <v>0</v>
      </c>
      <c r="AF64" s="25">
        <v>0</v>
      </c>
      <c r="AG64" s="25">
        <v>0.33333333300000001</v>
      </c>
      <c r="AH64" s="25">
        <v>0.33333333300000001</v>
      </c>
      <c r="AI64" s="25" t="s">
        <v>1571</v>
      </c>
      <c r="AJ64" s="14" t="s">
        <v>25</v>
      </c>
    </row>
    <row r="65" spans="1:36" ht="15" customHeight="1" x14ac:dyDescent="0.25">
      <c r="A65" s="1">
        <v>321</v>
      </c>
      <c r="B65" s="14" t="s">
        <v>1698</v>
      </c>
      <c r="C65" s="14" t="s">
        <v>1434</v>
      </c>
      <c r="D65" s="14" t="s">
        <v>10</v>
      </c>
      <c r="E65" s="29" t="s">
        <v>139</v>
      </c>
      <c r="F65" s="14">
        <v>116.19799999999999</v>
      </c>
      <c r="G65" s="14">
        <v>29.5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1</v>
      </c>
      <c r="N65" s="14">
        <v>6</v>
      </c>
      <c r="O65" s="14">
        <v>1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1</v>
      </c>
      <c r="AC65" s="14">
        <v>0</v>
      </c>
      <c r="AD65" s="25">
        <v>0</v>
      </c>
      <c r="AE65" s="25">
        <v>0</v>
      </c>
      <c r="AF65" s="25">
        <v>0</v>
      </c>
      <c r="AG65" s="25">
        <v>0.375</v>
      </c>
      <c r="AH65" s="25">
        <v>0.35714285699999998</v>
      </c>
      <c r="AI65" s="14" t="s">
        <v>1571</v>
      </c>
      <c r="AJ65" s="14" t="s">
        <v>25</v>
      </c>
    </row>
    <row r="66" spans="1:36" ht="15" customHeight="1" x14ac:dyDescent="0.25">
      <c r="A66" s="1">
        <v>322</v>
      </c>
      <c r="B66" s="25" t="s">
        <v>814</v>
      </c>
      <c r="C66" s="25" t="s">
        <v>477</v>
      </c>
      <c r="D66" s="25" t="s">
        <v>21</v>
      </c>
      <c r="E66" s="25" t="s">
        <v>208</v>
      </c>
      <c r="F66" s="25">
        <v>318.49</v>
      </c>
      <c r="G66" s="25">
        <v>29.6</v>
      </c>
      <c r="H66" s="25">
        <v>0</v>
      </c>
      <c r="I66" s="25">
        <v>4</v>
      </c>
      <c r="J66" s="25">
        <v>0</v>
      </c>
      <c r="K66" s="25">
        <v>4</v>
      </c>
      <c r="L66" s="25">
        <v>0</v>
      </c>
      <c r="M66" s="25">
        <v>2</v>
      </c>
      <c r="N66" s="25">
        <v>10</v>
      </c>
      <c r="O66" s="25">
        <v>0</v>
      </c>
      <c r="P66" s="25">
        <v>0</v>
      </c>
      <c r="Q66" s="25">
        <v>0</v>
      </c>
      <c r="R66" s="25">
        <v>0</v>
      </c>
      <c r="S66" s="25">
        <v>0</v>
      </c>
      <c r="T66" s="25">
        <v>0</v>
      </c>
      <c r="U66" s="25">
        <v>1</v>
      </c>
      <c r="V66" s="25">
        <v>0</v>
      </c>
      <c r="W66" s="25">
        <v>8</v>
      </c>
      <c r="X66" s="25">
        <v>0</v>
      </c>
      <c r="Y66" s="25">
        <v>0</v>
      </c>
      <c r="Z66" s="25">
        <v>0</v>
      </c>
      <c r="AA66" s="25">
        <v>0</v>
      </c>
      <c r="AB66" s="25">
        <v>0</v>
      </c>
      <c r="AC66" s="25">
        <v>0</v>
      </c>
      <c r="AD66" s="25">
        <v>0</v>
      </c>
      <c r="AE66" s="25">
        <v>0</v>
      </c>
      <c r="AF66" s="25">
        <v>0</v>
      </c>
      <c r="AG66" s="25">
        <v>0.63002191399999996</v>
      </c>
      <c r="AH66" s="25">
        <v>0.64540466399999996</v>
      </c>
      <c r="AI66" s="25" t="s">
        <v>1172</v>
      </c>
      <c r="AJ66" s="14" t="s">
        <v>25</v>
      </c>
    </row>
    <row r="67" spans="1:36" ht="15" customHeight="1" x14ac:dyDescent="0.25">
      <c r="A67" s="1">
        <v>329</v>
      </c>
      <c r="B67" s="25" t="s">
        <v>761</v>
      </c>
      <c r="C67" s="25" t="s">
        <v>411</v>
      </c>
      <c r="D67" s="25" t="s">
        <v>7</v>
      </c>
      <c r="E67" s="25" t="s">
        <v>57</v>
      </c>
      <c r="F67" s="25">
        <v>72.150000000000006</v>
      </c>
      <c r="G67" s="25">
        <v>30</v>
      </c>
      <c r="H67" s="25">
        <v>0</v>
      </c>
      <c r="I67" s="25">
        <v>0</v>
      </c>
      <c r="J67" s="25">
        <v>0</v>
      </c>
      <c r="K67" s="25">
        <v>0</v>
      </c>
      <c r="L67" s="25">
        <v>0</v>
      </c>
      <c r="M67" s="25">
        <v>2</v>
      </c>
      <c r="N67" s="25">
        <v>3</v>
      </c>
      <c r="O67" s="25">
        <v>0</v>
      </c>
      <c r="P67" s="25">
        <v>0</v>
      </c>
      <c r="Q67" s="25">
        <v>0</v>
      </c>
      <c r="R67" s="25">
        <v>0</v>
      </c>
      <c r="S67" s="25">
        <v>0</v>
      </c>
      <c r="T67" s="25">
        <v>0</v>
      </c>
      <c r="U67" s="25">
        <v>0</v>
      </c>
      <c r="V67" s="25">
        <v>0</v>
      </c>
      <c r="W67" s="25">
        <v>0</v>
      </c>
      <c r="X67" s="25">
        <v>0</v>
      </c>
      <c r="Y67" s="25">
        <v>0</v>
      </c>
      <c r="Z67" s="25">
        <v>0</v>
      </c>
      <c r="AA67" s="25">
        <v>0</v>
      </c>
      <c r="AB67" s="25">
        <v>0</v>
      </c>
      <c r="AC67" s="25">
        <v>0</v>
      </c>
      <c r="AD67" s="25">
        <v>0</v>
      </c>
      <c r="AE67" s="25">
        <v>0</v>
      </c>
      <c r="AF67" s="25">
        <v>0</v>
      </c>
      <c r="AG67" s="25">
        <v>0.255102041</v>
      </c>
      <c r="AH67" s="25">
        <v>0.21875</v>
      </c>
      <c r="AI67" s="25" t="s">
        <v>1108</v>
      </c>
      <c r="AJ67" s="14" t="s">
        <v>25</v>
      </c>
    </row>
    <row r="68" spans="1:36" ht="15" customHeight="1" x14ac:dyDescent="0.25">
      <c r="A68" s="1">
        <v>337</v>
      </c>
      <c r="B68" s="25" t="s">
        <v>1647</v>
      </c>
      <c r="C68" s="25" t="s">
        <v>1956</v>
      </c>
      <c r="D68" s="25" t="s">
        <v>16</v>
      </c>
      <c r="E68" s="25" t="s">
        <v>49</v>
      </c>
      <c r="F68" s="25">
        <v>252.46799999999999</v>
      </c>
      <c r="G68" s="25">
        <v>31</v>
      </c>
      <c r="H68" s="25">
        <v>0</v>
      </c>
      <c r="I68" s="25">
        <v>0</v>
      </c>
      <c r="J68" s="25">
        <v>0</v>
      </c>
      <c r="K68" s="25">
        <v>0</v>
      </c>
      <c r="L68" s="25">
        <v>0</v>
      </c>
      <c r="M68" s="25">
        <v>1</v>
      </c>
      <c r="N68" s="25">
        <v>7</v>
      </c>
      <c r="O68" s="25">
        <v>0</v>
      </c>
      <c r="P68" s="25">
        <v>0</v>
      </c>
      <c r="Q68" s="25">
        <v>0</v>
      </c>
      <c r="R68" s="25">
        <v>0</v>
      </c>
      <c r="S68" s="25">
        <v>0</v>
      </c>
      <c r="T68" s="25">
        <v>0</v>
      </c>
      <c r="U68" s="25">
        <v>0</v>
      </c>
      <c r="V68" s="25">
        <v>0</v>
      </c>
      <c r="W68" s="25">
        <v>0</v>
      </c>
      <c r="X68" s="25">
        <v>0</v>
      </c>
      <c r="Y68" s="25">
        <v>0</v>
      </c>
      <c r="Z68" s="25">
        <v>3</v>
      </c>
      <c r="AA68" s="25">
        <v>7</v>
      </c>
      <c r="AB68" s="25">
        <v>0</v>
      </c>
      <c r="AC68" s="25">
        <v>0</v>
      </c>
      <c r="AD68" s="25">
        <v>0</v>
      </c>
      <c r="AE68" s="25">
        <v>0</v>
      </c>
      <c r="AF68" s="25">
        <v>0</v>
      </c>
      <c r="AG68" s="25">
        <v>0.48639455799999998</v>
      </c>
      <c r="AH68" s="25">
        <v>0.51108033200000003</v>
      </c>
      <c r="AI68" s="25" t="s">
        <v>1571</v>
      </c>
      <c r="AJ68" s="14" t="s">
        <v>25</v>
      </c>
    </row>
    <row r="69" spans="1:36" ht="15" customHeight="1" x14ac:dyDescent="0.25">
      <c r="A69" s="1">
        <v>342</v>
      </c>
      <c r="B69" s="14" t="s">
        <v>821</v>
      </c>
      <c r="C69" s="14" t="s">
        <v>395</v>
      </c>
      <c r="D69" s="14" t="s">
        <v>12</v>
      </c>
      <c r="E69" s="29" t="s">
        <v>167</v>
      </c>
      <c r="F69" s="14">
        <v>98.19</v>
      </c>
      <c r="G69" s="14">
        <v>32</v>
      </c>
      <c r="H69" s="14">
        <v>0</v>
      </c>
      <c r="I69" s="14">
        <v>1</v>
      </c>
      <c r="J69" s="14">
        <v>0</v>
      </c>
      <c r="K69" s="14">
        <v>1</v>
      </c>
      <c r="L69" s="14">
        <v>0</v>
      </c>
      <c r="M69" s="14">
        <v>1</v>
      </c>
      <c r="N69" s="14">
        <v>4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1</v>
      </c>
      <c r="X69" s="14">
        <v>0</v>
      </c>
      <c r="Y69" s="14">
        <v>1</v>
      </c>
      <c r="Z69" s="14">
        <v>0</v>
      </c>
      <c r="AA69" s="14">
        <v>0</v>
      </c>
      <c r="AB69" s="14">
        <v>0</v>
      </c>
      <c r="AC69" s="14">
        <v>0</v>
      </c>
      <c r="AD69" s="25">
        <v>0</v>
      </c>
      <c r="AE69" s="25">
        <v>0</v>
      </c>
      <c r="AF69" s="25">
        <v>0</v>
      </c>
      <c r="AG69" s="25">
        <v>0.37755102000000001</v>
      </c>
      <c r="AH69" s="25">
        <v>0.37755102000000001</v>
      </c>
      <c r="AI69" s="14" t="s">
        <v>1092</v>
      </c>
      <c r="AJ69" s="14" t="s">
        <v>25</v>
      </c>
    </row>
    <row r="70" spans="1:36" ht="15" customHeight="1" x14ac:dyDescent="0.25">
      <c r="A70" s="1">
        <v>348</v>
      </c>
      <c r="B70" s="25" t="s">
        <v>647</v>
      </c>
      <c r="C70" s="25" t="s">
        <v>1957</v>
      </c>
      <c r="D70" s="25" t="s">
        <v>12</v>
      </c>
      <c r="E70" s="25" t="s">
        <v>150</v>
      </c>
      <c r="F70" s="25">
        <v>204.35</v>
      </c>
      <c r="G70" s="25">
        <v>32.200000000000003</v>
      </c>
      <c r="H70" s="25">
        <v>0</v>
      </c>
      <c r="I70" s="25">
        <v>3</v>
      </c>
      <c r="J70" s="25">
        <v>0</v>
      </c>
      <c r="K70" s="25">
        <v>3</v>
      </c>
      <c r="L70" s="25">
        <v>0</v>
      </c>
      <c r="M70" s="25">
        <v>4</v>
      </c>
      <c r="N70" s="25">
        <v>2</v>
      </c>
      <c r="O70" s="25">
        <v>0</v>
      </c>
      <c r="P70" s="25">
        <v>0</v>
      </c>
      <c r="Q70" s="25">
        <v>0</v>
      </c>
      <c r="R70" s="25">
        <v>0</v>
      </c>
      <c r="S70" s="25">
        <v>0</v>
      </c>
      <c r="T70" s="25">
        <v>0</v>
      </c>
      <c r="U70" s="25">
        <v>0</v>
      </c>
      <c r="V70" s="25">
        <v>0</v>
      </c>
      <c r="W70" s="25">
        <v>1</v>
      </c>
      <c r="X70" s="25">
        <v>1</v>
      </c>
      <c r="Y70" s="25">
        <v>0</v>
      </c>
      <c r="Z70" s="25">
        <v>0</v>
      </c>
      <c r="AA70" s="25">
        <v>3</v>
      </c>
      <c r="AB70" s="25">
        <v>0</v>
      </c>
      <c r="AC70" s="25">
        <v>0</v>
      </c>
      <c r="AD70" s="25">
        <v>0</v>
      </c>
      <c r="AE70" s="25">
        <v>0</v>
      </c>
      <c r="AF70" s="25">
        <v>0</v>
      </c>
      <c r="AG70" s="25">
        <v>0.49537037</v>
      </c>
      <c r="AH70" s="25">
        <v>0.49845678999999998</v>
      </c>
      <c r="AI70" s="25" t="s">
        <v>1118</v>
      </c>
      <c r="AJ70" s="14" t="s">
        <v>25</v>
      </c>
    </row>
    <row r="71" spans="1:36" ht="15" customHeight="1" x14ac:dyDescent="0.25">
      <c r="A71" s="1">
        <v>359</v>
      </c>
      <c r="B71" s="14" t="s">
        <v>684</v>
      </c>
      <c r="C71" s="14" t="s">
        <v>544</v>
      </c>
      <c r="D71" s="14" t="s">
        <v>16</v>
      </c>
      <c r="E71" s="29" t="s">
        <v>228</v>
      </c>
      <c r="F71" s="14">
        <v>194.36</v>
      </c>
      <c r="G71" s="14">
        <v>34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2</v>
      </c>
      <c r="N71" s="14">
        <v>1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1</v>
      </c>
      <c r="W71" s="14">
        <v>0</v>
      </c>
      <c r="X71" s="14">
        <v>0</v>
      </c>
      <c r="Y71" s="14">
        <v>0</v>
      </c>
      <c r="Z71" s="14">
        <v>3</v>
      </c>
      <c r="AA71" s="14">
        <v>7</v>
      </c>
      <c r="AB71" s="14">
        <v>0</v>
      </c>
      <c r="AC71" s="14">
        <v>0</v>
      </c>
      <c r="AD71" s="25">
        <v>0</v>
      </c>
      <c r="AE71" s="25">
        <v>0</v>
      </c>
      <c r="AF71" s="25">
        <v>0</v>
      </c>
      <c r="AG71" s="25">
        <v>0.419921875</v>
      </c>
      <c r="AH71" s="25">
        <v>0.42444444399999998</v>
      </c>
      <c r="AI71" s="14" t="s">
        <v>1238</v>
      </c>
      <c r="AJ71" s="14" t="s">
        <v>25</v>
      </c>
    </row>
    <row r="72" spans="1:36" ht="15" customHeight="1" x14ac:dyDescent="0.25">
      <c r="A72" s="1">
        <v>366</v>
      </c>
      <c r="B72" s="25" t="s">
        <v>663</v>
      </c>
      <c r="C72" s="25" t="s">
        <v>511</v>
      </c>
      <c r="D72" s="25" t="s">
        <v>13</v>
      </c>
      <c r="E72" s="25" t="s">
        <v>218</v>
      </c>
      <c r="F72" s="25">
        <v>176.3</v>
      </c>
      <c r="G72" s="25">
        <v>35</v>
      </c>
      <c r="H72" s="25">
        <v>6</v>
      </c>
      <c r="I72" s="25">
        <v>0</v>
      </c>
      <c r="J72" s="25">
        <v>6</v>
      </c>
      <c r="K72" s="25">
        <v>3</v>
      </c>
      <c r="L72" s="25">
        <v>0</v>
      </c>
      <c r="M72" s="25">
        <v>1</v>
      </c>
      <c r="N72" s="25">
        <v>6</v>
      </c>
      <c r="O72" s="25">
        <v>0</v>
      </c>
      <c r="P72" s="25">
        <v>0</v>
      </c>
      <c r="Q72" s="25">
        <v>0</v>
      </c>
      <c r="R72" s="25">
        <v>0</v>
      </c>
      <c r="S72" s="25">
        <v>0</v>
      </c>
      <c r="T72" s="25">
        <v>0</v>
      </c>
      <c r="U72" s="25">
        <v>0</v>
      </c>
      <c r="V72" s="25">
        <v>0</v>
      </c>
      <c r="W72" s="25">
        <v>0</v>
      </c>
      <c r="X72" s="25">
        <v>5</v>
      </c>
      <c r="Y72" s="25">
        <v>0</v>
      </c>
      <c r="Z72" s="25">
        <v>0</v>
      </c>
      <c r="AA72" s="25">
        <v>0</v>
      </c>
      <c r="AB72" s="25">
        <v>0</v>
      </c>
      <c r="AC72" s="25">
        <v>0</v>
      </c>
      <c r="AD72" s="25">
        <v>0</v>
      </c>
      <c r="AE72" s="25">
        <v>0</v>
      </c>
      <c r="AF72" s="25">
        <v>0</v>
      </c>
      <c r="AG72" s="25">
        <v>0.42612244900000001</v>
      </c>
      <c r="AH72" s="25">
        <v>0.435546875</v>
      </c>
      <c r="AI72" s="25" t="s">
        <v>1207</v>
      </c>
      <c r="AJ72" s="14" t="s">
        <v>25</v>
      </c>
    </row>
    <row r="73" spans="1:36" ht="15" customHeight="1" x14ac:dyDescent="0.25">
      <c r="A73" s="1">
        <v>374</v>
      </c>
      <c r="B73" s="25" t="s">
        <v>687</v>
      </c>
      <c r="C73" s="25" t="s">
        <v>433</v>
      </c>
      <c r="D73" s="25" t="s">
        <v>16</v>
      </c>
      <c r="E73" s="25" t="s">
        <v>168</v>
      </c>
      <c r="F73" s="25">
        <v>168.32</v>
      </c>
      <c r="G73" s="25">
        <v>36</v>
      </c>
      <c r="H73" s="25">
        <v>0</v>
      </c>
      <c r="I73" s="25">
        <v>0</v>
      </c>
      <c r="J73" s="25">
        <v>0</v>
      </c>
      <c r="K73" s="25">
        <v>0</v>
      </c>
      <c r="L73" s="25">
        <v>0</v>
      </c>
      <c r="M73" s="25">
        <v>2</v>
      </c>
      <c r="N73" s="25">
        <v>3</v>
      </c>
      <c r="O73" s="25">
        <v>0</v>
      </c>
      <c r="P73" s="25">
        <v>0</v>
      </c>
      <c r="Q73" s="25">
        <v>0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  <c r="W73" s="25">
        <v>0</v>
      </c>
      <c r="X73" s="25">
        <v>0</v>
      </c>
      <c r="Y73" s="25">
        <v>0</v>
      </c>
      <c r="Z73" s="25">
        <v>1</v>
      </c>
      <c r="AA73" s="25">
        <v>5</v>
      </c>
      <c r="AB73" s="25">
        <v>0</v>
      </c>
      <c r="AC73" s="25">
        <v>0</v>
      </c>
      <c r="AD73" s="25">
        <v>0</v>
      </c>
      <c r="AE73" s="25">
        <v>0</v>
      </c>
      <c r="AF73" s="25">
        <v>0</v>
      </c>
      <c r="AG73" s="25">
        <v>0.48611111099999998</v>
      </c>
      <c r="AH73" s="25">
        <v>0.43402777799999998</v>
      </c>
      <c r="AI73" s="25" t="s">
        <v>1129</v>
      </c>
      <c r="AJ73" s="14" t="s">
        <v>25</v>
      </c>
    </row>
    <row r="74" spans="1:36" ht="15" customHeight="1" x14ac:dyDescent="0.25">
      <c r="A74" s="1">
        <v>381</v>
      </c>
      <c r="B74" s="25" t="s">
        <v>754</v>
      </c>
      <c r="C74" s="25" t="s">
        <v>452</v>
      </c>
      <c r="D74" s="25" t="s">
        <v>20</v>
      </c>
      <c r="E74" s="25" t="s">
        <v>110</v>
      </c>
      <c r="F74" s="25">
        <v>128.21</v>
      </c>
      <c r="G74" s="25">
        <v>36.6</v>
      </c>
      <c r="H74" s="25">
        <v>0</v>
      </c>
      <c r="I74" s="25">
        <v>0</v>
      </c>
      <c r="J74" s="25">
        <v>0</v>
      </c>
      <c r="K74" s="25">
        <v>0</v>
      </c>
      <c r="L74" s="25">
        <v>0</v>
      </c>
      <c r="M74" s="25">
        <v>2</v>
      </c>
      <c r="N74" s="25">
        <v>5</v>
      </c>
      <c r="O74" s="25">
        <v>0</v>
      </c>
      <c r="P74" s="25">
        <v>0</v>
      </c>
      <c r="Q74" s="25">
        <v>0</v>
      </c>
      <c r="R74" s="25">
        <v>1</v>
      </c>
      <c r="S74" s="25">
        <v>0</v>
      </c>
      <c r="T74" s="25">
        <v>0</v>
      </c>
      <c r="U74" s="25">
        <v>0</v>
      </c>
      <c r="V74" s="25">
        <v>0</v>
      </c>
      <c r="W74" s="25">
        <v>0</v>
      </c>
      <c r="X74" s="25">
        <v>0</v>
      </c>
      <c r="Y74" s="25">
        <v>0</v>
      </c>
      <c r="Z74" s="25">
        <v>0</v>
      </c>
      <c r="AA74" s="25">
        <v>0</v>
      </c>
      <c r="AB74" s="25">
        <v>0</v>
      </c>
      <c r="AC74" s="25">
        <v>0</v>
      </c>
      <c r="AD74" s="25">
        <v>0</v>
      </c>
      <c r="AE74" s="25">
        <v>0</v>
      </c>
      <c r="AF74" s="25">
        <v>0</v>
      </c>
      <c r="AG74" s="25">
        <v>0.41555555599999999</v>
      </c>
      <c r="AH74" s="25">
        <v>0.43827160500000001</v>
      </c>
      <c r="AI74" s="25" t="s">
        <v>1148</v>
      </c>
      <c r="AJ74" s="14" t="s">
        <v>25</v>
      </c>
    </row>
    <row r="75" spans="1:36" ht="15" customHeight="1" x14ac:dyDescent="0.25">
      <c r="A75" s="1">
        <v>382</v>
      </c>
      <c r="B75" s="14" t="s">
        <v>895</v>
      </c>
      <c r="C75" s="14" t="s">
        <v>384</v>
      </c>
      <c r="D75" s="14" t="s">
        <v>16</v>
      </c>
      <c r="E75" s="29" t="s">
        <v>162</v>
      </c>
      <c r="F75" s="14">
        <v>292.54000000000002</v>
      </c>
      <c r="G75" s="14">
        <v>37</v>
      </c>
      <c r="H75" s="14">
        <v>0</v>
      </c>
      <c r="I75" s="14">
        <v>0</v>
      </c>
      <c r="J75" s="14">
        <v>0</v>
      </c>
      <c r="K75" s="14">
        <v>0</v>
      </c>
      <c r="L75" s="14">
        <v>1</v>
      </c>
      <c r="M75" s="14">
        <v>3</v>
      </c>
      <c r="N75" s="14">
        <v>7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3</v>
      </c>
      <c r="AA75" s="14">
        <v>7</v>
      </c>
      <c r="AB75" s="14">
        <v>0</v>
      </c>
      <c r="AC75" s="14">
        <v>0</v>
      </c>
      <c r="AD75" s="25">
        <v>0</v>
      </c>
      <c r="AE75" s="25">
        <v>0</v>
      </c>
      <c r="AF75" s="25">
        <v>0</v>
      </c>
      <c r="AG75" s="25">
        <v>0.52743484200000001</v>
      </c>
      <c r="AH75" s="25">
        <v>0.55268594999999998</v>
      </c>
      <c r="AI75" s="14" t="s">
        <v>1081</v>
      </c>
      <c r="AJ75" s="14" t="s">
        <v>25</v>
      </c>
    </row>
    <row r="76" spans="1:36" ht="15" customHeight="1" x14ac:dyDescent="0.25">
      <c r="A76" s="1">
        <v>387</v>
      </c>
      <c r="B76" s="14" t="s">
        <v>645</v>
      </c>
      <c r="C76" s="14" t="s">
        <v>394</v>
      </c>
      <c r="D76" s="14" t="s">
        <v>12</v>
      </c>
      <c r="E76" s="29" t="s">
        <v>169</v>
      </c>
      <c r="F76" s="14">
        <v>110.2</v>
      </c>
      <c r="G76" s="14">
        <v>38</v>
      </c>
      <c r="H76" s="14">
        <v>0</v>
      </c>
      <c r="I76" s="14">
        <v>1</v>
      </c>
      <c r="J76" s="14">
        <v>0</v>
      </c>
      <c r="K76" s="14">
        <v>1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1</v>
      </c>
      <c r="X76" s="14">
        <v>0</v>
      </c>
      <c r="Y76" s="14">
        <v>1</v>
      </c>
      <c r="Z76" s="14">
        <v>1</v>
      </c>
      <c r="AA76" s="14">
        <v>5</v>
      </c>
      <c r="AB76" s="14">
        <v>0</v>
      </c>
      <c r="AC76" s="14">
        <v>0</v>
      </c>
      <c r="AD76" s="25">
        <v>0</v>
      </c>
      <c r="AE76" s="25">
        <v>0</v>
      </c>
      <c r="AF76" s="25">
        <v>0</v>
      </c>
      <c r="AG76" s="25">
        <v>0.30165289299999998</v>
      </c>
      <c r="AH76" s="25">
        <v>0.32716049400000002</v>
      </c>
      <c r="AI76" s="14" t="s">
        <v>1091</v>
      </c>
      <c r="AJ76" s="14" t="s">
        <v>25</v>
      </c>
    </row>
    <row r="77" spans="1:36" ht="15" customHeight="1" x14ac:dyDescent="0.25">
      <c r="A77" s="1">
        <v>394</v>
      </c>
      <c r="B77" s="14" t="s">
        <v>1813</v>
      </c>
      <c r="C77" s="14" t="s">
        <v>1958</v>
      </c>
      <c r="D77" s="14" t="s">
        <v>1931</v>
      </c>
      <c r="E77" s="29" t="s">
        <v>123</v>
      </c>
      <c r="F77" s="14">
        <v>184.27</v>
      </c>
      <c r="G77" s="14">
        <v>38.299999999999997</v>
      </c>
      <c r="H77" s="14">
        <v>0</v>
      </c>
      <c r="I77" s="14">
        <v>1</v>
      </c>
      <c r="J77" s="14">
        <v>0</v>
      </c>
      <c r="K77" s="14">
        <v>1</v>
      </c>
      <c r="L77" s="14">
        <v>0</v>
      </c>
      <c r="M77" s="14">
        <v>1</v>
      </c>
      <c r="N77" s="14">
        <v>7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1</v>
      </c>
      <c r="V77" s="14">
        <v>0</v>
      </c>
      <c r="W77" s="14">
        <v>1</v>
      </c>
      <c r="X77" s="14">
        <v>0</v>
      </c>
      <c r="Y77" s="14">
        <v>1</v>
      </c>
      <c r="Z77" s="14">
        <v>0</v>
      </c>
      <c r="AA77" s="14">
        <v>0</v>
      </c>
      <c r="AB77" s="14">
        <v>0</v>
      </c>
      <c r="AC77" s="14">
        <v>0</v>
      </c>
      <c r="AD77" s="25">
        <v>0</v>
      </c>
      <c r="AE77" s="25">
        <v>0</v>
      </c>
      <c r="AF77" s="25">
        <v>0</v>
      </c>
      <c r="AG77" s="25">
        <v>0.52295918399999997</v>
      </c>
      <c r="AH77" s="25">
        <v>0.52295918399999997</v>
      </c>
      <c r="AI77" s="14" t="s">
        <v>1571</v>
      </c>
      <c r="AJ77" s="14" t="s">
        <v>25</v>
      </c>
    </row>
    <row r="78" spans="1:36" ht="15" customHeight="1" x14ac:dyDescent="0.25">
      <c r="A78" s="1">
        <v>404</v>
      </c>
      <c r="B78" s="25" t="s">
        <v>1895</v>
      </c>
      <c r="C78" s="25" t="s">
        <v>1959</v>
      </c>
      <c r="D78" s="25" t="s">
        <v>13</v>
      </c>
      <c r="E78" s="25" t="s">
        <v>148</v>
      </c>
      <c r="F78" s="25">
        <v>358.62799999999999</v>
      </c>
      <c r="G78" s="25">
        <v>39</v>
      </c>
      <c r="H78" s="25">
        <v>6</v>
      </c>
      <c r="I78" s="25">
        <v>0</v>
      </c>
      <c r="J78" s="25">
        <v>6</v>
      </c>
      <c r="K78" s="25">
        <v>3</v>
      </c>
      <c r="L78" s="25">
        <v>0</v>
      </c>
      <c r="M78" s="25">
        <v>2</v>
      </c>
      <c r="N78" s="25">
        <v>17</v>
      </c>
      <c r="O78" s="25">
        <v>0</v>
      </c>
      <c r="P78" s="25">
        <v>0</v>
      </c>
      <c r="Q78" s="25">
        <v>0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  <c r="W78" s="25">
        <v>0</v>
      </c>
      <c r="X78" s="25">
        <v>5</v>
      </c>
      <c r="Y78" s="25">
        <v>0</v>
      </c>
      <c r="Z78" s="25">
        <v>0</v>
      </c>
      <c r="AA78" s="25">
        <v>0</v>
      </c>
      <c r="AB78" s="25">
        <v>0</v>
      </c>
      <c r="AC78" s="25">
        <v>0</v>
      </c>
      <c r="AD78" s="25">
        <v>0</v>
      </c>
      <c r="AE78" s="25">
        <v>0</v>
      </c>
      <c r="AF78" s="25">
        <v>0</v>
      </c>
      <c r="AG78" s="25">
        <v>0.625</v>
      </c>
      <c r="AH78" s="25">
        <v>0.63793103399999995</v>
      </c>
      <c r="AI78" s="25" t="s">
        <v>1571</v>
      </c>
      <c r="AJ78" s="14" t="s">
        <v>25</v>
      </c>
    </row>
    <row r="79" spans="1:36" ht="15" customHeight="1" x14ac:dyDescent="0.25">
      <c r="A79" s="1">
        <v>412</v>
      </c>
      <c r="B79" s="14" t="s">
        <v>1630</v>
      </c>
      <c r="C79" s="14" t="s">
        <v>1396</v>
      </c>
      <c r="D79" s="14" t="s">
        <v>16</v>
      </c>
      <c r="E79" s="29" t="s">
        <v>1631</v>
      </c>
      <c r="F79" s="14">
        <v>138.244</v>
      </c>
      <c r="G79" s="14">
        <v>39.4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2</v>
      </c>
      <c r="AA79" s="14">
        <v>8</v>
      </c>
      <c r="AB79" s="14">
        <v>0</v>
      </c>
      <c r="AC79" s="14">
        <v>0</v>
      </c>
      <c r="AD79" s="25">
        <v>0</v>
      </c>
      <c r="AE79" s="25">
        <v>0</v>
      </c>
      <c r="AF79" s="25">
        <v>0</v>
      </c>
      <c r="AG79" s="25">
        <v>0.25555555600000002</v>
      </c>
      <c r="AH79" s="25">
        <v>0.29752066100000002</v>
      </c>
      <c r="AI79" s="14" t="s">
        <v>1571</v>
      </c>
      <c r="AJ79" s="14" t="s">
        <v>25</v>
      </c>
    </row>
    <row r="80" spans="1:36" ht="15" customHeight="1" x14ac:dyDescent="0.25">
      <c r="A80" s="1">
        <v>414</v>
      </c>
      <c r="B80" s="14" t="s">
        <v>602</v>
      </c>
      <c r="C80" s="14" t="s">
        <v>1960</v>
      </c>
      <c r="D80" s="14" t="s">
        <v>17</v>
      </c>
      <c r="E80" s="29" t="s">
        <v>64</v>
      </c>
      <c r="F80" s="14">
        <v>308.5</v>
      </c>
      <c r="G80" s="14">
        <v>39.6</v>
      </c>
      <c r="H80" s="14">
        <v>0</v>
      </c>
      <c r="I80" s="14">
        <v>2</v>
      </c>
      <c r="J80" s="14">
        <v>0</v>
      </c>
      <c r="K80" s="14">
        <v>2</v>
      </c>
      <c r="L80" s="14">
        <v>0</v>
      </c>
      <c r="M80" s="14">
        <v>2</v>
      </c>
      <c r="N80" s="14">
        <v>13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1</v>
      </c>
      <c r="V80" s="14">
        <v>0</v>
      </c>
      <c r="W80" s="14">
        <v>4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25">
        <v>0</v>
      </c>
      <c r="AE80" s="25">
        <v>0</v>
      </c>
      <c r="AF80" s="25">
        <v>0</v>
      </c>
      <c r="AG80" s="25">
        <v>0.61474609400000002</v>
      </c>
      <c r="AH80" s="25">
        <v>0.63107638899999996</v>
      </c>
      <c r="AI80" s="14" t="s">
        <v>942</v>
      </c>
      <c r="AJ80" s="14" t="s">
        <v>25</v>
      </c>
    </row>
    <row r="81" spans="1:36" ht="15" customHeight="1" x14ac:dyDescent="0.25">
      <c r="A81" s="1">
        <v>417</v>
      </c>
      <c r="B81" s="25" t="s">
        <v>660</v>
      </c>
      <c r="C81" s="25" t="s">
        <v>521</v>
      </c>
      <c r="D81" s="25" t="s">
        <v>13</v>
      </c>
      <c r="E81" s="25" t="s">
        <v>220</v>
      </c>
      <c r="F81" s="25">
        <v>156.22</v>
      </c>
      <c r="G81" s="25">
        <v>39.79</v>
      </c>
      <c r="H81" s="25">
        <v>10</v>
      </c>
      <c r="I81" s="25">
        <v>0</v>
      </c>
      <c r="J81" s="25">
        <v>10</v>
      </c>
      <c r="K81" s="25">
        <v>5</v>
      </c>
      <c r="L81" s="25">
        <v>0</v>
      </c>
      <c r="M81" s="25">
        <v>2</v>
      </c>
      <c r="N81" s="25">
        <v>0</v>
      </c>
      <c r="O81" s="25">
        <v>0</v>
      </c>
      <c r="P81" s="25">
        <v>0</v>
      </c>
      <c r="Q81" s="25">
        <v>0</v>
      </c>
      <c r="R81" s="25">
        <v>0</v>
      </c>
      <c r="S81" s="25">
        <v>0</v>
      </c>
      <c r="T81" s="25">
        <v>0</v>
      </c>
      <c r="U81" s="25">
        <v>0</v>
      </c>
      <c r="V81" s="25">
        <v>0</v>
      </c>
      <c r="W81" s="25">
        <v>0</v>
      </c>
      <c r="X81" s="25">
        <v>6</v>
      </c>
      <c r="Y81" s="25">
        <v>0</v>
      </c>
      <c r="Z81" s="25">
        <v>0</v>
      </c>
      <c r="AA81" s="25">
        <v>0</v>
      </c>
      <c r="AB81" s="25">
        <v>0</v>
      </c>
      <c r="AC81" s="25">
        <v>0</v>
      </c>
      <c r="AD81" s="25">
        <v>0</v>
      </c>
      <c r="AE81" s="25">
        <v>0</v>
      </c>
      <c r="AF81" s="25">
        <v>0</v>
      </c>
      <c r="AG81" s="25">
        <v>0.30651477399999999</v>
      </c>
      <c r="AH81" s="25">
        <v>0.33893352799999998</v>
      </c>
      <c r="AI81" s="25" t="s">
        <v>1216</v>
      </c>
      <c r="AJ81" s="14" t="s">
        <v>25</v>
      </c>
    </row>
    <row r="82" spans="1:36" ht="15" customHeight="1" x14ac:dyDescent="0.25">
      <c r="A82" s="1">
        <v>419</v>
      </c>
      <c r="B82" s="14" t="s">
        <v>1657</v>
      </c>
      <c r="C82" s="14" t="s">
        <v>1409</v>
      </c>
      <c r="D82" s="14" t="s">
        <v>12</v>
      </c>
      <c r="E82" s="29" t="s">
        <v>54</v>
      </c>
      <c r="F82" s="14">
        <v>112.208</v>
      </c>
      <c r="G82" s="14">
        <v>40</v>
      </c>
      <c r="H82" s="14">
        <v>0</v>
      </c>
      <c r="I82" s="14">
        <v>1</v>
      </c>
      <c r="J82" s="14">
        <v>0</v>
      </c>
      <c r="K82" s="14">
        <v>1</v>
      </c>
      <c r="L82" s="14">
        <v>0</v>
      </c>
      <c r="M82" s="14">
        <v>1</v>
      </c>
      <c r="N82" s="14">
        <v>5</v>
      </c>
      <c r="O82" s="14">
        <v>0</v>
      </c>
      <c r="P82" s="14">
        <v>0</v>
      </c>
      <c r="Q82" s="14">
        <v>0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  <c r="W82" s="14">
        <v>1</v>
      </c>
      <c r="X82" s="14">
        <v>0</v>
      </c>
      <c r="Y82" s="14">
        <v>1</v>
      </c>
      <c r="Z82" s="14">
        <v>0</v>
      </c>
      <c r="AA82" s="14">
        <v>0</v>
      </c>
      <c r="AB82" s="14">
        <v>0</v>
      </c>
      <c r="AC82" s="14">
        <v>0</v>
      </c>
      <c r="AD82" s="25">
        <v>0</v>
      </c>
      <c r="AE82" s="25">
        <v>0</v>
      </c>
      <c r="AF82" s="25">
        <v>0</v>
      </c>
      <c r="AG82" s="25">
        <v>0.3984375</v>
      </c>
      <c r="AH82" s="25">
        <v>0.4140625</v>
      </c>
      <c r="AI82" s="14" t="s">
        <v>1571</v>
      </c>
      <c r="AJ82" s="14" t="s">
        <v>25</v>
      </c>
    </row>
    <row r="83" spans="1:36" ht="15" customHeight="1" x14ac:dyDescent="0.25">
      <c r="A83" s="1">
        <v>423</v>
      </c>
      <c r="B83" s="14" t="s">
        <v>1586</v>
      </c>
      <c r="C83" s="14" t="s">
        <v>1378</v>
      </c>
      <c r="D83" s="14" t="s">
        <v>19</v>
      </c>
      <c r="E83" s="29" t="s">
        <v>90</v>
      </c>
      <c r="F83" s="14">
        <v>114.224</v>
      </c>
      <c r="G83" s="14">
        <v>40</v>
      </c>
      <c r="H83" s="14">
        <v>0</v>
      </c>
      <c r="I83" s="14">
        <v>0</v>
      </c>
      <c r="J83" s="14">
        <v>0</v>
      </c>
      <c r="K83" s="14">
        <v>0</v>
      </c>
      <c r="L83" s="14">
        <v>1</v>
      </c>
      <c r="M83" s="14">
        <v>4</v>
      </c>
      <c r="N83" s="14">
        <v>3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25">
        <v>0</v>
      </c>
      <c r="AE83" s="25">
        <v>0</v>
      </c>
      <c r="AF83" s="25">
        <v>0</v>
      </c>
      <c r="AG83" s="25">
        <v>0.375</v>
      </c>
      <c r="AH83" s="25">
        <v>0.35714285699999998</v>
      </c>
      <c r="AI83" s="14" t="s">
        <v>1571</v>
      </c>
      <c r="AJ83" s="14" t="s">
        <v>25</v>
      </c>
    </row>
    <row r="84" spans="1:36" ht="15" customHeight="1" x14ac:dyDescent="0.25">
      <c r="A84" s="1">
        <v>426</v>
      </c>
      <c r="B84" s="25" t="s">
        <v>1322</v>
      </c>
      <c r="C84" s="25" t="s">
        <v>1961</v>
      </c>
      <c r="D84" s="25" t="s">
        <v>7</v>
      </c>
      <c r="E84" s="25" t="s">
        <v>132</v>
      </c>
      <c r="F84" s="25">
        <v>226.44175999999999</v>
      </c>
      <c r="G84" s="25">
        <v>40</v>
      </c>
      <c r="H84" s="25">
        <v>0</v>
      </c>
      <c r="I84" s="25">
        <v>0</v>
      </c>
      <c r="J84" s="25">
        <v>0</v>
      </c>
      <c r="K84" s="25">
        <v>0</v>
      </c>
      <c r="L84" s="25">
        <v>0</v>
      </c>
      <c r="M84" s="25">
        <v>4</v>
      </c>
      <c r="N84" s="25">
        <v>10</v>
      </c>
      <c r="O84" s="25">
        <v>0</v>
      </c>
      <c r="P84" s="25">
        <v>0</v>
      </c>
      <c r="Q84" s="25">
        <v>0</v>
      </c>
      <c r="R84" s="25">
        <v>0</v>
      </c>
      <c r="S84" s="25">
        <v>0</v>
      </c>
      <c r="T84" s="25">
        <v>0</v>
      </c>
      <c r="U84" s="25">
        <v>0</v>
      </c>
      <c r="V84" s="25">
        <v>2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C84" s="25">
        <v>0</v>
      </c>
      <c r="AD84" s="25">
        <v>0</v>
      </c>
      <c r="AE84" s="25">
        <v>0</v>
      </c>
      <c r="AF84" s="25">
        <v>0</v>
      </c>
      <c r="AG84" s="25">
        <v>0.529296875</v>
      </c>
      <c r="AH84" s="25">
        <v>0.53111111099999997</v>
      </c>
      <c r="AI84" s="25" t="s">
        <v>1306</v>
      </c>
      <c r="AJ84" s="14" t="s">
        <v>25</v>
      </c>
    </row>
    <row r="85" spans="1:36" ht="15" customHeight="1" x14ac:dyDescent="0.25">
      <c r="A85" s="1">
        <v>427</v>
      </c>
      <c r="B85" s="14" t="s">
        <v>1857</v>
      </c>
      <c r="C85" s="14" t="s">
        <v>1962</v>
      </c>
      <c r="D85" s="25" t="s">
        <v>17</v>
      </c>
      <c r="E85" s="29" t="s">
        <v>191</v>
      </c>
      <c r="F85" s="14">
        <v>170.244</v>
      </c>
      <c r="G85" s="14">
        <v>40.5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1</v>
      </c>
      <c r="N85" s="14">
        <v>5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  <c r="W85" s="14">
        <v>0</v>
      </c>
      <c r="X85" s="14">
        <v>0</v>
      </c>
      <c r="Y85" s="14">
        <v>0</v>
      </c>
      <c r="Z85" s="14">
        <v>1</v>
      </c>
      <c r="AA85" s="14">
        <v>2</v>
      </c>
      <c r="AB85" s="14">
        <v>0</v>
      </c>
      <c r="AC85" s="14">
        <v>0</v>
      </c>
      <c r="AD85" s="25">
        <v>0</v>
      </c>
      <c r="AE85" s="25">
        <v>0</v>
      </c>
      <c r="AF85" s="25">
        <v>0</v>
      </c>
      <c r="AG85" s="25">
        <v>0.41111111099999997</v>
      </c>
      <c r="AH85" s="25">
        <v>0.434911243</v>
      </c>
      <c r="AI85" s="14" t="s">
        <v>1571</v>
      </c>
      <c r="AJ85" s="14" t="s">
        <v>25</v>
      </c>
    </row>
    <row r="86" spans="1:36" ht="15" customHeight="1" x14ac:dyDescent="0.25">
      <c r="A86" s="1">
        <v>428</v>
      </c>
      <c r="B86" s="25" t="s">
        <v>756</v>
      </c>
      <c r="C86" s="25" t="s">
        <v>453</v>
      </c>
      <c r="D86" s="25" t="s">
        <v>595</v>
      </c>
      <c r="E86" s="25" t="s">
        <v>191</v>
      </c>
      <c r="F86" s="25">
        <v>170.25</v>
      </c>
      <c r="G86" s="25">
        <v>40.5</v>
      </c>
      <c r="H86" s="25">
        <v>0</v>
      </c>
      <c r="I86" s="25">
        <v>0</v>
      </c>
      <c r="J86" s="25">
        <v>0</v>
      </c>
      <c r="K86" s="25">
        <v>0</v>
      </c>
      <c r="L86" s="25">
        <v>0</v>
      </c>
      <c r="M86" s="25">
        <v>1</v>
      </c>
      <c r="N86" s="25">
        <v>3</v>
      </c>
      <c r="O86" s="25">
        <v>0</v>
      </c>
      <c r="P86" s="25">
        <v>0</v>
      </c>
      <c r="Q86" s="25">
        <v>0</v>
      </c>
      <c r="R86" s="25">
        <v>0</v>
      </c>
      <c r="S86" s="25">
        <v>0</v>
      </c>
      <c r="T86" s="25">
        <v>0</v>
      </c>
      <c r="U86" s="25">
        <v>0</v>
      </c>
      <c r="V86" s="25">
        <v>0</v>
      </c>
      <c r="W86" s="25">
        <v>0</v>
      </c>
      <c r="X86" s="25">
        <v>0</v>
      </c>
      <c r="Y86" s="25">
        <v>0</v>
      </c>
      <c r="Z86" s="25">
        <v>1</v>
      </c>
      <c r="AA86" s="25">
        <v>4</v>
      </c>
      <c r="AB86" s="25">
        <v>0</v>
      </c>
      <c r="AC86" s="25">
        <v>0</v>
      </c>
      <c r="AD86" s="25">
        <v>0</v>
      </c>
      <c r="AE86" s="25">
        <v>0</v>
      </c>
      <c r="AF86" s="25">
        <v>0</v>
      </c>
      <c r="AG86" s="25">
        <v>0.434911243</v>
      </c>
      <c r="AH86" s="25">
        <v>0.42899408300000003</v>
      </c>
      <c r="AI86" s="25" t="s">
        <v>1149</v>
      </c>
      <c r="AJ86" s="14" t="s">
        <v>25</v>
      </c>
    </row>
    <row r="87" spans="1:36" ht="15" customHeight="1" x14ac:dyDescent="0.25">
      <c r="A87" s="1">
        <v>442</v>
      </c>
      <c r="B87" s="14" t="s">
        <v>1283</v>
      </c>
      <c r="C87" s="14" t="s">
        <v>1963</v>
      </c>
      <c r="D87" s="25" t="s">
        <v>13</v>
      </c>
      <c r="E87" s="29" t="s">
        <v>109</v>
      </c>
      <c r="F87" s="14">
        <v>246.4314688</v>
      </c>
      <c r="G87" s="14">
        <v>42</v>
      </c>
      <c r="H87" s="14">
        <v>6</v>
      </c>
      <c r="I87" s="14">
        <v>0</v>
      </c>
      <c r="J87" s="14">
        <v>6</v>
      </c>
      <c r="K87" s="14">
        <v>3</v>
      </c>
      <c r="L87" s="14">
        <v>0</v>
      </c>
      <c r="M87" s="14">
        <v>2</v>
      </c>
      <c r="N87" s="14">
        <v>9</v>
      </c>
      <c r="O87" s="14">
        <v>0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1</v>
      </c>
      <c r="W87" s="14">
        <v>0</v>
      </c>
      <c r="X87" s="14">
        <v>5</v>
      </c>
      <c r="Y87" s="14">
        <v>0</v>
      </c>
      <c r="Z87" s="14">
        <v>0</v>
      </c>
      <c r="AA87" s="14">
        <v>0</v>
      </c>
      <c r="AB87" s="14">
        <v>0</v>
      </c>
      <c r="AC87" s="14">
        <v>0</v>
      </c>
      <c r="AD87" s="25">
        <v>0</v>
      </c>
      <c r="AE87" s="25">
        <v>0</v>
      </c>
      <c r="AF87" s="25">
        <v>0</v>
      </c>
      <c r="AG87" s="25">
        <v>0.499729584</v>
      </c>
      <c r="AH87" s="25">
        <v>0.55215419499999996</v>
      </c>
      <c r="AI87" s="14" t="s">
        <v>1306</v>
      </c>
      <c r="AJ87" s="14" t="s">
        <v>25</v>
      </c>
    </row>
    <row r="88" spans="1:36" ht="15" customHeight="1" x14ac:dyDescent="0.25">
      <c r="A88" s="1">
        <v>447</v>
      </c>
      <c r="B88" s="14" t="s">
        <v>793</v>
      </c>
      <c r="C88" s="14" t="s">
        <v>468</v>
      </c>
      <c r="D88" s="25" t="s">
        <v>21</v>
      </c>
      <c r="E88" s="29" t="s">
        <v>203</v>
      </c>
      <c r="F88" s="14">
        <v>294.47000000000003</v>
      </c>
      <c r="G88" s="14">
        <v>42.2</v>
      </c>
      <c r="H88" s="14">
        <v>0</v>
      </c>
      <c r="I88" s="14">
        <v>2</v>
      </c>
      <c r="J88" s="14">
        <v>0</v>
      </c>
      <c r="K88" s="14">
        <v>2</v>
      </c>
      <c r="L88" s="14">
        <v>0</v>
      </c>
      <c r="M88" s="14">
        <v>2</v>
      </c>
      <c r="N88" s="14">
        <v>12</v>
      </c>
      <c r="O88" s="14">
        <v>0</v>
      </c>
      <c r="P88" s="14">
        <v>0</v>
      </c>
      <c r="Q88" s="14">
        <v>0</v>
      </c>
      <c r="R88" s="14">
        <v>0</v>
      </c>
      <c r="S88" s="14">
        <v>0</v>
      </c>
      <c r="T88" s="14">
        <v>0</v>
      </c>
      <c r="U88" s="14">
        <v>1</v>
      </c>
      <c r="V88" s="14">
        <v>0</v>
      </c>
      <c r="W88" s="14">
        <v>4</v>
      </c>
      <c r="X88" s="14">
        <v>0</v>
      </c>
      <c r="Y88" s="14">
        <v>0</v>
      </c>
      <c r="Z88" s="14">
        <v>0</v>
      </c>
      <c r="AA88" s="14">
        <v>0</v>
      </c>
      <c r="AB88" s="14">
        <v>0</v>
      </c>
      <c r="AC88" s="14">
        <v>0</v>
      </c>
      <c r="AD88" s="25">
        <v>0</v>
      </c>
      <c r="AE88" s="25">
        <v>0</v>
      </c>
      <c r="AF88" s="25">
        <v>0</v>
      </c>
      <c r="AG88" s="25">
        <v>0.60613943800000003</v>
      </c>
      <c r="AH88" s="25">
        <v>0.61153119099999997</v>
      </c>
      <c r="AI88" s="14" t="s">
        <v>1164</v>
      </c>
      <c r="AJ88" s="14" t="s">
        <v>25</v>
      </c>
    </row>
    <row r="89" spans="1:36" ht="15" customHeight="1" x14ac:dyDescent="0.25">
      <c r="A89" s="1">
        <v>455</v>
      </c>
      <c r="B89" s="25" t="s">
        <v>1350</v>
      </c>
      <c r="C89" s="25" t="s">
        <v>1964</v>
      </c>
      <c r="D89" s="25" t="s">
        <v>12</v>
      </c>
      <c r="E89" s="25" t="s">
        <v>54</v>
      </c>
      <c r="F89" s="25">
        <v>112.21293919999999</v>
      </c>
      <c r="G89" s="25">
        <v>43</v>
      </c>
      <c r="H89" s="25">
        <v>0</v>
      </c>
      <c r="I89" s="25">
        <v>1</v>
      </c>
      <c r="J89" s="25">
        <v>0</v>
      </c>
      <c r="K89" s="25">
        <v>1</v>
      </c>
      <c r="L89" s="25">
        <v>0</v>
      </c>
      <c r="M89" s="25">
        <v>2</v>
      </c>
      <c r="N89" s="25">
        <v>4</v>
      </c>
      <c r="O89" s="25">
        <v>0</v>
      </c>
      <c r="P89" s="25">
        <v>0</v>
      </c>
      <c r="Q89" s="25">
        <v>0</v>
      </c>
      <c r="R89" s="25">
        <v>0</v>
      </c>
      <c r="S89" s="25">
        <v>0</v>
      </c>
      <c r="T89" s="25">
        <v>0</v>
      </c>
      <c r="U89" s="25">
        <v>0</v>
      </c>
      <c r="V89" s="25">
        <v>0</v>
      </c>
      <c r="W89" s="25">
        <v>2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C89" s="25">
        <v>0</v>
      </c>
      <c r="AD89" s="25">
        <v>0</v>
      </c>
      <c r="AE89" s="25">
        <v>0</v>
      </c>
      <c r="AF89" s="25">
        <v>0</v>
      </c>
      <c r="AG89" s="25">
        <v>0.375</v>
      </c>
      <c r="AH89" s="25">
        <v>0.3984375</v>
      </c>
      <c r="AI89" s="25" t="s">
        <v>1306</v>
      </c>
      <c r="AJ89" s="14" t="s">
        <v>25</v>
      </c>
    </row>
    <row r="90" spans="1:36" ht="15" customHeight="1" x14ac:dyDescent="0.25">
      <c r="A90" s="1">
        <v>460</v>
      </c>
      <c r="B90" s="14" t="s">
        <v>1362</v>
      </c>
      <c r="C90" s="14" t="s">
        <v>1965</v>
      </c>
      <c r="D90" s="25" t="s">
        <v>12</v>
      </c>
      <c r="E90" s="29" t="s">
        <v>49</v>
      </c>
      <c r="F90" s="14">
        <v>252.47911329999999</v>
      </c>
      <c r="G90" s="14">
        <v>43</v>
      </c>
      <c r="H90" s="14">
        <v>0</v>
      </c>
      <c r="I90" s="14">
        <v>1</v>
      </c>
      <c r="J90" s="14">
        <v>0</v>
      </c>
      <c r="K90" s="14">
        <v>1</v>
      </c>
      <c r="L90" s="14">
        <v>0</v>
      </c>
      <c r="M90" s="14">
        <v>4</v>
      </c>
      <c r="N90" s="14">
        <v>10</v>
      </c>
      <c r="O90" s="14">
        <v>0</v>
      </c>
      <c r="P90" s="14">
        <v>0</v>
      </c>
      <c r="Q90" s="14">
        <v>0</v>
      </c>
      <c r="R90" s="14">
        <v>0</v>
      </c>
      <c r="S90" s="14">
        <v>0</v>
      </c>
      <c r="T90" s="14">
        <v>0</v>
      </c>
      <c r="U90" s="14">
        <v>0</v>
      </c>
      <c r="V90" s="14">
        <v>2</v>
      </c>
      <c r="W90" s="14">
        <v>2</v>
      </c>
      <c r="X90" s="14">
        <v>0</v>
      </c>
      <c r="Y90" s="14">
        <v>0</v>
      </c>
      <c r="Z90" s="14">
        <v>0</v>
      </c>
      <c r="AA90" s="14">
        <v>0</v>
      </c>
      <c r="AB90" s="14">
        <v>0</v>
      </c>
      <c r="AC90" s="14">
        <v>0</v>
      </c>
      <c r="AD90" s="25">
        <v>0</v>
      </c>
      <c r="AE90" s="25">
        <v>0</v>
      </c>
      <c r="AF90" s="25">
        <v>0</v>
      </c>
      <c r="AG90" s="25">
        <v>0.55540166199999996</v>
      </c>
      <c r="AH90" s="25">
        <v>0.57561728400000001</v>
      </c>
      <c r="AI90" s="14" t="s">
        <v>1306</v>
      </c>
      <c r="AJ90" s="14" t="s">
        <v>25</v>
      </c>
    </row>
    <row r="91" spans="1:36" ht="15" customHeight="1" x14ac:dyDescent="0.25">
      <c r="A91" s="1">
        <v>480</v>
      </c>
      <c r="B91" s="25" t="s">
        <v>1360</v>
      </c>
      <c r="C91" s="25" t="s">
        <v>1966</v>
      </c>
      <c r="D91" s="25" t="s">
        <v>12</v>
      </c>
      <c r="E91" s="25" t="s">
        <v>49</v>
      </c>
      <c r="F91" s="25">
        <v>252.47911329999999</v>
      </c>
      <c r="G91" s="25">
        <v>45</v>
      </c>
      <c r="H91" s="25">
        <v>0</v>
      </c>
      <c r="I91" s="25">
        <v>1</v>
      </c>
      <c r="J91" s="25">
        <v>0</v>
      </c>
      <c r="K91" s="25">
        <v>1</v>
      </c>
      <c r="L91" s="25">
        <v>0</v>
      </c>
      <c r="M91" s="25">
        <v>3</v>
      </c>
      <c r="N91" s="25">
        <v>13</v>
      </c>
      <c r="O91" s="25">
        <v>0</v>
      </c>
      <c r="P91" s="25">
        <v>0</v>
      </c>
      <c r="Q91" s="25">
        <v>0</v>
      </c>
      <c r="R91" s="25">
        <v>0</v>
      </c>
      <c r="S91" s="25">
        <v>0</v>
      </c>
      <c r="T91" s="25">
        <v>0</v>
      </c>
      <c r="U91" s="25">
        <v>0</v>
      </c>
      <c r="V91" s="25">
        <v>0</v>
      </c>
      <c r="W91" s="25">
        <v>1</v>
      </c>
      <c r="X91" s="25">
        <v>0</v>
      </c>
      <c r="Y91" s="25">
        <v>0</v>
      </c>
      <c r="Z91" s="25">
        <v>0</v>
      </c>
      <c r="AA91" s="25">
        <v>0</v>
      </c>
      <c r="AB91" s="25">
        <v>0</v>
      </c>
      <c r="AC91" s="25">
        <v>0</v>
      </c>
      <c r="AD91" s="25">
        <v>0</v>
      </c>
      <c r="AE91" s="25">
        <v>0</v>
      </c>
      <c r="AF91" s="25">
        <v>0</v>
      </c>
      <c r="AG91" s="25">
        <v>0.52249999999999996</v>
      </c>
      <c r="AH91" s="25">
        <v>0.567901235</v>
      </c>
      <c r="AI91" s="25" t="s">
        <v>1306</v>
      </c>
      <c r="AJ91" s="14" t="s">
        <v>25</v>
      </c>
    </row>
    <row r="92" spans="1:36" ht="15" customHeight="1" x14ac:dyDescent="0.25">
      <c r="A92" s="1">
        <v>484</v>
      </c>
      <c r="B92" s="25" t="s">
        <v>885</v>
      </c>
      <c r="C92" s="25" t="s">
        <v>1967</v>
      </c>
      <c r="D92" s="25" t="s">
        <v>17</v>
      </c>
      <c r="E92" s="25" t="s">
        <v>1061</v>
      </c>
      <c r="F92" s="25">
        <v>885.43</v>
      </c>
      <c r="G92" s="25">
        <v>45</v>
      </c>
      <c r="H92" s="25">
        <v>0</v>
      </c>
      <c r="I92" s="25">
        <v>3</v>
      </c>
      <c r="J92" s="25">
        <v>0</v>
      </c>
      <c r="K92" s="25">
        <v>3</v>
      </c>
      <c r="L92" s="25">
        <v>0</v>
      </c>
      <c r="M92" s="25">
        <v>3</v>
      </c>
      <c r="N92" s="25">
        <v>44</v>
      </c>
      <c r="O92" s="25">
        <v>0</v>
      </c>
      <c r="P92" s="25">
        <v>0</v>
      </c>
      <c r="Q92" s="25">
        <v>0</v>
      </c>
      <c r="R92" s="25">
        <v>0</v>
      </c>
      <c r="S92" s="25">
        <v>0</v>
      </c>
      <c r="T92" s="25">
        <v>0</v>
      </c>
      <c r="U92" s="25">
        <v>3</v>
      </c>
      <c r="V92" s="25">
        <v>1</v>
      </c>
      <c r="W92" s="25">
        <v>6</v>
      </c>
      <c r="X92" s="25">
        <v>0</v>
      </c>
      <c r="Y92" s="25">
        <v>0</v>
      </c>
      <c r="Z92" s="25">
        <v>0</v>
      </c>
      <c r="AA92" s="25">
        <v>0</v>
      </c>
      <c r="AB92" s="25">
        <v>0</v>
      </c>
      <c r="AC92" s="25">
        <v>0</v>
      </c>
      <c r="AD92" s="25">
        <v>0</v>
      </c>
      <c r="AE92" s="25">
        <v>0</v>
      </c>
      <c r="AF92" s="25">
        <v>0</v>
      </c>
      <c r="AG92" s="25">
        <v>0.75656250000000003</v>
      </c>
      <c r="AH92" s="25">
        <v>0.76665224899999995</v>
      </c>
      <c r="AI92" s="25" t="s">
        <v>1062</v>
      </c>
      <c r="AJ92" s="14" t="s">
        <v>25</v>
      </c>
    </row>
    <row r="93" spans="1:36" ht="15" customHeight="1" x14ac:dyDescent="0.25">
      <c r="A93" s="1">
        <v>488</v>
      </c>
      <c r="B93" s="14" t="s">
        <v>619</v>
      </c>
      <c r="C93" s="14" t="s">
        <v>488</v>
      </c>
      <c r="D93" s="25" t="s">
        <v>10</v>
      </c>
      <c r="E93" s="29" t="s">
        <v>177</v>
      </c>
      <c r="F93" s="14">
        <v>144.25</v>
      </c>
      <c r="G93" s="14">
        <v>45.3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1</v>
      </c>
      <c r="N93" s="14">
        <v>8</v>
      </c>
      <c r="O93" s="14">
        <v>1</v>
      </c>
      <c r="P93" s="14">
        <v>0</v>
      </c>
      <c r="Q93" s="14">
        <v>0</v>
      </c>
      <c r="R93" s="14">
        <v>0</v>
      </c>
      <c r="S93" s="14">
        <v>0</v>
      </c>
      <c r="T93" s="14">
        <v>0</v>
      </c>
      <c r="U93" s="14">
        <v>0</v>
      </c>
      <c r="V93" s="14">
        <v>0</v>
      </c>
      <c r="W93" s="14">
        <v>0</v>
      </c>
      <c r="X93" s="14">
        <v>0</v>
      </c>
      <c r="Y93" s="14">
        <v>0</v>
      </c>
      <c r="Z93" s="14">
        <v>0</v>
      </c>
      <c r="AA93" s="14">
        <v>0</v>
      </c>
      <c r="AB93" s="14">
        <v>1</v>
      </c>
      <c r="AC93" s="14">
        <v>0</v>
      </c>
      <c r="AD93" s="25">
        <v>0</v>
      </c>
      <c r="AE93" s="25">
        <v>0</v>
      </c>
      <c r="AF93" s="25">
        <v>0</v>
      </c>
      <c r="AG93" s="25">
        <v>0.41499999999999998</v>
      </c>
      <c r="AH93" s="25">
        <v>0.43827160500000001</v>
      </c>
      <c r="AI93" s="14" t="s">
        <v>1185</v>
      </c>
      <c r="AJ93" s="14" t="s">
        <v>25</v>
      </c>
    </row>
    <row r="94" spans="1:36" ht="15" customHeight="1" x14ac:dyDescent="0.25">
      <c r="A94" s="1">
        <v>489</v>
      </c>
      <c r="B94" s="14" t="s">
        <v>576</v>
      </c>
      <c r="C94" s="14" t="s">
        <v>304</v>
      </c>
      <c r="D94" s="25" t="s">
        <v>14</v>
      </c>
      <c r="E94" s="29" t="s">
        <v>110</v>
      </c>
      <c r="F94" s="14">
        <v>128.21</v>
      </c>
      <c r="G94" s="14">
        <v>45.5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1</v>
      </c>
      <c r="N94" s="14">
        <v>3</v>
      </c>
      <c r="O94" s="14">
        <v>0</v>
      </c>
      <c r="P94" s="14">
        <v>0</v>
      </c>
      <c r="Q94" s="14">
        <v>1</v>
      </c>
      <c r="R94" s="14">
        <v>0</v>
      </c>
      <c r="S94" s="14">
        <v>0</v>
      </c>
      <c r="T94" s="14">
        <v>0</v>
      </c>
      <c r="U94" s="14">
        <v>0</v>
      </c>
      <c r="V94" s="14">
        <v>0</v>
      </c>
      <c r="W94" s="14">
        <v>0</v>
      </c>
      <c r="X94" s="14">
        <v>0</v>
      </c>
      <c r="Y94" s="14">
        <v>0</v>
      </c>
      <c r="Z94" s="14">
        <v>1</v>
      </c>
      <c r="AA94" s="14">
        <v>3</v>
      </c>
      <c r="AB94" s="14">
        <v>0</v>
      </c>
      <c r="AC94" s="14">
        <v>0</v>
      </c>
      <c r="AD94" s="25">
        <v>0</v>
      </c>
      <c r="AE94" s="25">
        <v>0</v>
      </c>
      <c r="AF94" s="25">
        <v>0</v>
      </c>
      <c r="AG94" s="25">
        <v>0.30165289299999998</v>
      </c>
      <c r="AH94" s="25">
        <v>0.32716049400000002</v>
      </c>
      <c r="AI94" s="14" t="s">
        <v>995</v>
      </c>
      <c r="AJ94" s="14" t="s">
        <v>25</v>
      </c>
    </row>
    <row r="95" spans="1:36" ht="15" customHeight="1" x14ac:dyDescent="0.25">
      <c r="A95" s="1">
        <v>491</v>
      </c>
      <c r="B95" s="14" t="s">
        <v>862</v>
      </c>
      <c r="C95" s="14" t="s">
        <v>1968</v>
      </c>
      <c r="D95" s="25" t="s">
        <v>10</v>
      </c>
      <c r="E95" s="29" t="s">
        <v>101</v>
      </c>
      <c r="F95" s="14">
        <v>240.42</v>
      </c>
      <c r="G95" s="14">
        <v>46</v>
      </c>
      <c r="H95" s="14">
        <v>0</v>
      </c>
      <c r="I95" s="14">
        <v>1</v>
      </c>
      <c r="J95" s="14">
        <v>0</v>
      </c>
      <c r="K95" s="14">
        <v>1</v>
      </c>
      <c r="L95" s="14">
        <v>0</v>
      </c>
      <c r="M95" s="14">
        <v>1</v>
      </c>
      <c r="N95" s="14">
        <v>13</v>
      </c>
      <c r="O95" s="14">
        <v>1</v>
      </c>
      <c r="P95" s="14">
        <v>0</v>
      </c>
      <c r="Q95" s="14">
        <v>0</v>
      </c>
      <c r="R95" s="14">
        <v>0</v>
      </c>
      <c r="S95" s="14">
        <v>0</v>
      </c>
      <c r="T95" s="14">
        <v>0</v>
      </c>
      <c r="U95" s="14">
        <v>0</v>
      </c>
      <c r="V95" s="14">
        <v>0</v>
      </c>
      <c r="W95" s="14">
        <v>2</v>
      </c>
      <c r="X95" s="14">
        <v>0</v>
      </c>
      <c r="Y95" s="14">
        <v>0</v>
      </c>
      <c r="Z95" s="14">
        <v>0</v>
      </c>
      <c r="AA95" s="14">
        <v>0</v>
      </c>
      <c r="AB95" s="14">
        <v>1</v>
      </c>
      <c r="AC95" s="14">
        <v>0</v>
      </c>
      <c r="AD95" s="25">
        <v>0</v>
      </c>
      <c r="AE95" s="25">
        <v>0</v>
      </c>
      <c r="AF95" s="25">
        <v>0</v>
      </c>
      <c r="AG95" s="25">
        <v>0.53324099700000005</v>
      </c>
      <c r="AH95" s="25">
        <v>0.57266435999999998</v>
      </c>
      <c r="AI95" s="14" t="s">
        <v>983</v>
      </c>
      <c r="AJ95" s="14" t="s">
        <v>25</v>
      </c>
    </row>
    <row r="96" spans="1:36" ht="15" customHeight="1" x14ac:dyDescent="0.25">
      <c r="A96" s="1">
        <v>507</v>
      </c>
      <c r="B96" s="25" t="s">
        <v>738</v>
      </c>
      <c r="C96" s="25" t="s">
        <v>443</v>
      </c>
      <c r="D96" s="25" t="s">
        <v>19</v>
      </c>
      <c r="E96" s="25" t="s">
        <v>175</v>
      </c>
      <c r="F96" s="25">
        <v>338.65</v>
      </c>
      <c r="G96" s="25">
        <v>47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4</v>
      </c>
      <c r="N96" s="25">
        <v>18</v>
      </c>
      <c r="O96" s="25">
        <v>0</v>
      </c>
      <c r="P96" s="25">
        <v>0</v>
      </c>
      <c r="Q96" s="25">
        <v>0</v>
      </c>
      <c r="R96" s="25">
        <v>0</v>
      </c>
      <c r="S96" s="25">
        <v>0</v>
      </c>
      <c r="T96" s="25">
        <v>0</v>
      </c>
      <c r="U96" s="25">
        <v>0</v>
      </c>
      <c r="V96" s="25">
        <v>2</v>
      </c>
      <c r="W96" s="25">
        <v>0</v>
      </c>
      <c r="X96" s="25">
        <v>0</v>
      </c>
      <c r="Y96" s="25">
        <v>0</v>
      </c>
      <c r="Z96" s="25">
        <v>0</v>
      </c>
      <c r="AA96" s="25">
        <v>0</v>
      </c>
      <c r="AB96" s="25">
        <v>0</v>
      </c>
      <c r="AC96" s="25">
        <v>0</v>
      </c>
      <c r="AD96" s="25">
        <v>0</v>
      </c>
      <c r="AE96" s="25">
        <v>0</v>
      </c>
      <c r="AF96" s="25">
        <v>0</v>
      </c>
      <c r="AG96" s="25">
        <v>0.59635416699999999</v>
      </c>
      <c r="AH96" s="25">
        <v>0.61909262799999998</v>
      </c>
      <c r="AI96" s="25" t="s">
        <v>1139</v>
      </c>
      <c r="AJ96" s="14" t="s">
        <v>25</v>
      </c>
    </row>
    <row r="97" spans="1:36" ht="15" customHeight="1" x14ac:dyDescent="0.25">
      <c r="A97" s="1">
        <v>509</v>
      </c>
      <c r="B97" s="14" t="s">
        <v>1326</v>
      </c>
      <c r="C97" s="14" t="s">
        <v>1969</v>
      </c>
      <c r="D97" s="14" t="s">
        <v>7</v>
      </c>
      <c r="E97" s="29" t="s">
        <v>175</v>
      </c>
      <c r="F97" s="14">
        <v>338.65469919999998</v>
      </c>
      <c r="G97" s="14">
        <v>47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4</v>
      </c>
      <c r="N97" s="14">
        <v>18</v>
      </c>
      <c r="O97" s="14">
        <v>0</v>
      </c>
      <c r="P97" s="14">
        <v>0</v>
      </c>
      <c r="Q97" s="14">
        <v>0</v>
      </c>
      <c r="R97" s="14">
        <v>0</v>
      </c>
      <c r="S97" s="14">
        <v>0</v>
      </c>
      <c r="T97" s="14">
        <v>0</v>
      </c>
      <c r="U97" s="14">
        <v>0</v>
      </c>
      <c r="V97" s="14">
        <v>2</v>
      </c>
      <c r="W97" s="14">
        <v>0</v>
      </c>
      <c r="X97" s="14">
        <v>0</v>
      </c>
      <c r="Y97" s="14">
        <v>0</v>
      </c>
      <c r="Z97" s="14">
        <v>0</v>
      </c>
      <c r="AA97" s="14">
        <v>0</v>
      </c>
      <c r="AB97" s="14">
        <v>0</v>
      </c>
      <c r="AC97" s="14">
        <v>0</v>
      </c>
      <c r="AD97" s="25">
        <v>0</v>
      </c>
      <c r="AE97" s="25">
        <v>0</v>
      </c>
      <c r="AF97" s="25">
        <v>0</v>
      </c>
      <c r="AG97" s="25">
        <v>0.59635416699999999</v>
      </c>
      <c r="AH97" s="25">
        <v>0.61531190899999999</v>
      </c>
      <c r="AI97" s="14" t="s">
        <v>1306</v>
      </c>
      <c r="AJ97" s="14" t="s">
        <v>25</v>
      </c>
    </row>
    <row r="98" spans="1:36" ht="15" customHeight="1" x14ac:dyDescent="0.25">
      <c r="A98" s="1">
        <v>510</v>
      </c>
      <c r="B98" s="14" t="s">
        <v>1328</v>
      </c>
      <c r="C98" s="14" t="s">
        <v>1970</v>
      </c>
      <c r="D98" s="14" t="s">
        <v>7</v>
      </c>
      <c r="E98" s="29" t="s">
        <v>175</v>
      </c>
      <c r="F98" s="14">
        <v>338.65469919999998</v>
      </c>
      <c r="G98" s="14">
        <v>47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4</v>
      </c>
      <c r="N98" s="14">
        <v>18</v>
      </c>
      <c r="O98" s="14">
        <v>0</v>
      </c>
      <c r="P98" s="14">
        <v>0</v>
      </c>
      <c r="Q98" s="14">
        <v>0</v>
      </c>
      <c r="R98" s="14">
        <v>0</v>
      </c>
      <c r="S98" s="14">
        <v>0</v>
      </c>
      <c r="T98" s="14">
        <v>0</v>
      </c>
      <c r="U98" s="14">
        <v>0</v>
      </c>
      <c r="V98" s="14">
        <v>2</v>
      </c>
      <c r="W98" s="14">
        <v>0</v>
      </c>
      <c r="X98" s="14">
        <v>0</v>
      </c>
      <c r="Y98" s="14">
        <v>0</v>
      </c>
      <c r="Z98" s="14">
        <v>0</v>
      </c>
      <c r="AA98" s="14">
        <v>0</v>
      </c>
      <c r="AB98" s="14">
        <v>0</v>
      </c>
      <c r="AC98" s="14">
        <v>0</v>
      </c>
      <c r="AD98" s="25">
        <v>0</v>
      </c>
      <c r="AE98" s="25">
        <v>0</v>
      </c>
      <c r="AF98" s="25">
        <v>0</v>
      </c>
      <c r="AG98" s="25">
        <v>0.59635416699999999</v>
      </c>
      <c r="AH98" s="25">
        <v>0.617202268</v>
      </c>
      <c r="AI98" s="14" t="s">
        <v>1306</v>
      </c>
      <c r="AJ98" s="14" t="s">
        <v>25</v>
      </c>
    </row>
    <row r="99" spans="1:36" ht="15" customHeight="1" x14ac:dyDescent="0.25">
      <c r="A99" s="1">
        <v>513</v>
      </c>
      <c r="B99" s="25" t="s">
        <v>788</v>
      </c>
      <c r="C99" s="25" t="s">
        <v>465</v>
      </c>
      <c r="D99" s="25" t="s">
        <v>21</v>
      </c>
      <c r="E99" s="25" t="s">
        <v>201</v>
      </c>
      <c r="F99" s="25">
        <v>336.55</v>
      </c>
      <c r="G99" s="25">
        <v>47.55</v>
      </c>
      <c r="H99" s="25">
        <v>0</v>
      </c>
      <c r="I99" s="25">
        <v>2</v>
      </c>
      <c r="J99" s="25">
        <v>0</v>
      </c>
      <c r="K99" s="25">
        <v>2</v>
      </c>
      <c r="L99" s="25">
        <v>0</v>
      </c>
      <c r="M99" s="25">
        <v>2</v>
      </c>
      <c r="N99" s="25">
        <v>15</v>
      </c>
      <c r="O99" s="25">
        <v>0</v>
      </c>
      <c r="P99" s="25">
        <v>0</v>
      </c>
      <c r="Q99" s="25">
        <v>0</v>
      </c>
      <c r="R99" s="25">
        <v>0</v>
      </c>
      <c r="S99" s="25">
        <v>0</v>
      </c>
      <c r="T99" s="25">
        <v>0</v>
      </c>
      <c r="U99" s="25">
        <v>1</v>
      </c>
      <c r="V99" s="25">
        <v>0</v>
      </c>
      <c r="W99" s="25">
        <v>4</v>
      </c>
      <c r="X99" s="25">
        <v>0</v>
      </c>
      <c r="Y99" s="25">
        <v>0</v>
      </c>
      <c r="Z99" s="25">
        <v>0</v>
      </c>
      <c r="AA99" s="25">
        <v>0</v>
      </c>
      <c r="AB99" s="25">
        <v>0</v>
      </c>
      <c r="AC99" s="25">
        <v>0</v>
      </c>
      <c r="AD99" s="25">
        <v>0</v>
      </c>
      <c r="AE99" s="25">
        <v>0</v>
      </c>
      <c r="AF99" s="25">
        <v>0</v>
      </c>
      <c r="AG99" s="25">
        <v>0.607780612</v>
      </c>
      <c r="AH99" s="25">
        <v>0.63979289900000003</v>
      </c>
      <c r="AI99" s="25" t="s">
        <v>1161</v>
      </c>
      <c r="AJ99" s="14" t="s">
        <v>25</v>
      </c>
    </row>
    <row r="100" spans="1:36" ht="15" customHeight="1" x14ac:dyDescent="0.25">
      <c r="A100" s="1">
        <v>518</v>
      </c>
      <c r="B100" s="25" t="s">
        <v>905</v>
      </c>
      <c r="C100" s="25" t="s">
        <v>280</v>
      </c>
      <c r="D100" s="25" t="s">
        <v>19</v>
      </c>
      <c r="E100" s="25" t="s">
        <v>87</v>
      </c>
      <c r="F100" s="25">
        <v>310.60000000000002</v>
      </c>
      <c r="G100" s="25">
        <v>48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8</v>
      </c>
      <c r="N100" s="25">
        <v>8</v>
      </c>
      <c r="O100" s="25">
        <v>0</v>
      </c>
      <c r="P100" s="25">
        <v>0</v>
      </c>
      <c r="Q100" s="25">
        <v>0</v>
      </c>
      <c r="R100" s="25">
        <v>0</v>
      </c>
      <c r="S100" s="25">
        <v>0</v>
      </c>
      <c r="T100" s="25">
        <v>0</v>
      </c>
      <c r="U100" s="25">
        <v>0</v>
      </c>
      <c r="V100" s="25">
        <v>6</v>
      </c>
      <c r="W100" s="25">
        <v>0</v>
      </c>
      <c r="X100" s="25">
        <v>0</v>
      </c>
      <c r="Y100" s="25">
        <v>0</v>
      </c>
      <c r="Z100" s="25">
        <v>0</v>
      </c>
      <c r="AA100" s="25">
        <v>0</v>
      </c>
      <c r="AB100" s="25">
        <v>0</v>
      </c>
      <c r="AC100" s="25">
        <v>0</v>
      </c>
      <c r="AD100" s="25">
        <v>0</v>
      </c>
      <c r="AE100" s="25">
        <v>0</v>
      </c>
      <c r="AF100" s="25">
        <v>0</v>
      </c>
      <c r="AG100" s="25">
        <v>0.59763313600000001</v>
      </c>
      <c r="AH100" s="25">
        <v>0.59863945600000001</v>
      </c>
      <c r="AI100" s="25" t="s">
        <v>968</v>
      </c>
      <c r="AJ100" s="14" t="s">
        <v>25</v>
      </c>
    </row>
    <row r="101" spans="1:36" ht="15" customHeight="1" x14ac:dyDescent="0.25">
      <c r="A101" s="1">
        <v>520</v>
      </c>
      <c r="B101" s="25" t="s">
        <v>847</v>
      </c>
      <c r="C101" s="25" t="s">
        <v>1515</v>
      </c>
      <c r="D101" s="25" t="s">
        <v>595</v>
      </c>
      <c r="E101" s="25" t="s">
        <v>123</v>
      </c>
      <c r="F101" s="25">
        <v>184.27</v>
      </c>
      <c r="G101" s="25">
        <v>48.6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1</v>
      </c>
      <c r="N101" s="25">
        <v>6</v>
      </c>
      <c r="O101" s="25">
        <v>0</v>
      </c>
      <c r="P101" s="25">
        <v>0</v>
      </c>
      <c r="Q101" s="25">
        <v>0</v>
      </c>
      <c r="R101" s="25">
        <v>0</v>
      </c>
      <c r="S101" s="25">
        <v>0</v>
      </c>
      <c r="T101" s="25">
        <v>0</v>
      </c>
      <c r="U101" s="25">
        <v>0</v>
      </c>
      <c r="V101" s="25">
        <v>0</v>
      </c>
      <c r="W101" s="25">
        <v>0</v>
      </c>
      <c r="X101" s="25">
        <v>0</v>
      </c>
      <c r="Y101" s="25">
        <v>0</v>
      </c>
      <c r="Z101" s="25">
        <v>1</v>
      </c>
      <c r="AA101" s="25">
        <v>2</v>
      </c>
      <c r="AB101" s="25">
        <v>0</v>
      </c>
      <c r="AC101" s="25">
        <v>0</v>
      </c>
      <c r="AD101" s="25">
        <v>0</v>
      </c>
      <c r="AE101" s="25">
        <v>0</v>
      </c>
      <c r="AF101" s="25">
        <v>0</v>
      </c>
      <c r="AG101" s="25">
        <v>0.431640625</v>
      </c>
      <c r="AH101" s="25">
        <v>0.461734694</v>
      </c>
      <c r="AI101" s="25" t="s">
        <v>1010</v>
      </c>
      <c r="AJ101" s="14" t="s">
        <v>25</v>
      </c>
    </row>
    <row r="102" spans="1:36" ht="15" customHeight="1" x14ac:dyDescent="0.25">
      <c r="A102" s="1">
        <v>521</v>
      </c>
      <c r="B102" s="25" t="s">
        <v>757</v>
      </c>
      <c r="C102" s="25" t="s">
        <v>1557</v>
      </c>
      <c r="D102" s="25" t="s">
        <v>595</v>
      </c>
      <c r="E102" s="25" t="s">
        <v>123</v>
      </c>
      <c r="F102" s="25">
        <v>184.27</v>
      </c>
      <c r="G102" s="25">
        <v>48.6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1</v>
      </c>
      <c r="N102" s="25">
        <v>5</v>
      </c>
      <c r="O102" s="25">
        <v>0</v>
      </c>
      <c r="P102" s="25">
        <v>0</v>
      </c>
      <c r="Q102" s="25">
        <v>0</v>
      </c>
      <c r="R102" s="25">
        <v>0</v>
      </c>
      <c r="S102" s="25">
        <v>0</v>
      </c>
      <c r="T102" s="25">
        <v>0</v>
      </c>
      <c r="U102" s="25">
        <v>0</v>
      </c>
      <c r="V102" s="25">
        <v>0</v>
      </c>
      <c r="W102" s="25">
        <v>0</v>
      </c>
      <c r="X102" s="25">
        <v>0</v>
      </c>
      <c r="Y102" s="25">
        <v>0</v>
      </c>
      <c r="Z102" s="25">
        <v>1</v>
      </c>
      <c r="AA102" s="25">
        <v>3</v>
      </c>
      <c r="AB102" s="25">
        <v>0</v>
      </c>
      <c r="AC102" s="25">
        <v>0</v>
      </c>
      <c r="AD102" s="25">
        <v>0</v>
      </c>
      <c r="AE102" s="25">
        <v>0</v>
      </c>
      <c r="AF102" s="25">
        <v>0</v>
      </c>
      <c r="AG102" s="25">
        <v>0.442222222</v>
      </c>
      <c r="AH102" s="25">
        <v>0.44132653100000002</v>
      </c>
      <c r="AI102" s="25" t="s">
        <v>1150</v>
      </c>
      <c r="AJ102" s="14" t="s">
        <v>25</v>
      </c>
    </row>
    <row r="103" spans="1:36" ht="15" customHeight="1" x14ac:dyDescent="0.25">
      <c r="A103" s="1">
        <v>525</v>
      </c>
      <c r="B103" s="25" t="s">
        <v>1280</v>
      </c>
      <c r="C103" s="25" t="s">
        <v>1971</v>
      </c>
      <c r="D103" s="25" t="s">
        <v>13</v>
      </c>
      <c r="E103" s="25" t="s">
        <v>224</v>
      </c>
      <c r="F103" s="25">
        <v>274.48470359999999</v>
      </c>
      <c r="G103" s="25">
        <v>49</v>
      </c>
      <c r="H103" s="25">
        <v>6</v>
      </c>
      <c r="I103" s="25">
        <v>0</v>
      </c>
      <c r="J103" s="25">
        <v>6</v>
      </c>
      <c r="K103" s="25">
        <v>3</v>
      </c>
      <c r="L103" s="25">
        <v>0</v>
      </c>
      <c r="M103" s="25">
        <v>2</v>
      </c>
      <c r="N103" s="25">
        <v>11</v>
      </c>
      <c r="O103" s="25">
        <v>0</v>
      </c>
      <c r="P103" s="25">
        <v>0</v>
      </c>
      <c r="Q103" s="25">
        <v>0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  <c r="W103" s="25">
        <v>0</v>
      </c>
      <c r="X103" s="25">
        <v>5</v>
      </c>
      <c r="Y103" s="25">
        <v>0</v>
      </c>
      <c r="Z103" s="25">
        <v>0</v>
      </c>
      <c r="AA103" s="25">
        <v>0</v>
      </c>
      <c r="AB103" s="25">
        <v>0</v>
      </c>
      <c r="AC103" s="25">
        <v>0</v>
      </c>
      <c r="AD103" s="25">
        <v>0</v>
      </c>
      <c r="AE103" s="25">
        <v>0</v>
      </c>
      <c r="AF103" s="25">
        <v>0</v>
      </c>
      <c r="AG103" s="25">
        <v>0.51518646700000004</v>
      </c>
      <c r="AH103" s="25">
        <v>0.58317580300000005</v>
      </c>
      <c r="AI103" s="25" t="s">
        <v>1306</v>
      </c>
      <c r="AJ103" s="14" t="s">
        <v>25</v>
      </c>
    </row>
    <row r="104" spans="1:36" ht="15" customHeight="1" x14ac:dyDescent="0.25">
      <c r="A104" s="1">
        <v>536</v>
      </c>
      <c r="B104" s="14" t="s">
        <v>1726</v>
      </c>
      <c r="C104" s="14" t="s">
        <v>1451</v>
      </c>
      <c r="D104" s="14" t="s">
        <v>10</v>
      </c>
      <c r="E104" s="29" t="s">
        <v>1727</v>
      </c>
      <c r="F104" s="14">
        <v>268.46800000000002</v>
      </c>
      <c r="G104" s="14">
        <v>51</v>
      </c>
      <c r="H104" s="14">
        <v>0</v>
      </c>
      <c r="I104" s="14">
        <v>1</v>
      </c>
      <c r="J104" s="14">
        <v>0</v>
      </c>
      <c r="K104" s="14">
        <v>1</v>
      </c>
      <c r="L104" s="14">
        <v>0</v>
      </c>
      <c r="M104" s="14">
        <v>1</v>
      </c>
      <c r="N104" s="14">
        <v>15</v>
      </c>
      <c r="O104" s="14">
        <v>1</v>
      </c>
      <c r="P104" s="14">
        <v>0</v>
      </c>
      <c r="Q104" s="14">
        <v>0</v>
      </c>
      <c r="R104" s="14">
        <v>0</v>
      </c>
      <c r="S104" s="14">
        <v>0</v>
      </c>
      <c r="T104" s="14">
        <v>0</v>
      </c>
      <c r="U104" s="14">
        <v>0</v>
      </c>
      <c r="V104" s="14">
        <v>0</v>
      </c>
      <c r="W104" s="14">
        <v>2</v>
      </c>
      <c r="X104" s="14">
        <v>0</v>
      </c>
      <c r="Y104" s="14">
        <v>0</v>
      </c>
      <c r="Z104" s="14">
        <v>0</v>
      </c>
      <c r="AA104" s="14">
        <v>0</v>
      </c>
      <c r="AB104" s="14">
        <v>1</v>
      </c>
      <c r="AC104" s="14">
        <v>0</v>
      </c>
      <c r="AD104" s="25">
        <v>0</v>
      </c>
      <c r="AE104" s="25">
        <v>0</v>
      </c>
      <c r="AF104" s="25">
        <v>0</v>
      </c>
      <c r="AG104" s="25">
        <v>0.56374999999999997</v>
      </c>
      <c r="AH104" s="25">
        <v>0.58864265900000001</v>
      </c>
      <c r="AI104" s="14" t="s">
        <v>1571</v>
      </c>
      <c r="AJ104" s="14" t="s">
        <v>25</v>
      </c>
    </row>
    <row r="105" spans="1:36" ht="15" customHeight="1" x14ac:dyDescent="0.25">
      <c r="A105" s="1">
        <v>541</v>
      </c>
      <c r="B105" s="14" t="s">
        <v>662</v>
      </c>
      <c r="C105" s="14" t="s">
        <v>424</v>
      </c>
      <c r="D105" s="14" t="s">
        <v>13</v>
      </c>
      <c r="E105" s="29" t="s">
        <v>181</v>
      </c>
      <c r="F105" s="14">
        <v>232.4</v>
      </c>
      <c r="G105" s="14">
        <v>51</v>
      </c>
      <c r="H105" s="14">
        <v>6</v>
      </c>
      <c r="I105" s="14">
        <v>0</v>
      </c>
      <c r="J105" s="14">
        <v>6</v>
      </c>
      <c r="K105" s="14">
        <v>3</v>
      </c>
      <c r="L105" s="14">
        <v>0</v>
      </c>
      <c r="M105" s="14">
        <v>2</v>
      </c>
      <c r="N105" s="14">
        <v>8</v>
      </c>
      <c r="O105" s="14">
        <v>0</v>
      </c>
      <c r="P105" s="14">
        <v>0</v>
      </c>
      <c r="Q105" s="14">
        <v>0</v>
      </c>
      <c r="R105" s="14">
        <v>0</v>
      </c>
      <c r="S105" s="14">
        <v>0</v>
      </c>
      <c r="T105" s="14">
        <v>0</v>
      </c>
      <c r="U105" s="14">
        <v>0</v>
      </c>
      <c r="V105" s="14">
        <v>1</v>
      </c>
      <c r="W105" s="14">
        <v>0</v>
      </c>
      <c r="X105" s="14">
        <v>5</v>
      </c>
      <c r="Y105" s="14">
        <v>0</v>
      </c>
      <c r="Z105" s="14">
        <v>0</v>
      </c>
      <c r="AA105" s="14">
        <v>0</v>
      </c>
      <c r="AB105" s="14">
        <v>0</v>
      </c>
      <c r="AC105" s="14">
        <v>0</v>
      </c>
      <c r="AD105" s="25">
        <v>0</v>
      </c>
      <c r="AE105" s="25">
        <v>0</v>
      </c>
      <c r="AF105" s="25">
        <v>0</v>
      </c>
      <c r="AG105" s="25">
        <v>0.50108166600000004</v>
      </c>
      <c r="AH105" s="25">
        <v>0.53625</v>
      </c>
      <c r="AI105" s="14" t="s">
        <v>1122</v>
      </c>
      <c r="AJ105" s="14" t="s">
        <v>25</v>
      </c>
    </row>
    <row r="106" spans="1:36" ht="15" customHeight="1" x14ac:dyDescent="0.25">
      <c r="A106" s="1">
        <v>543</v>
      </c>
      <c r="B106" s="14" t="s">
        <v>1281</v>
      </c>
      <c r="C106" s="14" t="s">
        <v>1972</v>
      </c>
      <c r="D106" s="14" t="s">
        <v>13</v>
      </c>
      <c r="E106" s="29" t="s">
        <v>181</v>
      </c>
      <c r="F106" s="14">
        <v>232.40485140000001</v>
      </c>
      <c r="G106" s="14">
        <v>51</v>
      </c>
      <c r="H106" s="14">
        <v>6</v>
      </c>
      <c r="I106" s="14">
        <v>0</v>
      </c>
      <c r="J106" s="14">
        <v>6</v>
      </c>
      <c r="K106" s="14">
        <v>3</v>
      </c>
      <c r="L106" s="14">
        <v>0</v>
      </c>
      <c r="M106" s="14">
        <v>2</v>
      </c>
      <c r="N106" s="14">
        <v>8</v>
      </c>
      <c r="O106" s="14">
        <v>0</v>
      </c>
      <c r="P106" s="14">
        <v>0</v>
      </c>
      <c r="Q106" s="14">
        <v>0</v>
      </c>
      <c r="R106" s="14">
        <v>0</v>
      </c>
      <c r="S106" s="14">
        <v>0</v>
      </c>
      <c r="T106" s="14">
        <v>0</v>
      </c>
      <c r="U106" s="14">
        <v>0</v>
      </c>
      <c r="V106" s="14">
        <v>1</v>
      </c>
      <c r="W106" s="14">
        <v>0</v>
      </c>
      <c r="X106" s="14">
        <v>5</v>
      </c>
      <c r="Y106" s="14">
        <v>0</v>
      </c>
      <c r="Z106" s="14">
        <v>0</v>
      </c>
      <c r="AA106" s="14">
        <v>0</v>
      </c>
      <c r="AB106" s="14">
        <v>0</v>
      </c>
      <c r="AC106" s="14">
        <v>0</v>
      </c>
      <c r="AD106" s="25">
        <v>0</v>
      </c>
      <c r="AE106" s="25">
        <v>0</v>
      </c>
      <c r="AF106" s="25">
        <v>0</v>
      </c>
      <c r="AG106" s="25">
        <v>0.50108166600000004</v>
      </c>
      <c r="AH106" s="25">
        <v>0.53125</v>
      </c>
      <c r="AI106" s="14" t="s">
        <v>1306</v>
      </c>
      <c r="AJ106" s="14" t="s">
        <v>25</v>
      </c>
    </row>
    <row r="107" spans="1:36" ht="15" customHeight="1" x14ac:dyDescent="0.25">
      <c r="A107" s="1">
        <v>548</v>
      </c>
      <c r="B107" s="14" t="s">
        <v>698</v>
      </c>
      <c r="C107" s="14" t="s">
        <v>481</v>
      </c>
      <c r="D107" s="14" t="s">
        <v>17</v>
      </c>
      <c r="E107" s="29" t="s">
        <v>155</v>
      </c>
      <c r="F107" s="14">
        <v>200.32</v>
      </c>
      <c r="G107" s="14">
        <v>51.2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2</v>
      </c>
      <c r="N107" s="14">
        <v>9</v>
      </c>
      <c r="O107" s="14">
        <v>0</v>
      </c>
      <c r="P107" s="14">
        <v>0</v>
      </c>
      <c r="Q107" s="14">
        <v>0</v>
      </c>
      <c r="R107" s="14">
        <v>0</v>
      </c>
      <c r="S107" s="14">
        <v>0</v>
      </c>
      <c r="T107" s="14">
        <v>0</v>
      </c>
      <c r="U107" s="14">
        <v>1</v>
      </c>
      <c r="V107" s="14">
        <v>0</v>
      </c>
      <c r="W107" s="14">
        <v>0</v>
      </c>
      <c r="X107" s="14">
        <v>0</v>
      </c>
      <c r="Y107" s="14">
        <v>0</v>
      </c>
      <c r="Z107" s="14">
        <v>0</v>
      </c>
      <c r="AA107" s="14">
        <v>0</v>
      </c>
      <c r="AB107" s="14">
        <v>0</v>
      </c>
      <c r="AC107" s="14">
        <v>0</v>
      </c>
      <c r="AD107" s="25">
        <v>0</v>
      </c>
      <c r="AE107" s="25">
        <v>0</v>
      </c>
      <c r="AF107" s="25">
        <v>0</v>
      </c>
      <c r="AG107" s="25">
        <v>0.52295918399999997</v>
      </c>
      <c r="AH107" s="25">
        <v>0.528061224</v>
      </c>
      <c r="AI107" s="14" t="s">
        <v>1176</v>
      </c>
      <c r="AJ107" s="14" t="s">
        <v>25</v>
      </c>
    </row>
    <row r="108" spans="1:36" ht="15" customHeight="1" x14ac:dyDescent="0.25">
      <c r="A108" s="1">
        <v>555</v>
      </c>
      <c r="B108" s="14" t="s">
        <v>1601</v>
      </c>
      <c r="C108" s="14" t="s">
        <v>1385</v>
      </c>
      <c r="D108" s="14" t="s">
        <v>19</v>
      </c>
      <c r="E108" s="29" t="s">
        <v>1599</v>
      </c>
      <c r="F108" s="14">
        <v>184.35400000000001</v>
      </c>
      <c r="G108" s="14">
        <v>53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3</v>
      </c>
      <c r="N108" s="14">
        <v>9</v>
      </c>
      <c r="O108" s="14">
        <v>0</v>
      </c>
      <c r="P108" s="14">
        <v>0</v>
      </c>
      <c r="Q108" s="14">
        <v>0</v>
      </c>
      <c r="R108" s="14">
        <v>0</v>
      </c>
      <c r="S108" s="14">
        <v>0</v>
      </c>
      <c r="T108" s="14">
        <v>0</v>
      </c>
      <c r="U108" s="14">
        <v>0</v>
      </c>
      <c r="V108" s="14">
        <v>1</v>
      </c>
      <c r="W108" s="14">
        <v>0</v>
      </c>
      <c r="X108" s="14">
        <v>0</v>
      </c>
      <c r="Y108" s="14">
        <v>0</v>
      </c>
      <c r="Z108" s="14">
        <v>0</v>
      </c>
      <c r="AA108" s="14">
        <v>0</v>
      </c>
      <c r="AB108" s="14">
        <v>0</v>
      </c>
      <c r="AC108" s="14">
        <v>0</v>
      </c>
      <c r="AD108" s="25">
        <v>0</v>
      </c>
      <c r="AE108" s="25">
        <v>0</v>
      </c>
      <c r="AF108" s="25">
        <v>0</v>
      </c>
      <c r="AG108" s="25">
        <v>0.49305555600000001</v>
      </c>
      <c r="AH108" s="25">
        <v>0.49305555600000001</v>
      </c>
      <c r="AI108" s="14" t="s">
        <v>1571</v>
      </c>
      <c r="AJ108" s="14" t="s">
        <v>25</v>
      </c>
    </row>
    <row r="109" spans="1:36" ht="15" customHeight="1" x14ac:dyDescent="0.25">
      <c r="A109" s="1">
        <v>559</v>
      </c>
      <c r="B109" s="25" t="s">
        <v>717</v>
      </c>
      <c r="C109" s="25" t="s">
        <v>438</v>
      </c>
      <c r="D109" s="25" t="s">
        <v>18</v>
      </c>
      <c r="E109" s="25" t="s">
        <v>189</v>
      </c>
      <c r="F109" s="25">
        <v>118.17</v>
      </c>
      <c r="G109" s="25">
        <v>54.1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3</v>
      </c>
      <c r="N109" s="25">
        <v>2</v>
      </c>
      <c r="O109" s="25">
        <v>0</v>
      </c>
      <c r="P109" s="25">
        <v>2</v>
      </c>
      <c r="Q109" s="25">
        <v>0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  <c r="W109" s="25">
        <v>0</v>
      </c>
      <c r="X109" s="25">
        <v>0</v>
      </c>
      <c r="Y109" s="25">
        <v>0</v>
      </c>
      <c r="Z109" s="25">
        <v>0</v>
      </c>
      <c r="AA109" s="25">
        <v>0</v>
      </c>
      <c r="AB109" s="25">
        <v>0</v>
      </c>
      <c r="AC109" s="25">
        <v>0</v>
      </c>
      <c r="AD109" s="25">
        <v>0</v>
      </c>
      <c r="AE109" s="25">
        <v>0</v>
      </c>
      <c r="AF109" s="25">
        <v>0</v>
      </c>
      <c r="AG109" s="25">
        <v>0.37755102000000001</v>
      </c>
      <c r="AH109" s="25">
        <v>0.37755102000000001</v>
      </c>
      <c r="AI109" s="25" t="s">
        <v>1134</v>
      </c>
      <c r="AJ109" s="14" t="s">
        <v>25</v>
      </c>
    </row>
    <row r="110" spans="1:36" ht="15" customHeight="1" x14ac:dyDescent="0.25">
      <c r="A110" s="1">
        <v>562</v>
      </c>
      <c r="B110" s="14" t="s">
        <v>758</v>
      </c>
      <c r="C110" s="14" t="s">
        <v>522</v>
      </c>
      <c r="D110" s="14" t="s">
        <v>7</v>
      </c>
      <c r="E110" s="29" t="s">
        <v>85</v>
      </c>
      <c r="F110" s="14">
        <v>100.2</v>
      </c>
      <c r="G110" s="14">
        <v>55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2</v>
      </c>
      <c r="N110" s="14">
        <v>5</v>
      </c>
      <c r="O110" s="14">
        <v>0</v>
      </c>
      <c r="P110" s="14">
        <v>0</v>
      </c>
      <c r="Q110" s="14">
        <v>0</v>
      </c>
      <c r="R110" s="14">
        <v>0</v>
      </c>
      <c r="S110" s="14">
        <v>0</v>
      </c>
      <c r="T110" s="14">
        <v>0</v>
      </c>
      <c r="U110" s="14">
        <v>0</v>
      </c>
      <c r="V110" s="14">
        <v>0</v>
      </c>
      <c r="W110" s="14">
        <v>0</v>
      </c>
      <c r="X110" s="14">
        <v>0</v>
      </c>
      <c r="Y110" s="14">
        <v>0</v>
      </c>
      <c r="Z110" s="14">
        <v>0</v>
      </c>
      <c r="AA110" s="14">
        <v>0</v>
      </c>
      <c r="AB110" s="14">
        <v>0</v>
      </c>
      <c r="AC110" s="14">
        <v>0</v>
      </c>
      <c r="AD110" s="25">
        <v>0</v>
      </c>
      <c r="AE110" s="25">
        <v>0</v>
      </c>
      <c r="AF110" s="25">
        <v>0</v>
      </c>
      <c r="AG110" s="25">
        <v>0.31944444399999999</v>
      </c>
      <c r="AH110" s="25">
        <v>0.31944444399999999</v>
      </c>
      <c r="AI110" s="14" t="s">
        <v>1218</v>
      </c>
      <c r="AJ110" s="14" t="s">
        <v>25</v>
      </c>
    </row>
    <row r="111" spans="1:36" ht="15" customHeight="1" x14ac:dyDescent="0.25">
      <c r="A111" s="1">
        <v>564</v>
      </c>
      <c r="B111" s="25" t="s">
        <v>856</v>
      </c>
      <c r="C111" s="25" t="s">
        <v>317</v>
      </c>
      <c r="D111" s="25" t="s">
        <v>21</v>
      </c>
      <c r="E111" s="25" t="s">
        <v>121</v>
      </c>
      <c r="F111" s="25">
        <v>296.49</v>
      </c>
      <c r="G111" s="25">
        <v>55.5</v>
      </c>
      <c r="H111" s="25">
        <v>0</v>
      </c>
      <c r="I111" s="25">
        <v>1</v>
      </c>
      <c r="J111" s="25">
        <v>0</v>
      </c>
      <c r="K111" s="25">
        <v>1</v>
      </c>
      <c r="L111" s="25">
        <v>0</v>
      </c>
      <c r="M111" s="25">
        <v>2</v>
      </c>
      <c r="N111" s="25">
        <v>14</v>
      </c>
      <c r="O111" s="25">
        <v>0</v>
      </c>
      <c r="P111" s="25">
        <v>0</v>
      </c>
      <c r="Q111" s="25">
        <v>0</v>
      </c>
      <c r="R111" s="25">
        <v>0</v>
      </c>
      <c r="S111" s="25">
        <v>0</v>
      </c>
      <c r="T111" s="25">
        <v>0</v>
      </c>
      <c r="U111" s="25">
        <v>1</v>
      </c>
      <c r="V111" s="25">
        <v>0</v>
      </c>
      <c r="W111" s="25">
        <v>2</v>
      </c>
      <c r="X111" s="25">
        <v>0</v>
      </c>
      <c r="Y111" s="25">
        <v>0</v>
      </c>
      <c r="Z111" s="25">
        <v>0</v>
      </c>
      <c r="AA111" s="25">
        <v>0</v>
      </c>
      <c r="AB111" s="25">
        <v>0</v>
      </c>
      <c r="AC111" s="25">
        <v>0</v>
      </c>
      <c r="AD111" s="25">
        <v>0</v>
      </c>
      <c r="AE111" s="25">
        <v>0</v>
      </c>
      <c r="AF111" s="25">
        <v>0</v>
      </c>
      <c r="AG111" s="25">
        <v>0.57899305599999995</v>
      </c>
      <c r="AH111" s="25">
        <v>0.60227272700000001</v>
      </c>
      <c r="AI111" s="25" t="s">
        <v>1008</v>
      </c>
      <c r="AJ111" s="14" t="s">
        <v>25</v>
      </c>
    </row>
    <row r="112" spans="1:36" ht="15" customHeight="1" x14ac:dyDescent="0.25">
      <c r="A112" s="1">
        <v>567</v>
      </c>
      <c r="B112" s="25" t="s">
        <v>1342</v>
      </c>
      <c r="C112" s="25" t="s">
        <v>1973</v>
      </c>
      <c r="D112" s="25" t="s">
        <v>12</v>
      </c>
      <c r="E112" s="25" t="s">
        <v>227</v>
      </c>
      <c r="F112" s="25">
        <v>336.6388177</v>
      </c>
      <c r="G112" s="25">
        <v>56</v>
      </c>
      <c r="H112" s="25">
        <v>0</v>
      </c>
      <c r="I112" s="25">
        <v>1</v>
      </c>
      <c r="J112" s="25">
        <v>0</v>
      </c>
      <c r="K112" s="25">
        <v>1</v>
      </c>
      <c r="L112" s="25">
        <v>0</v>
      </c>
      <c r="M112" s="25">
        <v>4</v>
      </c>
      <c r="N112" s="25">
        <v>16</v>
      </c>
      <c r="O112" s="25">
        <v>0</v>
      </c>
      <c r="P112" s="25">
        <v>0</v>
      </c>
      <c r="Q112" s="25">
        <v>0</v>
      </c>
      <c r="R112" s="25">
        <v>0</v>
      </c>
      <c r="S112" s="25">
        <v>0</v>
      </c>
      <c r="T112" s="25">
        <v>0</v>
      </c>
      <c r="U112" s="25">
        <v>0</v>
      </c>
      <c r="V112" s="25">
        <v>2</v>
      </c>
      <c r="W112" s="25">
        <v>2</v>
      </c>
      <c r="X112" s="25">
        <v>0</v>
      </c>
      <c r="Y112" s="25">
        <v>0</v>
      </c>
      <c r="Z112" s="25">
        <v>0</v>
      </c>
      <c r="AA112" s="25">
        <v>0</v>
      </c>
      <c r="AB112" s="25">
        <v>0</v>
      </c>
      <c r="AC112" s="25">
        <v>0</v>
      </c>
      <c r="AD112" s="25">
        <v>0</v>
      </c>
      <c r="AE112" s="25">
        <v>0</v>
      </c>
      <c r="AF112" s="25">
        <v>0</v>
      </c>
      <c r="AG112" s="25">
        <v>0.60880000000000001</v>
      </c>
      <c r="AH112" s="25">
        <v>0.63107638899999996</v>
      </c>
      <c r="AI112" s="25" t="s">
        <v>1306</v>
      </c>
      <c r="AJ112" s="14" t="s">
        <v>25</v>
      </c>
    </row>
    <row r="113" spans="1:36" ht="15" customHeight="1" x14ac:dyDescent="0.25">
      <c r="A113" s="1">
        <v>575</v>
      </c>
      <c r="B113" s="25" t="s">
        <v>1312</v>
      </c>
      <c r="C113" s="25" t="s">
        <v>1974</v>
      </c>
      <c r="D113" s="25" t="s">
        <v>7</v>
      </c>
      <c r="E113" s="25" t="s">
        <v>175</v>
      </c>
      <c r="F113" s="25">
        <v>338.65469919999998</v>
      </c>
      <c r="G113" s="25">
        <v>56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4</v>
      </c>
      <c r="N113" s="25">
        <v>18</v>
      </c>
      <c r="O113" s="25">
        <v>0</v>
      </c>
      <c r="P113" s="25">
        <v>0</v>
      </c>
      <c r="Q113" s="25">
        <v>0</v>
      </c>
      <c r="R113" s="25">
        <v>0</v>
      </c>
      <c r="S113" s="25">
        <v>0</v>
      </c>
      <c r="T113" s="25">
        <v>0</v>
      </c>
      <c r="U113" s="25">
        <v>0</v>
      </c>
      <c r="V113" s="25">
        <v>2</v>
      </c>
      <c r="W113" s="25">
        <v>0</v>
      </c>
      <c r="X113" s="25">
        <v>0</v>
      </c>
      <c r="Y113" s="25">
        <v>0</v>
      </c>
      <c r="Z113" s="25">
        <v>0</v>
      </c>
      <c r="AA113" s="25">
        <v>0</v>
      </c>
      <c r="AB113" s="25">
        <v>0</v>
      </c>
      <c r="AC113" s="25">
        <v>0</v>
      </c>
      <c r="AD113" s="25">
        <v>0</v>
      </c>
      <c r="AE113" s="25">
        <v>0</v>
      </c>
      <c r="AF113" s="25">
        <v>0</v>
      </c>
      <c r="AG113" s="25">
        <v>0.59982638899999996</v>
      </c>
      <c r="AH113" s="25">
        <v>0.62287334599999999</v>
      </c>
      <c r="AI113" s="25" t="s">
        <v>1306</v>
      </c>
      <c r="AJ113" s="14" t="s">
        <v>25</v>
      </c>
    </row>
    <row r="114" spans="1:36" ht="15" customHeight="1" x14ac:dyDescent="0.25">
      <c r="A114" s="1">
        <v>587</v>
      </c>
      <c r="B114" s="14" t="s">
        <v>746</v>
      </c>
      <c r="C114" s="14" t="s">
        <v>269</v>
      </c>
      <c r="D114" s="14" t="s">
        <v>19</v>
      </c>
      <c r="E114" s="29" t="s">
        <v>76</v>
      </c>
      <c r="F114" s="14">
        <v>212.41</v>
      </c>
      <c r="G114" s="14">
        <v>58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5</v>
      </c>
      <c r="N114" s="14">
        <v>7</v>
      </c>
      <c r="O114" s="14">
        <v>0</v>
      </c>
      <c r="P114" s="14">
        <v>0</v>
      </c>
      <c r="Q114" s="14">
        <v>0</v>
      </c>
      <c r="R114" s="14">
        <v>0</v>
      </c>
      <c r="S114" s="14">
        <v>0</v>
      </c>
      <c r="T114" s="14">
        <v>0</v>
      </c>
      <c r="U114" s="14">
        <v>0</v>
      </c>
      <c r="V114" s="14">
        <v>3</v>
      </c>
      <c r="W114" s="14">
        <v>0</v>
      </c>
      <c r="X114" s="14">
        <v>0</v>
      </c>
      <c r="Y114" s="14">
        <v>0</v>
      </c>
      <c r="Z114" s="14">
        <v>0</v>
      </c>
      <c r="AA114" s="14">
        <v>0</v>
      </c>
      <c r="AB114" s="14">
        <v>0</v>
      </c>
      <c r="AC114" s="14">
        <v>0</v>
      </c>
      <c r="AD114" s="25">
        <v>0</v>
      </c>
      <c r="AE114" s="25">
        <v>0</v>
      </c>
      <c r="AF114" s="25">
        <v>0</v>
      </c>
      <c r="AG114" s="25">
        <v>0.52006172799999995</v>
      </c>
      <c r="AH114" s="25">
        <v>0.52295918399999997</v>
      </c>
      <c r="AI114" s="14" t="s">
        <v>956</v>
      </c>
      <c r="AJ114" s="14" t="s">
        <v>25</v>
      </c>
    </row>
    <row r="115" spans="1:36" ht="15" customHeight="1" x14ac:dyDescent="0.25">
      <c r="A115" s="1">
        <v>588</v>
      </c>
      <c r="B115" s="25" t="s">
        <v>745</v>
      </c>
      <c r="C115" s="25" t="s">
        <v>546</v>
      </c>
      <c r="D115" s="25" t="s">
        <v>19</v>
      </c>
      <c r="E115" s="25" t="s">
        <v>172</v>
      </c>
      <c r="F115" s="25">
        <v>184.36</v>
      </c>
      <c r="G115" s="25">
        <v>58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4</v>
      </c>
      <c r="N115" s="25">
        <v>7</v>
      </c>
      <c r="O115" s="25">
        <v>0</v>
      </c>
      <c r="P115" s="25">
        <v>0</v>
      </c>
      <c r="Q115" s="25">
        <v>0</v>
      </c>
      <c r="R115" s="25">
        <v>0</v>
      </c>
      <c r="S115" s="25">
        <v>0</v>
      </c>
      <c r="T115" s="25">
        <v>0</v>
      </c>
      <c r="U115" s="25">
        <v>0</v>
      </c>
      <c r="V115" s="25">
        <v>2</v>
      </c>
      <c r="W115" s="25">
        <v>0</v>
      </c>
      <c r="X115" s="25">
        <v>0</v>
      </c>
      <c r="Y115" s="25">
        <v>0</v>
      </c>
      <c r="Z115" s="25">
        <v>0</v>
      </c>
      <c r="AA115" s="25">
        <v>0</v>
      </c>
      <c r="AB115" s="25">
        <v>0</v>
      </c>
      <c r="AC115" s="25">
        <v>0</v>
      </c>
      <c r="AD115" s="25">
        <v>0</v>
      </c>
      <c r="AE115" s="25">
        <v>0</v>
      </c>
      <c r="AF115" s="25">
        <v>0</v>
      </c>
      <c r="AG115" s="25">
        <v>0.48224852099999999</v>
      </c>
      <c r="AH115" s="25">
        <v>0.49652777799999998</v>
      </c>
      <c r="AI115" s="25" t="s">
        <v>1240</v>
      </c>
      <c r="AJ115" s="14" t="s">
        <v>25</v>
      </c>
    </row>
    <row r="116" spans="1:36" ht="15" customHeight="1" x14ac:dyDescent="0.25">
      <c r="A116" s="1">
        <v>591</v>
      </c>
      <c r="B116" s="14" t="s">
        <v>1337</v>
      </c>
      <c r="C116" s="14" t="s">
        <v>1975</v>
      </c>
      <c r="D116" s="14" t="s">
        <v>7</v>
      </c>
      <c r="E116" s="29" t="s">
        <v>172</v>
      </c>
      <c r="F116" s="14">
        <v>184.36190780000001</v>
      </c>
      <c r="G116" s="14">
        <v>58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4</v>
      </c>
      <c r="N116" s="14">
        <v>7</v>
      </c>
      <c r="O116" s="14">
        <v>0</v>
      </c>
      <c r="P116" s="14">
        <v>0</v>
      </c>
      <c r="Q116" s="14">
        <v>0</v>
      </c>
      <c r="R116" s="14">
        <v>0</v>
      </c>
      <c r="S116" s="14">
        <v>0</v>
      </c>
      <c r="T116" s="14">
        <v>0</v>
      </c>
      <c r="U116" s="14">
        <v>0</v>
      </c>
      <c r="V116" s="14">
        <v>2</v>
      </c>
      <c r="W116" s="14">
        <v>0</v>
      </c>
      <c r="X116" s="14">
        <v>0</v>
      </c>
      <c r="Y116" s="14">
        <v>0</v>
      </c>
      <c r="Z116" s="14">
        <v>0</v>
      </c>
      <c r="AA116" s="14">
        <v>0</v>
      </c>
      <c r="AB116" s="14">
        <v>0</v>
      </c>
      <c r="AC116" s="14">
        <v>0</v>
      </c>
      <c r="AD116" s="25">
        <v>0</v>
      </c>
      <c r="AE116" s="25">
        <v>0</v>
      </c>
      <c r="AF116" s="25">
        <v>0</v>
      </c>
      <c r="AG116" s="25">
        <v>0.48224852099999999</v>
      </c>
      <c r="AH116" s="25">
        <v>0.49652777799999998</v>
      </c>
      <c r="AI116" s="14" t="s">
        <v>1306</v>
      </c>
      <c r="AJ116" s="14" t="s">
        <v>25</v>
      </c>
    </row>
    <row r="117" spans="1:36" ht="15" customHeight="1" x14ac:dyDescent="0.25">
      <c r="A117" s="1">
        <v>597</v>
      </c>
      <c r="B117" s="14" t="s">
        <v>747</v>
      </c>
      <c r="C117" s="14" t="s">
        <v>327</v>
      </c>
      <c r="D117" s="14" t="s">
        <v>19</v>
      </c>
      <c r="E117" s="29" t="s">
        <v>96</v>
      </c>
      <c r="F117" s="14">
        <v>142.28</v>
      </c>
      <c r="G117" s="14">
        <v>59</v>
      </c>
      <c r="H117" s="14">
        <v>0</v>
      </c>
      <c r="I117" s="14">
        <v>0</v>
      </c>
      <c r="J117" s="14">
        <v>0</v>
      </c>
      <c r="K117" s="14">
        <v>0</v>
      </c>
      <c r="L117" s="14">
        <v>1</v>
      </c>
      <c r="M117" s="14">
        <v>4</v>
      </c>
      <c r="N117" s="14">
        <v>5</v>
      </c>
      <c r="O117" s="14">
        <v>0</v>
      </c>
      <c r="P117" s="14">
        <v>0</v>
      </c>
      <c r="Q117" s="14">
        <v>0</v>
      </c>
      <c r="R117" s="14">
        <v>0</v>
      </c>
      <c r="S117" s="14">
        <v>0</v>
      </c>
      <c r="T117" s="14">
        <v>0</v>
      </c>
      <c r="U117" s="14">
        <v>0</v>
      </c>
      <c r="V117" s="14">
        <v>0</v>
      </c>
      <c r="W117" s="14">
        <v>0</v>
      </c>
      <c r="X117" s="14">
        <v>0</v>
      </c>
      <c r="Y117" s="14">
        <v>0</v>
      </c>
      <c r="Z117" s="14">
        <v>0</v>
      </c>
      <c r="AA117" s="14">
        <v>0</v>
      </c>
      <c r="AB117" s="14">
        <v>0</v>
      </c>
      <c r="AC117" s="14">
        <v>0</v>
      </c>
      <c r="AD117" s="25">
        <v>0</v>
      </c>
      <c r="AE117" s="25">
        <v>0</v>
      </c>
      <c r="AF117" s="25">
        <v>0</v>
      </c>
      <c r="AG117" s="25">
        <v>0.42307692299999999</v>
      </c>
      <c r="AH117" s="25">
        <v>0.43827160500000001</v>
      </c>
      <c r="AI117" s="14" t="s">
        <v>1019</v>
      </c>
      <c r="AJ117" s="14" t="s">
        <v>25</v>
      </c>
    </row>
    <row r="118" spans="1:36" ht="15" customHeight="1" x14ac:dyDescent="0.25">
      <c r="A118" s="1">
        <v>599</v>
      </c>
      <c r="B118" s="14" t="s">
        <v>1323</v>
      </c>
      <c r="C118" s="14" t="s">
        <v>1976</v>
      </c>
      <c r="D118" s="14" t="s">
        <v>7</v>
      </c>
      <c r="E118" s="29" t="s">
        <v>176</v>
      </c>
      <c r="F118" s="14">
        <v>282.54822960000001</v>
      </c>
      <c r="G118" s="14">
        <v>59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4</v>
      </c>
      <c r="N118" s="14">
        <v>14</v>
      </c>
      <c r="O118" s="14">
        <v>0</v>
      </c>
      <c r="P118" s="14">
        <v>0</v>
      </c>
      <c r="Q118" s="14">
        <v>0</v>
      </c>
      <c r="R118" s="14">
        <v>0</v>
      </c>
      <c r="S118" s="14">
        <v>0</v>
      </c>
      <c r="T118" s="14">
        <v>0</v>
      </c>
      <c r="U118" s="14">
        <v>0</v>
      </c>
      <c r="V118" s="14">
        <v>2</v>
      </c>
      <c r="W118" s="14">
        <v>0</v>
      </c>
      <c r="X118" s="14">
        <v>0</v>
      </c>
      <c r="Y118" s="14">
        <v>0</v>
      </c>
      <c r="Z118" s="14">
        <v>0</v>
      </c>
      <c r="AA118" s="14">
        <v>0</v>
      </c>
      <c r="AB118" s="14">
        <v>0</v>
      </c>
      <c r="AC118" s="14">
        <v>0</v>
      </c>
      <c r="AD118" s="25">
        <v>0</v>
      </c>
      <c r="AE118" s="25">
        <v>0</v>
      </c>
      <c r="AF118" s="25">
        <v>0</v>
      </c>
      <c r="AG118" s="25">
        <v>0.56874999999999998</v>
      </c>
      <c r="AH118" s="25">
        <v>0.58310249300000006</v>
      </c>
      <c r="AI118" s="14" t="s">
        <v>1306</v>
      </c>
      <c r="AJ118" s="14" t="s">
        <v>25</v>
      </c>
    </row>
    <row r="119" spans="1:36" ht="15" customHeight="1" x14ac:dyDescent="0.25">
      <c r="A119" s="1">
        <v>602</v>
      </c>
      <c r="B119" s="25" t="s">
        <v>610</v>
      </c>
      <c r="C119" s="25" t="s">
        <v>523</v>
      </c>
      <c r="D119" s="25" t="s">
        <v>10</v>
      </c>
      <c r="E119" s="25" t="s">
        <v>222</v>
      </c>
      <c r="F119" s="25">
        <v>186.33</v>
      </c>
      <c r="G119" s="25">
        <v>59.3</v>
      </c>
      <c r="H119" s="25">
        <v>0</v>
      </c>
      <c r="I119" s="25">
        <v>0</v>
      </c>
      <c r="J119" s="25">
        <v>0</v>
      </c>
      <c r="K119" s="25">
        <v>0</v>
      </c>
      <c r="L119" s="25">
        <v>0</v>
      </c>
      <c r="M119" s="25">
        <v>1</v>
      </c>
      <c r="N119" s="25">
        <v>11</v>
      </c>
      <c r="O119" s="25">
        <v>1</v>
      </c>
      <c r="P119" s="25">
        <v>0</v>
      </c>
      <c r="Q119" s="25">
        <v>0</v>
      </c>
      <c r="R119" s="25">
        <v>0</v>
      </c>
      <c r="S119" s="25">
        <v>0</v>
      </c>
      <c r="T119" s="25">
        <v>0</v>
      </c>
      <c r="U119" s="25">
        <v>0</v>
      </c>
      <c r="V119" s="25">
        <v>0</v>
      </c>
      <c r="W119" s="25">
        <v>0</v>
      </c>
      <c r="X119" s="25">
        <v>0</v>
      </c>
      <c r="Y119" s="25">
        <v>0</v>
      </c>
      <c r="Z119" s="25">
        <v>0</v>
      </c>
      <c r="AA119" s="25">
        <v>0</v>
      </c>
      <c r="AB119" s="25">
        <v>1</v>
      </c>
      <c r="AC119" s="25">
        <v>0</v>
      </c>
      <c r="AD119" s="25">
        <v>0</v>
      </c>
      <c r="AE119" s="25">
        <v>0</v>
      </c>
      <c r="AF119" s="25">
        <v>0</v>
      </c>
      <c r="AG119" s="25">
        <v>0.48224852099999999</v>
      </c>
      <c r="AH119" s="25">
        <v>0.49652777799999998</v>
      </c>
      <c r="AI119" s="25" t="s">
        <v>1219</v>
      </c>
      <c r="AJ119" s="14" t="s">
        <v>25</v>
      </c>
    </row>
    <row r="120" spans="1:36" ht="15" customHeight="1" x14ac:dyDescent="0.25">
      <c r="A120" s="1">
        <v>615</v>
      </c>
      <c r="B120" s="14" t="s">
        <v>626</v>
      </c>
      <c r="C120" s="14" t="s">
        <v>539</v>
      </c>
      <c r="D120" s="14" t="s">
        <v>11</v>
      </c>
      <c r="E120" s="29" t="s">
        <v>81</v>
      </c>
      <c r="F120" s="14">
        <v>86.13</v>
      </c>
      <c r="G120" s="14">
        <v>62.2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1</v>
      </c>
      <c r="N120" s="14">
        <v>3</v>
      </c>
      <c r="O120" s="14">
        <v>0</v>
      </c>
      <c r="P120" s="14">
        <v>0</v>
      </c>
      <c r="Q120" s="14">
        <v>0</v>
      </c>
      <c r="R120" s="14">
        <v>0</v>
      </c>
      <c r="S120" s="14">
        <v>0</v>
      </c>
      <c r="T120" s="14">
        <v>1</v>
      </c>
      <c r="U120" s="14">
        <v>0</v>
      </c>
      <c r="V120" s="14">
        <v>0</v>
      </c>
      <c r="W120" s="14">
        <v>0</v>
      </c>
      <c r="X120" s="14">
        <v>0</v>
      </c>
      <c r="Y120" s="14">
        <v>0</v>
      </c>
      <c r="Z120" s="14">
        <v>0</v>
      </c>
      <c r="AA120" s="14">
        <v>0</v>
      </c>
      <c r="AB120" s="14">
        <v>0</v>
      </c>
      <c r="AC120" s="14">
        <v>0</v>
      </c>
      <c r="AD120" s="25">
        <v>0</v>
      </c>
      <c r="AE120" s="25">
        <v>0</v>
      </c>
      <c r="AF120" s="25">
        <v>0</v>
      </c>
      <c r="AG120" s="25">
        <v>0.31944444399999999</v>
      </c>
      <c r="AH120" s="25">
        <v>0.31944444399999999</v>
      </c>
      <c r="AI120" s="14" t="s">
        <v>1234</v>
      </c>
      <c r="AJ120" s="14" t="s">
        <v>25</v>
      </c>
    </row>
    <row r="121" spans="1:36" ht="15" customHeight="1" x14ac:dyDescent="0.25">
      <c r="A121" s="1">
        <v>619</v>
      </c>
      <c r="B121" s="25" t="s">
        <v>1713</v>
      </c>
      <c r="C121" s="25" t="s">
        <v>1444</v>
      </c>
      <c r="D121" s="25" t="s">
        <v>10</v>
      </c>
      <c r="E121" s="25" t="s">
        <v>1714</v>
      </c>
      <c r="F121" s="25">
        <v>186.328</v>
      </c>
      <c r="G121" s="25">
        <v>63.6</v>
      </c>
      <c r="H121" s="25">
        <v>0</v>
      </c>
      <c r="I121" s="25">
        <v>0</v>
      </c>
      <c r="J121" s="25">
        <v>0</v>
      </c>
      <c r="K121" s="25">
        <v>0</v>
      </c>
      <c r="L121" s="25">
        <v>0</v>
      </c>
      <c r="M121" s="25">
        <v>1</v>
      </c>
      <c r="N121" s="25">
        <v>11</v>
      </c>
      <c r="O121" s="25">
        <v>1</v>
      </c>
      <c r="P121" s="25">
        <v>0</v>
      </c>
      <c r="Q121" s="25">
        <v>0</v>
      </c>
      <c r="R121" s="25">
        <v>0</v>
      </c>
      <c r="S121" s="25">
        <v>0</v>
      </c>
      <c r="T121" s="25">
        <v>0</v>
      </c>
      <c r="U121" s="25">
        <v>0</v>
      </c>
      <c r="V121" s="25">
        <v>0</v>
      </c>
      <c r="W121" s="25">
        <v>0</v>
      </c>
      <c r="X121" s="25">
        <v>0</v>
      </c>
      <c r="Y121" s="25">
        <v>0</v>
      </c>
      <c r="Z121" s="25">
        <v>0</v>
      </c>
      <c r="AA121" s="25">
        <v>0</v>
      </c>
      <c r="AB121" s="25">
        <v>1</v>
      </c>
      <c r="AC121" s="25">
        <v>0</v>
      </c>
      <c r="AD121" s="25">
        <v>0</v>
      </c>
      <c r="AE121" s="25">
        <v>0</v>
      </c>
      <c r="AF121" s="25">
        <v>0</v>
      </c>
      <c r="AG121" s="25">
        <v>0.48224852099999999</v>
      </c>
      <c r="AH121" s="25">
        <v>0.49652777799999998</v>
      </c>
      <c r="AI121" s="25" t="s">
        <v>1571</v>
      </c>
      <c r="AJ121" s="14" t="s">
        <v>25</v>
      </c>
    </row>
    <row r="122" spans="1:36" ht="15" customHeight="1" x14ac:dyDescent="0.25">
      <c r="A122" s="1">
        <v>621</v>
      </c>
      <c r="B122" s="25" t="s">
        <v>1832</v>
      </c>
      <c r="C122" s="25" t="s">
        <v>1977</v>
      </c>
      <c r="D122" s="25" t="s">
        <v>18</v>
      </c>
      <c r="E122" s="25" t="s">
        <v>1833</v>
      </c>
      <c r="F122" s="25">
        <v>150.172</v>
      </c>
      <c r="G122" s="25">
        <v>64.5</v>
      </c>
      <c r="H122" s="25">
        <v>0</v>
      </c>
      <c r="I122" s="25">
        <v>0</v>
      </c>
      <c r="J122" s="25">
        <v>0</v>
      </c>
      <c r="K122" s="25">
        <v>0</v>
      </c>
      <c r="L122" s="25">
        <v>0</v>
      </c>
      <c r="M122" s="25">
        <v>2</v>
      </c>
      <c r="N122" s="25">
        <v>4</v>
      </c>
      <c r="O122" s="25">
        <v>0</v>
      </c>
      <c r="P122" s="25">
        <v>4</v>
      </c>
      <c r="Q122" s="25">
        <v>0</v>
      </c>
      <c r="R122" s="25">
        <v>0</v>
      </c>
      <c r="S122" s="25">
        <v>0</v>
      </c>
      <c r="T122" s="25">
        <v>0</v>
      </c>
      <c r="U122" s="25">
        <v>0</v>
      </c>
      <c r="V122" s="25">
        <v>0</v>
      </c>
      <c r="W122" s="25">
        <v>0</v>
      </c>
      <c r="X122" s="25">
        <v>0</v>
      </c>
      <c r="Y122" s="25">
        <v>0</v>
      </c>
      <c r="Z122" s="25">
        <v>0</v>
      </c>
      <c r="AA122" s="25">
        <v>0</v>
      </c>
      <c r="AB122" s="25">
        <v>0</v>
      </c>
      <c r="AC122" s="25">
        <v>0</v>
      </c>
      <c r="AD122" s="25">
        <v>0</v>
      </c>
      <c r="AE122" s="25">
        <v>0</v>
      </c>
      <c r="AF122" s="25">
        <v>0</v>
      </c>
      <c r="AG122" s="25">
        <v>0.41499999999999998</v>
      </c>
      <c r="AH122" s="25">
        <v>0.43827160500000001</v>
      </c>
      <c r="AI122" s="25" t="s">
        <v>1571</v>
      </c>
      <c r="AJ122" s="14" t="s">
        <v>25</v>
      </c>
    </row>
    <row r="123" spans="1:36" ht="15" customHeight="1" x14ac:dyDescent="0.25">
      <c r="A123" s="1">
        <v>630</v>
      </c>
      <c r="B123" s="25" t="s">
        <v>1308</v>
      </c>
      <c r="C123" s="25" t="s">
        <v>1978</v>
      </c>
      <c r="D123" s="25" t="s">
        <v>21</v>
      </c>
      <c r="E123" s="25" t="s">
        <v>1567</v>
      </c>
      <c r="F123" s="25">
        <v>364.69205249999999</v>
      </c>
      <c r="G123" s="25">
        <v>66</v>
      </c>
      <c r="H123" s="25">
        <v>0</v>
      </c>
      <c r="I123" s="25">
        <v>0</v>
      </c>
      <c r="J123" s="25">
        <v>0</v>
      </c>
      <c r="K123" s="25">
        <v>0</v>
      </c>
      <c r="L123" s="25">
        <v>0</v>
      </c>
      <c r="M123" s="25">
        <v>2</v>
      </c>
      <c r="N123" s="25">
        <v>17</v>
      </c>
      <c r="O123" s="25">
        <v>0</v>
      </c>
      <c r="P123" s="25">
        <v>0</v>
      </c>
      <c r="Q123" s="25">
        <v>0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  <c r="W123" s="25">
        <v>0</v>
      </c>
      <c r="X123" s="25">
        <v>0</v>
      </c>
      <c r="Y123" s="25">
        <v>0</v>
      </c>
      <c r="Z123" s="25">
        <v>1</v>
      </c>
      <c r="AA123" s="25">
        <v>5</v>
      </c>
      <c r="AB123" s="25">
        <v>0</v>
      </c>
      <c r="AC123" s="25">
        <v>0</v>
      </c>
      <c r="AD123" s="25">
        <v>0</v>
      </c>
      <c r="AE123" s="25">
        <v>0</v>
      </c>
      <c r="AF123" s="25">
        <v>0</v>
      </c>
      <c r="AG123" s="25">
        <v>0.63165680499999999</v>
      </c>
      <c r="AH123" s="25">
        <v>0.63979289900000003</v>
      </c>
      <c r="AI123" s="25" t="s">
        <v>1306</v>
      </c>
      <c r="AJ123" s="14" t="s">
        <v>25</v>
      </c>
    </row>
    <row r="124" spans="1:36" ht="15" customHeight="1" x14ac:dyDescent="0.25">
      <c r="A124" s="1">
        <v>635</v>
      </c>
      <c r="B124" s="14" t="s">
        <v>1317</v>
      </c>
      <c r="C124" s="14" t="s">
        <v>1979</v>
      </c>
      <c r="D124" s="14" t="s">
        <v>7</v>
      </c>
      <c r="E124" s="29" t="s">
        <v>70</v>
      </c>
      <c r="F124" s="14">
        <v>254.4949948</v>
      </c>
      <c r="G124" s="14">
        <v>67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4</v>
      </c>
      <c r="N124" s="14">
        <v>12</v>
      </c>
      <c r="O124" s="14">
        <v>0</v>
      </c>
      <c r="P124" s="14">
        <v>0</v>
      </c>
      <c r="Q124" s="14">
        <v>0</v>
      </c>
      <c r="R124" s="14">
        <v>0</v>
      </c>
      <c r="S124" s="14">
        <v>0</v>
      </c>
      <c r="T124" s="14">
        <v>0</v>
      </c>
      <c r="U124" s="14">
        <v>0</v>
      </c>
      <c r="V124" s="14">
        <v>2</v>
      </c>
      <c r="W124" s="14">
        <v>0</v>
      </c>
      <c r="X124" s="14">
        <v>0</v>
      </c>
      <c r="Y124" s="14">
        <v>0</v>
      </c>
      <c r="Z124" s="14">
        <v>0</v>
      </c>
      <c r="AA124" s="14">
        <v>0</v>
      </c>
      <c r="AB124" s="14">
        <v>0</v>
      </c>
      <c r="AC124" s="14">
        <v>0</v>
      </c>
      <c r="AD124" s="25">
        <v>0</v>
      </c>
      <c r="AE124" s="25">
        <v>0</v>
      </c>
      <c r="AF124" s="25">
        <v>0</v>
      </c>
      <c r="AG124" s="25">
        <v>0.55215419499999996</v>
      </c>
      <c r="AH124" s="25">
        <v>0.55882352899999999</v>
      </c>
      <c r="AI124" s="14" t="s">
        <v>1306</v>
      </c>
      <c r="AJ124" s="14" t="s">
        <v>25</v>
      </c>
    </row>
    <row r="125" spans="1:36" ht="15" customHeight="1" x14ac:dyDescent="0.25">
      <c r="A125" s="1">
        <v>636</v>
      </c>
      <c r="B125" s="14" t="s">
        <v>1319</v>
      </c>
      <c r="C125" s="14" t="s">
        <v>1980</v>
      </c>
      <c r="D125" s="14" t="s">
        <v>7</v>
      </c>
      <c r="E125" s="29" t="s">
        <v>70</v>
      </c>
      <c r="F125" s="14">
        <v>254.4949948</v>
      </c>
      <c r="G125" s="14">
        <v>67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4</v>
      </c>
      <c r="N125" s="14">
        <v>12</v>
      </c>
      <c r="O125" s="14">
        <v>0</v>
      </c>
      <c r="P125" s="14">
        <v>0</v>
      </c>
      <c r="Q125" s="14">
        <v>0</v>
      </c>
      <c r="R125" s="14">
        <v>0</v>
      </c>
      <c r="S125" s="14">
        <v>0</v>
      </c>
      <c r="T125" s="14">
        <v>0</v>
      </c>
      <c r="U125" s="14">
        <v>0</v>
      </c>
      <c r="V125" s="14">
        <v>2</v>
      </c>
      <c r="W125" s="14">
        <v>0</v>
      </c>
      <c r="X125" s="14">
        <v>0</v>
      </c>
      <c r="Y125" s="14">
        <v>0</v>
      </c>
      <c r="Z125" s="14">
        <v>0</v>
      </c>
      <c r="AA125" s="14">
        <v>0</v>
      </c>
      <c r="AB125" s="14">
        <v>0</v>
      </c>
      <c r="AC125" s="14">
        <v>0</v>
      </c>
      <c r="AD125" s="25">
        <v>0</v>
      </c>
      <c r="AE125" s="25">
        <v>0</v>
      </c>
      <c r="AF125" s="25">
        <v>0</v>
      </c>
      <c r="AG125" s="25">
        <v>0.55215419499999996</v>
      </c>
      <c r="AH125" s="25">
        <v>0.57266435999999998</v>
      </c>
      <c r="AI125" s="14" t="s">
        <v>1306</v>
      </c>
      <c r="AJ125" s="14" t="s">
        <v>25</v>
      </c>
    </row>
    <row r="126" spans="1:36" ht="15" customHeight="1" x14ac:dyDescent="0.25">
      <c r="A126" s="1">
        <v>639</v>
      </c>
      <c r="B126" s="25" t="s">
        <v>652</v>
      </c>
      <c r="C126" s="25" t="s">
        <v>364</v>
      </c>
      <c r="D126" s="25" t="s">
        <v>13</v>
      </c>
      <c r="E126" s="25" t="s">
        <v>109</v>
      </c>
      <c r="F126" s="25">
        <v>246.43</v>
      </c>
      <c r="G126" s="25">
        <v>68</v>
      </c>
      <c r="H126" s="25">
        <v>6</v>
      </c>
      <c r="I126" s="25">
        <v>0</v>
      </c>
      <c r="J126" s="25">
        <v>6</v>
      </c>
      <c r="K126" s="25">
        <v>3</v>
      </c>
      <c r="L126" s="25">
        <v>0</v>
      </c>
      <c r="M126" s="25">
        <v>1</v>
      </c>
      <c r="N126" s="25">
        <v>11</v>
      </c>
      <c r="O126" s="25">
        <v>0</v>
      </c>
      <c r="P126" s="25">
        <v>0</v>
      </c>
      <c r="Q126" s="25">
        <v>0</v>
      </c>
      <c r="R126" s="25">
        <v>0</v>
      </c>
      <c r="S126" s="25">
        <v>0</v>
      </c>
      <c r="T126" s="25">
        <v>0</v>
      </c>
      <c r="U126" s="25">
        <v>0</v>
      </c>
      <c r="V126" s="25">
        <v>0</v>
      </c>
      <c r="W126" s="25">
        <v>0</v>
      </c>
      <c r="X126" s="25">
        <v>5</v>
      </c>
      <c r="Y126" s="25">
        <v>0</v>
      </c>
      <c r="Z126" s="25">
        <v>0</v>
      </c>
      <c r="AA126" s="25">
        <v>0</v>
      </c>
      <c r="AB126" s="25">
        <v>0</v>
      </c>
      <c r="AC126" s="25">
        <v>0</v>
      </c>
      <c r="AD126" s="25">
        <v>0</v>
      </c>
      <c r="AE126" s="25">
        <v>0</v>
      </c>
      <c r="AF126" s="25">
        <v>0</v>
      </c>
      <c r="AG126" s="25">
        <v>0.53432098800000005</v>
      </c>
      <c r="AH126" s="25">
        <v>0.54988662099999996</v>
      </c>
      <c r="AI126" s="25" t="s">
        <v>1058</v>
      </c>
      <c r="AJ126" s="14" t="s">
        <v>25</v>
      </c>
    </row>
    <row r="127" spans="1:36" ht="15" customHeight="1" x14ac:dyDescent="0.25">
      <c r="A127" s="1">
        <v>645</v>
      </c>
      <c r="B127" s="14" t="s">
        <v>843</v>
      </c>
      <c r="C127" s="14" t="s">
        <v>404</v>
      </c>
      <c r="D127" s="14" t="s">
        <v>19</v>
      </c>
      <c r="E127" s="29" t="s">
        <v>173</v>
      </c>
      <c r="F127" s="14">
        <v>240.47</v>
      </c>
      <c r="G127" s="14">
        <v>70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3</v>
      </c>
      <c r="N127" s="14">
        <v>13</v>
      </c>
      <c r="O127" s="14">
        <v>0</v>
      </c>
      <c r="P127" s="14">
        <v>0</v>
      </c>
      <c r="Q127" s="14">
        <v>0</v>
      </c>
      <c r="R127" s="14">
        <v>0</v>
      </c>
      <c r="S127" s="14">
        <v>0</v>
      </c>
      <c r="T127" s="14">
        <v>0</v>
      </c>
      <c r="U127" s="14">
        <v>0</v>
      </c>
      <c r="V127" s="14">
        <v>1</v>
      </c>
      <c r="W127" s="14">
        <v>0</v>
      </c>
      <c r="X127" s="14">
        <v>0</v>
      </c>
      <c r="Y127" s="14">
        <v>0</v>
      </c>
      <c r="Z127" s="14">
        <v>0</v>
      </c>
      <c r="AA127" s="14">
        <v>0</v>
      </c>
      <c r="AB127" s="14">
        <v>0</v>
      </c>
      <c r="AC127" s="14">
        <v>0</v>
      </c>
      <c r="AD127" s="25">
        <v>0</v>
      </c>
      <c r="AE127" s="25">
        <v>0</v>
      </c>
      <c r="AF127" s="25">
        <v>0</v>
      </c>
      <c r="AG127" s="25">
        <v>0.55859375</v>
      </c>
      <c r="AH127" s="25">
        <v>0.55859375</v>
      </c>
      <c r="AI127" s="14" t="s">
        <v>1101</v>
      </c>
      <c r="AJ127" s="14" t="s">
        <v>25</v>
      </c>
    </row>
    <row r="128" spans="1:36" ht="15" customHeight="1" x14ac:dyDescent="0.25">
      <c r="A128" s="1">
        <v>647</v>
      </c>
      <c r="B128" s="25" t="s">
        <v>1777</v>
      </c>
      <c r="C128" s="25" t="s">
        <v>1480</v>
      </c>
      <c r="D128" s="25" t="s">
        <v>1930</v>
      </c>
      <c r="E128" s="25" t="s">
        <v>1778</v>
      </c>
      <c r="F128" s="25">
        <v>242.39</v>
      </c>
      <c r="G128" s="25">
        <v>71</v>
      </c>
      <c r="H128" s="25">
        <v>0</v>
      </c>
      <c r="I128" s="25">
        <v>0</v>
      </c>
      <c r="J128" s="25">
        <v>0</v>
      </c>
      <c r="K128" s="25">
        <v>0</v>
      </c>
      <c r="L128" s="25">
        <v>0</v>
      </c>
      <c r="M128" s="25">
        <v>2</v>
      </c>
      <c r="N128" s="25">
        <v>12</v>
      </c>
      <c r="O128" s="25">
        <v>0</v>
      </c>
      <c r="P128" s="25">
        <v>0</v>
      </c>
      <c r="Q128" s="25">
        <v>0</v>
      </c>
      <c r="R128" s="25">
        <v>0</v>
      </c>
      <c r="S128" s="25">
        <v>0</v>
      </c>
      <c r="T128" s="25">
        <v>0</v>
      </c>
      <c r="U128" s="25">
        <v>1</v>
      </c>
      <c r="V128" s="25">
        <v>0</v>
      </c>
      <c r="W128" s="25">
        <v>0</v>
      </c>
      <c r="X128" s="25">
        <v>0</v>
      </c>
      <c r="Y128" s="25">
        <v>0</v>
      </c>
      <c r="Z128" s="25">
        <v>0</v>
      </c>
      <c r="AA128" s="25">
        <v>0</v>
      </c>
      <c r="AB128" s="25">
        <v>0</v>
      </c>
      <c r="AC128" s="25">
        <v>0</v>
      </c>
      <c r="AD128" s="25">
        <v>0</v>
      </c>
      <c r="AE128" s="25">
        <v>0</v>
      </c>
      <c r="AF128" s="25">
        <v>0</v>
      </c>
      <c r="AG128" s="25">
        <v>0.55882352899999999</v>
      </c>
      <c r="AH128" s="25">
        <v>0.56920415199999996</v>
      </c>
      <c r="AI128" s="25" t="s">
        <v>1571</v>
      </c>
      <c r="AJ128" s="14" t="s">
        <v>25</v>
      </c>
    </row>
    <row r="129" spans="1:36" ht="15" customHeight="1" x14ac:dyDescent="0.25">
      <c r="A129" s="1">
        <v>656</v>
      </c>
      <c r="B129" s="25" t="s">
        <v>1804</v>
      </c>
      <c r="C129" s="25" t="s">
        <v>1981</v>
      </c>
      <c r="D129" s="25" t="s">
        <v>1930</v>
      </c>
      <c r="E129" s="25" t="s">
        <v>62</v>
      </c>
      <c r="F129" s="25">
        <v>368.62400000000002</v>
      </c>
      <c r="G129" s="25">
        <v>72</v>
      </c>
      <c r="H129" s="25">
        <v>0</v>
      </c>
      <c r="I129" s="25">
        <v>0</v>
      </c>
      <c r="J129" s="25">
        <v>0</v>
      </c>
      <c r="K129" s="25">
        <v>0</v>
      </c>
      <c r="L129" s="25">
        <v>0</v>
      </c>
      <c r="M129" s="25">
        <v>2</v>
      </c>
      <c r="N129" s="25">
        <v>21</v>
      </c>
      <c r="O129" s="25">
        <v>0</v>
      </c>
      <c r="P129" s="25">
        <v>0</v>
      </c>
      <c r="Q129" s="25">
        <v>0</v>
      </c>
      <c r="R129" s="25">
        <v>0</v>
      </c>
      <c r="S129" s="25">
        <v>0</v>
      </c>
      <c r="T129" s="25">
        <v>0</v>
      </c>
      <c r="U129" s="25">
        <v>1</v>
      </c>
      <c r="V129" s="25">
        <v>0</v>
      </c>
      <c r="W129" s="25">
        <v>0</v>
      </c>
      <c r="X129" s="25">
        <v>0</v>
      </c>
      <c r="Y129" s="25">
        <v>0</v>
      </c>
      <c r="Z129" s="25">
        <v>0</v>
      </c>
      <c r="AA129" s="25">
        <v>0</v>
      </c>
      <c r="AB129" s="25">
        <v>0</v>
      </c>
      <c r="AC129" s="25">
        <v>0</v>
      </c>
      <c r="AD129" s="25">
        <v>0</v>
      </c>
      <c r="AE129" s="25">
        <v>0</v>
      </c>
      <c r="AF129" s="25">
        <v>0</v>
      </c>
      <c r="AG129" s="25">
        <v>0.626200274</v>
      </c>
      <c r="AH129" s="25">
        <v>0.638313609</v>
      </c>
      <c r="AI129" s="25" t="s">
        <v>1571</v>
      </c>
      <c r="AJ129" s="14" t="s">
        <v>25</v>
      </c>
    </row>
    <row r="130" spans="1:36" ht="15" customHeight="1" x14ac:dyDescent="0.25">
      <c r="A130" s="1">
        <v>660</v>
      </c>
      <c r="B130" s="14" t="s">
        <v>1782</v>
      </c>
      <c r="C130" s="14" t="s">
        <v>1481</v>
      </c>
      <c r="D130" s="14" t="s">
        <v>1930</v>
      </c>
      <c r="E130" s="29" t="s">
        <v>1781</v>
      </c>
      <c r="F130" s="14">
        <v>256.416</v>
      </c>
      <c r="G130" s="14">
        <v>73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2</v>
      </c>
      <c r="N130" s="14">
        <v>13</v>
      </c>
      <c r="O130" s="14">
        <v>0</v>
      </c>
      <c r="P130" s="14">
        <v>0</v>
      </c>
      <c r="Q130" s="14">
        <v>0</v>
      </c>
      <c r="R130" s="14">
        <v>0</v>
      </c>
      <c r="S130" s="14">
        <v>0</v>
      </c>
      <c r="T130" s="14">
        <v>0</v>
      </c>
      <c r="U130" s="14">
        <v>1</v>
      </c>
      <c r="V130" s="14">
        <v>0</v>
      </c>
      <c r="W130" s="14">
        <v>0</v>
      </c>
      <c r="X130" s="14">
        <v>0</v>
      </c>
      <c r="Y130" s="14">
        <v>0</v>
      </c>
      <c r="Z130" s="14">
        <v>0</v>
      </c>
      <c r="AA130" s="14">
        <v>0</v>
      </c>
      <c r="AB130" s="14">
        <v>0</v>
      </c>
      <c r="AC130" s="14">
        <v>0</v>
      </c>
      <c r="AD130" s="25">
        <v>0</v>
      </c>
      <c r="AE130" s="25">
        <v>0</v>
      </c>
      <c r="AF130" s="25">
        <v>0</v>
      </c>
      <c r="AG130" s="25">
        <v>0.56944444400000005</v>
      </c>
      <c r="AH130" s="25">
        <v>0.57561728400000001</v>
      </c>
      <c r="AI130" s="14" t="s">
        <v>1571</v>
      </c>
      <c r="AJ130" s="14" t="s">
        <v>25</v>
      </c>
    </row>
    <row r="131" spans="1:36" ht="15" customHeight="1" x14ac:dyDescent="0.25">
      <c r="A131" s="1">
        <v>672</v>
      </c>
      <c r="B131" s="25" t="s">
        <v>1839</v>
      </c>
      <c r="C131" s="25" t="s">
        <v>1503</v>
      </c>
      <c r="D131" s="25" t="s">
        <v>18</v>
      </c>
      <c r="E131" s="25" t="s">
        <v>1759</v>
      </c>
      <c r="F131" s="25">
        <v>130.18199999999999</v>
      </c>
      <c r="G131" s="25">
        <v>78.900000000000006</v>
      </c>
      <c r="H131" s="25">
        <v>0</v>
      </c>
      <c r="I131" s="25">
        <v>0</v>
      </c>
      <c r="J131" s="25">
        <v>0</v>
      </c>
      <c r="K131" s="25">
        <v>0</v>
      </c>
      <c r="L131" s="25">
        <v>0</v>
      </c>
      <c r="M131" s="25">
        <v>1</v>
      </c>
      <c r="N131" s="25">
        <v>2</v>
      </c>
      <c r="O131" s="25">
        <v>0</v>
      </c>
      <c r="P131" s="25">
        <v>1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0</v>
      </c>
      <c r="W131" s="25">
        <v>0</v>
      </c>
      <c r="X131" s="25">
        <v>0</v>
      </c>
      <c r="Y131" s="25">
        <v>0</v>
      </c>
      <c r="Z131" s="25">
        <v>1</v>
      </c>
      <c r="AA131" s="25">
        <v>3</v>
      </c>
      <c r="AB131" s="25">
        <v>0</v>
      </c>
      <c r="AC131" s="25">
        <v>0</v>
      </c>
      <c r="AD131" s="25">
        <v>0</v>
      </c>
      <c r="AE131" s="25">
        <v>0</v>
      </c>
      <c r="AF131" s="25">
        <v>0</v>
      </c>
      <c r="AG131" s="25">
        <v>0.36419753100000002</v>
      </c>
      <c r="AH131" s="25">
        <v>0.32716049400000002</v>
      </c>
      <c r="AI131" s="25" t="s">
        <v>1571</v>
      </c>
      <c r="AJ131" s="14" t="s">
        <v>25</v>
      </c>
    </row>
    <row r="132" spans="1:36" ht="15" customHeight="1" x14ac:dyDescent="0.25">
      <c r="A132" s="1">
        <v>681</v>
      </c>
      <c r="B132" s="14" t="s">
        <v>837</v>
      </c>
      <c r="C132" s="14" t="s">
        <v>379</v>
      </c>
      <c r="D132" s="14" t="s">
        <v>17</v>
      </c>
      <c r="E132" s="29" t="s">
        <v>47</v>
      </c>
      <c r="F132" s="14">
        <v>298.5</v>
      </c>
      <c r="G132" s="14">
        <v>81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2</v>
      </c>
      <c r="N132" s="14">
        <v>16</v>
      </c>
      <c r="O132" s="14">
        <v>0</v>
      </c>
      <c r="P132" s="14">
        <v>0</v>
      </c>
      <c r="Q132" s="14">
        <v>0</v>
      </c>
      <c r="R132" s="14">
        <v>0</v>
      </c>
      <c r="S132" s="14">
        <v>0</v>
      </c>
      <c r="T132" s="14">
        <v>0</v>
      </c>
      <c r="U132" s="14">
        <v>1</v>
      </c>
      <c r="V132" s="14">
        <v>0</v>
      </c>
      <c r="W132" s="14">
        <v>0</v>
      </c>
      <c r="X132" s="14">
        <v>0</v>
      </c>
      <c r="Y132" s="14">
        <v>0</v>
      </c>
      <c r="Z132" s="14">
        <v>0</v>
      </c>
      <c r="AA132" s="14">
        <v>0</v>
      </c>
      <c r="AB132" s="14">
        <v>0</v>
      </c>
      <c r="AC132" s="14">
        <v>0</v>
      </c>
      <c r="AD132" s="25">
        <v>0</v>
      </c>
      <c r="AE132" s="25">
        <v>0</v>
      </c>
      <c r="AF132" s="25">
        <v>0</v>
      </c>
      <c r="AG132" s="25">
        <v>0.56994328900000002</v>
      </c>
      <c r="AH132" s="25">
        <v>0.60430839000000003</v>
      </c>
      <c r="AI132" s="14" t="s">
        <v>1077</v>
      </c>
      <c r="AJ132" s="14" t="s">
        <v>25</v>
      </c>
    </row>
    <row r="133" spans="1:36" ht="15" customHeight="1" x14ac:dyDescent="0.25">
      <c r="A133" s="1">
        <v>683</v>
      </c>
      <c r="B133" s="25" t="s">
        <v>1780</v>
      </c>
      <c r="C133" s="25" t="s">
        <v>1982</v>
      </c>
      <c r="D133" s="25" t="s">
        <v>1930</v>
      </c>
      <c r="E133" s="25" t="s">
        <v>1781</v>
      </c>
      <c r="F133" s="25">
        <v>256.416</v>
      </c>
      <c r="G133" s="25">
        <v>81</v>
      </c>
      <c r="H133" s="25">
        <v>0</v>
      </c>
      <c r="I133" s="25">
        <v>0</v>
      </c>
      <c r="J133" s="25">
        <v>0</v>
      </c>
      <c r="K133" s="25">
        <v>0</v>
      </c>
      <c r="L133" s="25">
        <v>0</v>
      </c>
      <c r="M133" s="25">
        <v>2</v>
      </c>
      <c r="N133" s="25">
        <v>13</v>
      </c>
      <c r="O133" s="25">
        <v>0</v>
      </c>
      <c r="P133" s="25">
        <v>0</v>
      </c>
      <c r="Q133" s="25">
        <v>0</v>
      </c>
      <c r="R133" s="25">
        <v>0</v>
      </c>
      <c r="S133" s="25">
        <v>0</v>
      </c>
      <c r="T133" s="25">
        <v>0</v>
      </c>
      <c r="U133" s="25">
        <v>1</v>
      </c>
      <c r="V133" s="25">
        <v>0</v>
      </c>
      <c r="W133" s="25">
        <v>0</v>
      </c>
      <c r="X133" s="25">
        <v>0</v>
      </c>
      <c r="Y133" s="25">
        <v>0</v>
      </c>
      <c r="Z133" s="25">
        <v>0</v>
      </c>
      <c r="AA133" s="25">
        <v>0</v>
      </c>
      <c r="AB133" s="25">
        <v>0</v>
      </c>
      <c r="AC133" s="25">
        <v>0</v>
      </c>
      <c r="AD133" s="25">
        <v>0</v>
      </c>
      <c r="AE133" s="25">
        <v>0</v>
      </c>
      <c r="AF133" s="25">
        <v>0</v>
      </c>
      <c r="AG133" s="25">
        <v>0.57899305599999995</v>
      </c>
      <c r="AH133" s="25">
        <v>0.57561728400000001</v>
      </c>
      <c r="AI133" s="25" t="s">
        <v>1571</v>
      </c>
      <c r="AJ133" s="14" t="s">
        <v>25</v>
      </c>
    </row>
    <row r="134" spans="1:36" ht="15" customHeight="1" x14ac:dyDescent="0.25">
      <c r="A134" s="1">
        <v>686</v>
      </c>
      <c r="B134" s="25" t="s">
        <v>597</v>
      </c>
      <c r="C134" s="25" t="s">
        <v>300</v>
      </c>
      <c r="D134" s="25" t="s">
        <v>7</v>
      </c>
      <c r="E134" s="25" t="s">
        <v>108</v>
      </c>
      <c r="F134" s="25">
        <v>156.31</v>
      </c>
      <c r="G134" s="25">
        <v>81</v>
      </c>
      <c r="H134" s="25">
        <v>0</v>
      </c>
      <c r="I134" s="25">
        <v>0</v>
      </c>
      <c r="J134" s="25">
        <v>0</v>
      </c>
      <c r="K134" s="25">
        <v>0</v>
      </c>
      <c r="L134" s="25">
        <v>0</v>
      </c>
      <c r="M134" s="25">
        <v>2</v>
      </c>
      <c r="N134" s="25">
        <v>9</v>
      </c>
      <c r="O134" s="25">
        <v>0</v>
      </c>
      <c r="P134" s="25">
        <v>0</v>
      </c>
      <c r="Q134" s="25">
        <v>0</v>
      </c>
      <c r="R134" s="25">
        <v>0</v>
      </c>
      <c r="S134" s="25">
        <v>0</v>
      </c>
      <c r="T134" s="25">
        <v>0</v>
      </c>
      <c r="U134" s="25">
        <v>0</v>
      </c>
      <c r="V134" s="25">
        <v>0</v>
      </c>
      <c r="W134" s="25">
        <v>0</v>
      </c>
      <c r="X134" s="25">
        <v>0</v>
      </c>
      <c r="Y134" s="25">
        <v>0</v>
      </c>
      <c r="Z134" s="25">
        <v>0</v>
      </c>
      <c r="AA134" s="25">
        <v>0</v>
      </c>
      <c r="AB134" s="25">
        <v>0</v>
      </c>
      <c r="AC134" s="25">
        <v>0</v>
      </c>
      <c r="AD134" s="25">
        <v>0</v>
      </c>
      <c r="AE134" s="25">
        <v>0</v>
      </c>
      <c r="AF134" s="25">
        <v>0</v>
      </c>
      <c r="AG134" s="25">
        <v>0.44214875999999997</v>
      </c>
      <c r="AH134" s="25">
        <v>0.46500000000000002</v>
      </c>
      <c r="AI134" s="25" t="s">
        <v>990</v>
      </c>
      <c r="AJ134" s="14" t="s">
        <v>25</v>
      </c>
    </row>
    <row r="135" spans="1:36" ht="15" customHeight="1" x14ac:dyDescent="0.25">
      <c r="A135" s="1">
        <v>687</v>
      </c>
      <c r="B135" s="14" t="s">
        <v>784</v>
      </c>
      <c r="C135" s="14" t="s">
        <v>461</v>
      </c>
      <c r="D135" s="14" t="s">
        <v>21</v>
      </c>
      <c r="E135" s="29" t="s">
        <v>199</v>
      </c>
      <c r="F135" s="14">
        <v>206.28</v>
      </c>
      <c r="G135" s="14">
        <v>81.3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4</v>
      </c>
      <c r="N135" s="14">
        <v>3</v>
      </c>
      <c r="O135" s="14">
        <v>1</v>
      </c>
      <c r="P135" s="14">
        <v>3</v>
      </c>
      <c r="Q135" s="14">
        <v>0</v>
      </c>
      <c r="R135" s="14">
        <v>0</v>
      </c>
      <c r="S135" s="14">
        <v>0</v>
      </c>
      <c r="T135" s="14">
        <v>0</v>
      </c>
      <c r="U135" s="14">
        <v>0</v>
      </c>
      <c r="V135" s="14">
        <v>3</v>
      </c>
      <c r="W135" s="14">
        <v>0</v>
      </c>
      <c r="X135" s="14">
        <v>0</v>
      </c>
      <c r="Y135" s="14">
        <v>0</v>
      </c>
      <c r="Z135" s="14">
        <v>0</v>
      </c>
      <c r="AA135" s="14">
        <v>0</v>
      </c>
      <c r="AB135" s="14">
        <v>0</v>
      </c>
      <c r="AC135" s="14">
        <v>1</v>
      </c>
      <c r="AD135" s="25">
        <v>0</v>
      </c>
      <c r="AE135" s="25">
        <v>0</v>
      </c>
      <c r="AF135" s="25">
        <v>0</v>
      </c>
      <c r="AG135" s="25">
        <v>0.50591715999999998</v>
      </c>
      <c r="AH135" s="25">
        <v>0.51183431999999995</v>
      </c>
      <c r="AI135" s="14" t="s">
        <v>1158</v>
      </c>
      <c r="AJ135" s="14" t="s">
        <v>25</v>
      </c>
    </row>
    <row r="136" spans="1:36" ht="15" customHeight="1" x14ac:dyDescent="0.25">
      <c r="A136" s="1">
        <v>689</v>
      </c>
      <c r="B136" s="25" t="s">
        <v>1669</v>
      </c>
      <c r="C136" s="25" t="s">
        <v>1983</v>
      </c>
      <c r="D136" s="25" t="s">
        <v>12</v>
      </c>
      <c r="E136" s="25" t="s">
        <v>170</v>
      </c>
      <c r="F136" s="25">
        <v>196.364</v>
      </c>
      <c r="G136" s="25">
        <v>82.7</v>
      </c>
      <c r="H136" s="25">
        <v>0</v>
      </c>
      <c r="I136" s="25">
        <v>1</v>
      </c>
      <c r="J136" s="25">
        <v>0</v>
      </c>
      <c r="K136" s="25">
        <v>1</v>
      </c>
      <c r="L136" s="25">
        <v>0</v>
      </c>
      <c r="M136" s="25">
        <v>1</v>
      </c>
      <c r="N136" s="25">
        <v>11</v>
      </c>
      <c r="O136" s="25">
        <v>0</v>
      </c>
      <c r="P136" s="25">
        <v>0</v>
      </c>
      <c r="Q136" s="25">
        <v>0</v>
      </c>
      <c r="R136" s="25">
        <v>0</v>
      </c>
      <c r="S136" s="25">
        <v>0</v>
      </c>
      <c r="T136" s="25">
        <v>0</v>
      </c>
      <c r="U136" s="25">
        <v>0</v>
      </c>
      <c r="V136" s="25">
        <v>0</v>
      </c>
      <c r="W136" s="25">
        <v>1</v>
      </c>
      <c r="X136" s="25">
        <v>0</v>
      </c>
      <c r="Y136" s="25">
        <v>1</v>
      </c>
      <c r="Z136" s="25">
        <v>0</v>
      </c>
      <c r="AA136" s="25">
        <v>0</v>
      </c>
      <c r="AB136" s="25">
        <v>0</v>
      </c>
      <c r="AC136" s="25">
        <v>0</v>
      </c>
      <c r="AD136" s="25">
        <v>0</v>
      </c>
      <c r="AE136" s="25">
        <v>0</v>
      </c>
      <c r="AF136" s="25">
        <v>0</v>
      </c>
      <c r="AG136" s="25">
        <v>0.528061224</v>
      </c>
      <c r="AH136" s="25">
        <v>0.533163265</v>
      </c>
      <c r="AI136" s="25" t="s">
        <v>1571</v>
      </c>
      <c r="AJ136" s="14" t="s">
        <v>25</v>
      </c>
    </row>
    <row r="137" spans="1:36" ht="15" customHeight="1" x14ac:dyDescent="0.25">
      <c r="A137" s="1">
        <v>698</v>
      </c>
      <c r="B137" s="14" t="s">
        <v>1805</v>
      </c>
      <c r="C137" s="14" t="s">
        <v>1984</v>
      </c>
      <c r="D137" s="14" t="s">
        <v>1930</v>
      </c>
      <c r="E137" s="29" t="s">
        <v>62</v>
      </c>
      <c r="F137" s="14">
        <v>368.62400000000002</v>
      </c>
      <c r="G137" s="14">
        <v>85</v>
      </c>
      <c r="H137" s="14">
        <v>0</v>
      </c>
      <c r="I137" s="14">
        <v>0</v>
      </c>
      <c r="J137" s="14">
        <v>0</v>
      </c>
      <c r="K137" s="14">
        <v>0</v>
      </c>
      <c r="L137" s="14">
        <v>0</v>
      </c>
      <c r="M137" s="14">
        <v>2</v>
      </c>
      <c r="N137" s="14">
        <v>21</v>
      </c>
      <c r="O137" s="14">
        <v>0</v>
      </c>
      <c r="P137" s="14">
        <v>0</v>
      </c>
      <c r="Q137" s="14">
        <v>0</v>
      </c>
      <c r="R137" s="14">
        <v>0</v>
      </c>
      <c r="S137" s="14">
        <v>0</v>
      </c>
      <c r="T137" s="14">
        <v>0</v>
      </c>
      <c r="U137" s="14">
        <v>1</v>
      </c>
      <c r="V137" s="14">
        <v>0</v>
      </c>
      <c r="W137" s="14">
        <v>0</v>
      </c>
      <c r="X137" s="14">
        <v>0</v>
      </c>
      <c r="Y137" s="14">
        <v>0</v>
      </c>
      <c r="Z137" s="14">
        <v>0</v>
      </c>
      <c r="AA137" s="14">
        <v>0</v>
      </c>
      <c r="AB137" s="14">
        <v>0</v>
      </c>
      <c r="AC137" s="14">
        <v>0</v>
      </c>
      <c r="AD137" s="25">
        <v>0</v>
      </c>
      <c r="AE137" s="25">
        <v>0</v>
      </c>
      <c r="AF137" s="25">
        <v>0</v>
      </c>
      <c r="AG137" s="25">
        <v>0.61796982199999995</v>
      </c>
      <c r="AH137" s="25">
        <v>0.64423076899999998</v>
      </c>
      <c r="AI137" s="14" t="s">
        <v>1571</v>
      </c>
      <c r="AJ137" s="14" t="s">
        <v>25</v>
      </c>
    </row>
    <row r="138" spans="1:36" ht="15" customHeight="1" x14ac:dyDescent="0.25">
      <c r="A138" s="1">
        <v>700</v>
      </c>
      <c r="B138" s="25" t="s">
        <v>1784</v>
      </c>
      <c r="C138" s="25" t="s">
        <v>1483</v>
      </c>
      <c r="D138" s="25" t="s">
        <v>1930</v>
      </c>
      <c r="E138" s="25" t="s">
        <v>1785</v>
      </c>
      <c r="F138" s="25">
        <v>270.44200000000001</v>
      </c>
      <c r="G138" s="25">
        <v>85.9</v>
      </c>
      <c r="H138" s="25">
        <v>0</v>
      </c>
      <c r="I138" s="25">
        <v>0</v>
      </c>
      <c r="J138" s="25">
        <v>0</v>
      </c>
      <c r="K138" s="25">
        <v>0</v>
      </c>
      <c r="L138" s="25">
        <v>0</v>
      </c>
      <c r="M138" s="25">
        <v>2</v>
      </c>
      <c r="N138" s="25">
        <v>14</v>
      </c>
      <c r="O138" s="25">
        <v>0</v>
      </c>
      <c r="P138" s="25">
        <v>0</v>
      </c>
      <c r="Q138" s="25">
        <v>0</v>
      </c>
      <c r="R138" s="25">
        <v>0</v>
      </c>
      <c r="S138" s="25">
        <v>0</v>
      </c>
      <c r="T138" s="25">
        <v>0</v>
      </c>
      <c r="U138" s="25">
        <v>1</v>
      </c>
      <c r="V138" s="25">
        <v>0</v>
      </c>
      <c r="W138" s="25">
        <v>0</v>
      </c>
      <c r="X138" s="25">
        <v>0</v>
      </c>
      <c r="Y138" s="25">
        <v>0</v>
      </c>
      <c r="Z138" s="25">
        <v>0</v>
      </c>
      <c r="AA138" s="25">
        <v>0</v>
      </c>
      <c r="AB138" s="25">
        <v>0</v>
      </c>
      <c r="AC138" s="25">
        <v>0</v>
      </c>
      <c r="AD138" s="25">
        <v>0</v>
      </c>
      <c r="AE138" s="25">
        <v>0</v>
      </c>
      <c r="AF138" s="25">
        <v>0</v>
      </c>
      <c r="AG138" s="25">
        <v>0.58310249300000006</v>
      </c>
      <c r="AH138" s="25">
        <v>0.59141274200000005</v>
      </c>
      <c r="AI138" s="25" t="s">
        <v>1571</v>
      </c>
      <c r="AJ138" s="14" t="s">
        <v>25</v>
      </c>
    </row>
    <row r="139" spans="1:36" ht="15" customHeight="1" x14ac:dyDescent="0.25">
      <c r="A139" s="1">
        <v>702</v>
      </c>
      <c r="B139" s="25" t="s">
        <v>1672</v>
      </c>
      <c r="C139" s="25" t="s">
        <v>1419</v>
      </c>
      <c r="D139" s="25" t="s">
        <v>12</v>
      </c>
      <c r="E139" s="25" t="s">
        <v>1673</v>
      </c>
      <c r="F139" s="25">
        <v>224.416</v>
      </c>
      <c r="G139" s="25">
        <v>86</v>
      </c>
      <c r="H139" s="25">
        <v>0</v>
      </c>
      <c r="I139" s="25">
        <v>1</v>
      </c>
      <c r="J139" s="25">
        <v>0</v>
      </c>
      <c r="K139" s="25">
        <v>1</v>
      </c>
      <c r="L139" s="25">
        <v>0</v>
      </c>
      <c r="M139" s="25">
        <v>1</v>
      </c>
      <c r="N139" s="25">
        <v>13</v>
      </c>
      <c r="O139" s="25">
        <v>0</v>
      </c>
      <c r="P139" s="25">
        <v>0</v>
      </c>
      <c r="Q139" s="25">
        <v>0</v>
      </c>
      <c r="R139" s="25">
        <v>0</v>
      </c>
      <c r="S139" s="25">
        <v>0</v>
      </c>
      <c r="T139" s="25">
        <v>0</v>
      </c>
      <c r="U139" s="25">
        <v>0</v>
      </c>
      <c r="V139" s="25">
        <v>0</v>
      </c>
      <c r="W139" s="25">
        <v>1</v>
      </c>
      <c r="X139" s="25">
        <v>0</v>
      </c>
      <c r="Y139" s="25">
        <v>1</v>
      </c>
      <c r="Z139" s="25">
        <v>0</v>
      </c>
      <c r="AA139" s="25">
        <v>0</v>
      </c>
      <c r="AB139" s="25">
        <v>0</v>
      </c>
      <c r="AC139" s="25">
        <v>0</v>
      </c>
      <c r="AD139" s="25">
        <v>0</v>
      </c>
      <c r="AE139" s="25">
        <v>0</v>
      </c>
      <c r="AF139" s="25">
        <v>0</v>
      </c>
      <c r="AG139" s="25">
        <v>0.544921875</v>
      </c>
      <c r="AH139" s="25">
        <v>0.560546875</v>
      </c>
      <c r="AI139" s="25" t="s">
        <v>1571</v>
      </c>
      <c r="AJ139" s="14" t="s">
        <v>25</v>
      </c>
    </row>
    <row r="140" spans="1:36" ht="15" customHeight="1" x14ac:dyDescent="0.25">
      <c r="A140" s="1">
        <v>706</v>
      </c>
      <c r="B140" s="25" t="s">
        <v>1836</v>
      </c>
      <c r="C140" s="25" t="s">
        <v>1501</v>
      </c>
      <c r="D140" s="25" t="s">
        <v>18</v>
      </c>
      <c r="E140" s="25" t="s">
        <v>140</v>
      </c>
      <c r="F140" s="25">
        <v>102.172</v>
      </c>
      <c r="G140" s="25">
        <v>86.4</v>
      </c>
      <c r="H140" s="25">
        <v>0</v>
      </c>
      <c r="I140" s="25">
        <v>0</v>
      </c>
      <c r="J140" s="25">
        <v>0</v>
      </c>
      <c r="K140" s="25">
        <v>0</v>
      </c>
      <c r="L140" s="25">
        <v>0</v>
      </c>
      <c r="M140" s="25">
        <v>4</v>
      </c>
      <c r="N140" s="25">
        <v>1</v>
      </c>
      <c r="O140" s="25">
        <v>0</v>
      </c>
      <c r="P140" s="25">
        <v>1</v>
      </c>
      <c r="Q140" s="25">
        <v>0</v>
      </c>
      <c r="R140" s="25">
        <v>0</v>
      </c>
      <c r="S140" s="25">
        <v>0</v>
      </c>
      <c r="T140" s="25">
        <v>0</v>
      </c>
      <c r="U140" s="25">
        <v>0</v>
      </c>
      <c r="V140" s="25">
        <v>0</v>
      </c>
      <c r="W140" s="25">
        <v>0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0</v>
      </c>
      <c r="AE140" s="25">
        <v>0</v>
      </c>
      <c r="AF140" s="25">
        <v>0</v>
      </c>
      <c r="AG140" s="25">
        <v>0.375</v>
      </c>
      <c r="AH140" s="25">
        <v>0.31944444399999999</v>
      </c>
      <c r="AI140" s="25" t="s">
        <v>1571</v>
      </c>
      <c r="AJ140" s="14" t="s">
        <v>25</v>
      </c>
    </row>
    <row r="141" spans="1:36" ht="15" customHeight="1" x14ac:dyDescent="0.25">
      <c r="A141" s="1">
        <v>723</v>
      </c>
      <c r="B141" s="14" t="s">
        <v>1840</v>
      </c>
      <c r="C141" s="14" t="s">
        <v>1504</v>
      </c>
      <c r="D141" s="14" t="s">
        <v>18</v>
      </c>
      <c r="E141" s="29" t="s">
        <v>102</v>
      </c>
      <c r="F141" s="14">
        <v>130.22399999999999</v>
      </c>
      <c r="G141" s="14">
        <v>95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2</v>
      </c>
      <c r="N141" s="14">
        <v>6</v>
      </c>
      <c r="O141" s="14">
        <v>0</v>
      </c>
      <c r="P141" s="14">
        <v>1</v>
      </c>
      <c r="Q141" s="14">
        <v>0</v>
      </c>
      <c r="R141" s="14">
        <v>0</v>
      </c>
      <c r="S141" s="14">
        <v>0</v>
      </c>
      <c r="T141" s="14">
        <v>0</v>
      </c>
      <c r="U141" s="14">
        <v>0</v>
      </c>
      <c r="V141" s="14">
        <v>0</v>
      </c>
      <c r="W141" s="14">
        <v>0</v>
      </c>
      <c r="X141" s="14">
        <v>0</v>
      </c>
      <c r="Y141" s="14">
        <v>0</v>
      </c>
      <c r="Z141" s="14">
        <v>0</v>
      </c>
      <c r="AA141" s="14">
        <v>0</v>
      </c>
      <c r="AB141" s="14">
        <v>0</v>
      </c>
      <c r="AC141" s="14">
        <v>0</v>
      </c>
      <c r="AD141" s="25">
        <v>0</v>
      </c>
      <c r="AE141" s="25">
        <v>0</v>
      </c>
      <c r="AF141" s="25">
        <v>0</v>
      </c>
      <c r="AG141" s="25">
        <v>0.38888888900000002</v>
      </c>
      <c r="AH141" s="25">
        <v>0.4140625</v>
      </c>
      <c r="AI141" s="14" t="s">
        <v>1571</v>
      </c>
      <c r="AJ141" s="14" t="s">
        <v>25</v>
      </c>
    </row>
    <row r="142" spans="1:36" ht="15" customHeight="1" x14ac:dyDescent="0.25">
      <c r="A142" s="1">
        <v>729</v>
      </c>
      <c r="B142" s="14" t="s">
        <v>882</v>
      </c>
      <c r="C142" s="14" t="s">
        <v>255</v>
      </c>
      <c r="D142" s="14" t="s">
        <v>17</v>
      </c>
      <c r="E142" s="29" t="s">
        <v>62</v>
      </c>
      <c r="F142" s="14">
        <v>368.63</v>
      </c>
      <c r="G142" s="14">
        <v>98.2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3</v>
      </c>
      <c r="N142" s="14">
        <v>19</v>
      </c>
      <c r="O142" s="14">
        <v>0</v>
      </c>
      <c r="P142" s="14">
        <v>0</v>
      </c>
      <c r="Q142" s="14">
        <v>0</v>
      </c>
      <c r="R142" s="14">
        <v>0</v>
      </c>
      <c r="S142" s="14">
        <v>0</v>
      </c>
      <c r="T142" s="14">
        <v>0</v>
      </c>
      <c r="U142" s="14">
        <v>1</v>
      </c>
      <c r="V142" s="14">
        <v>1</v>
      </c>
      <c r="W142" s="14">
        <v>0</v>
      </c>
      <c r="X142" s="14">
        <v>0</v>
      </c>
      <c r="Y142" s="14">
        <v>0</v>
      </c>
      <c r="Z142" s="14">
        <v>0</v>
      </c>
      <c r="AA142" s="14">
        <v>0</v>
      </c>
      <c r="AB142" s="14">
        <v>0</v>
      </c>
      <c r="AC142" s="14">
        <v>0</v>
      </c>
      <c r="AD142" s="25">
        <v>0</v>
      </c>
      <c r="AE142" s="25">
        <v>0</v>
      </c>
      <c r="AF142" s="25">
        <v>0</v>
      </c>
      <c r="AG142" s="25">
        <v>0.60905612200000003</v>
      </c>
      <c r="AH142" s="25">
        <v>0.64275147899999996</v>
      </c>
      <c r="AI142" s="14" t="s">
        <v>938</v>
      </c>
      <c r="AJ142" s="14" t="s">
        <v>25</v>
      </c>
    </row>
    <row r="143" spans="1:36" ht="15" customHeight="1" x14ac:dyDescent="0.25">
      <c r="A143" s="1">
        <v>735</v>
      </c>
      <c r="B143" s="14" t="s">
        <v>1924</v>
      </c>
      <c r="C143" s="14" t="s">
        <v>1985</v>
      </c>
      <c r="D143" s="14" t="s">
        <v>1930</v>
      </c>
      <c r="E143" s="29" t="s">
        <v>65</v>
      </c>
      <c r="F143" s="14">
        <v>326.54599999999999</v>
      </c>
      <c r="G143" s="14">
        <v>100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2</v>
      </c>
      <c r="N143" s="14">
        <v>18</v>
      </c>
      <c r="O143" s="14">
        <v>0</v>
      </c>
      <c r="P143" s="14">
        <v>0</v>
      </c>
      <c r="Q143" s="14">
        <v>0</v>
      </c>
      <c r="R143" s="14">
        <v>0</v>
      </c>
      <c r="S143" s="14">
        <v>0</v>
      </c>
      <c r="T143" s="14">
        <v>0</v>
      </c>
      <c r="U143" s="14">
        <v>1</v>
      </c>
      <c r="V143" s="14">
        <v>0</v>
      </c>
      <c r="W143" s="14">
        <v>0</v>
      </c>
      <c r="X143" s="14">
        <v>0</v>
      </c>
      <c r="Y143" s="14">
        <v>0</v>
      </c>
      <c r="Z143" s="14">
        <v>0</v>
      </c>
      <c r="AA143" s="14">
        <v>0</v>
      </c>
      <c r="AB143" s="14">
        <v>0</v>
      </c>
      <c r="AC143" s="14">
        <v>0</v>
      </c>
      <c r="AD143" s="25">
        <v>0</v>
      </c>
      <c r="AE143" s="25">
        <v>0</v>
      </c>
      <c r="AF143" s="25">
        <v>0</v>
      </c>
      <c r="AG143" s="25">
        <v>0.62098298699999999</v>
      </c>
      <c r="AH143" s="25">
        <v>0.624763705</v>
      </c>
      <c r="AI143" s="14" t="s">
        <v>1571</v>
      </c>
      <c r="AJ143" s="14" t="s">
        <v>25</v>
      </c>
    </row>
    <row r="144" spans="1:36" ht="15" customHeight="1" x14ac:dyDescent="0.25">
      <c r="A144" s="1">
        <v>2</v>
      </c>
      <c r="B144" s="25" t="s">
        <v>909</v>
      </c>
      <c r="C144" s="25" t="s">
        <v>655</v>
      </c>
      <c r="D144" s="25" t="s">
        <v>13</v>
      </c>
      <c r="E144" s="25" t="s">
        <v>1181</v>
      </c>
      <c r="F144" s="25">
        <v>142.19999999999999</v>
      </c>
      <c r="G144" s="25">
        <v>0</v>
      </c>
      <c r="H144" s="25">
        <v>10</v>
      </c>
      <c r="I144" s="25">
        <v>0</v>
      </c>
      <c r="J144" s="25">
        <v>10</v>
      </c>
      <c r="K144" s="25">
        <v>5</v>
      </c>
      <c r="L144" s="25">
        <v>0</v>
      </c>
      <c r="M144" s="25">
        <v>1</v>
      </c>
      <c r="N144" s="25">
        <v>0</v>
      </c>
      <c r="O144" s="25">
        <v>0</v>
      </c>
      <c r="P144" s="25">
        <v>0</v>
      </c>
      <c r="Q144" s="25">
        <v>0</v>
      </c>
      <c r="R144" s="25">
        <v>0</v>
      </c>
      <c r="S144" s="25">
        <v>0</v>
      </c>
      <c r="T144" s="25">
        <v>0</v>
      </c>
      <c r="U144" s="25">
        <v>0</v>
      </c>
      <c r="V144" s="25">
        <v>0</v>
      </c>
      <c r="W144" s="25">
        <v>0</v>
      </c>
      <c r="X144" s="25">
        <v>7</v>
      </c>
      <c r="Y144" s="25">
        <v>0</v>
      </c>
      <c r="Z144" s="25">
        <v>0</v>
      </c>
      <c r="AA144" s="25">
        <v>0</v>
      </c>
      <c r="AB144" s="25">
        <v>0</v>
      </c>
      <c r="AC144" s="25">
        <v>0</v>
      </c>
      <c r="AD144" s="25">
        <v>0</v>
      </c>
      <c r="AE144" s="25">
        <v>0</v>
      </c>
      <c r="AF144" s="25">
        <v>0</v>
      </c>
      <c r="AG144" s="25">
        <v>0.31680000000000003</v>
      </c>
      <c r="AH144" s="25">
        <v>0.32204081600000001</v>
      </c>
      <c r="AI144" s="25" t="s">
        <v>1182</v>
      </c>
      <c r="AJ144" s="14" t="s">
        <v>33</v>
      </c>
    </row>
    <row r="145" spans="1:36" ht="15" customHeight="1" x14ac:dyDescent="0.25">
      <c r="A145" s="1">
        <v>3</v>
      </c>
      <c r="B145" s="25" t="s">
        <v>1608</v>
      </c>
      <c r="C145" s="25" t="s">
        <v>1387</v>
      </c>
      <c r="D145" s="25" t="s">
        <v>16</v>
      </c>
      <c r="E145" s="25" t="s">
        <v>167</v>
      </c>
      <c r="F145" s="25">
        <v>98.182000000000002</v>
      </c>
      <c r="G145" s="25">
        <v>0</v>
      </c>
      <c r="H145" s="25">
        <v>0</v>
      </c>
      <c r="I145" s="25">
        <v>0</v>
      </c>
      <c r="J145" s="25">
        <v>0</v>
      </c>
      <c r="K145" s="25">
        <v>0</v>
      </c>
      <c r="L145" s="25">
        <v>0</v>
      </c>
      <c r="M145" s="25">
        <v>0</v>
      </c>
      <c r="N145" s="25">
        <v>0</v>
      </c>
      <c r="O145" s="25">
        <v>0</v>
      </c>
      <c r="P145" s="25">
        <v>0</v>
      </c>
      <c r="Q145" s="25">
        <v>0</v>
      </c>
      <c r="R145" s="25">
        <v>0</v>
      </c>
      <c r="S145" s="25">
        <v>0</v>
      </c>
      <c r="T145" s="25">
        <v>0</v>
      </c>
      <c r="U145" s="25">
        <v>0</v>
      </c>
      <c r="V145" s="25">
        <v>0</v>
      </c>
      <c r="W145" s="25">
        <v>0</v>
      </c>
      <c r="X145" s="25">
        <v>0</v>
      </c>
      <c r="Y145" s="25">
        <v>0</v>
      </c>
      <c r="Z145" s="25">
        <v>0</v>
      </c>
      <c r="AA145" s="25">
        <v>7</v>
      </c>
      <c r="AB145" s="25">
        <v>0</v>
      </c>
      <c r="AC145" s="25">
        <v>0</v>
      </c>
      <c r="AD145" s="25">
        <v>0</v>
      </c>
      <c r="AE145" s="25">
        <v>0</v>
      </c>
      <c r="AF145" s="25">
        <v>0</v>
      </c>
      <c r="AG145" s="25">
        <v>0.24556212999999999</v>
      </c>
      <c r="AH145" s="25">
        <v>0.22448979599999999</v>
      </c>
      <c r="AI145" s="25" t="s">
        <v>1571</v>
      </c>
      <c r="AJ145" s="14" t="s">
        <v>33</v>
      </c>
    </row>
    <row r="146" spans="1:36" ht="15" customHeight="1" x14ac:dyDescent="0.25">
      <c r="A146" s="1">
        <v>5</v>
      </c>
      <c r="B146" s="25" t="s">
        <v>1274</v>
      </c>
      <c r="C146" s="25" t="s">
        <v>1258</v>
      </c>
      <c r="D146" s="25" t="s">
        <v>13</v>
      </c>
      <c r="E146" s="25" t="s">
        <v>1559</v>
      </c>
      <c r="F146" s="25">
        <v>182.26147309999999</v>
      </c>
      <c r="G146" s="25">
        <v>1</v>
      </c>
      <c r="H146" s="25">
        <v>12</v>
      </c>
      <c r="I146" s="25">
        <v>0</v>
      </c>
      <c r="J146" s="25">
        <v>12</v>
      </c>
      <c r="K146" s="25">
        <v>6</v>
      </c>
      <c r="L146" s="25">
        <v>0</v>
      </c>
      <c r="M146" s="25">
        <v>0</v>
      </c>
      <c r="N146" s="25">
        <v>2</v>
      </c>
      <c r="O146" s="25">
        <v>0</v>
      </c>
      <c r="P146" s="25">
        <v>0</v>
      </c>
      <c r="Q146" s="25">
        <v>0</v>
      </c>
      <c r="R146" s="25">
        <v>0</v>
      </c>
      <c r="S146" s="25">
        <v>0</v>
      </c>
      <c r="T146" s="25">
        <v>0</v>
      </c>
      <c r="U146" s="25">
        <v>0</v>
      </c>
      <c r="V146" s="25">
        <v>0</v>
      </c>
      <c r="W146" s="25">
        <v>0</v>
      </c>
      <c r="X146" s="25">
        <v>10</v>
      </c>
      <c r="Y146" s="25">
        <v>0</v>
      </c>
      <c r="Z146" s="25">
        <v>0</v>
      </c>
      <c r="AA146" s="25">
        <v>0</v>
      </c>
      <c r="AB146" s="25">
        <v>0</v>
      </c>
      <c r="AC146" s="25">
        <v>0</v>
      </c>
      <c r="AD146" s="25">
        <v>0</v>
      </c>
      <c r="AE146" s="25">
        <v>0</v>
      </c>
      <c r="AF146" s="25">
        <v>0</v>
      </c>
      <c r="AG146" s="25">
        <v>0.39212828</v>
      </c>
      <c r="AH146" s="25">
        <v>0.48639455799999998</v>
      </c>
      <c r="AI146" s="25" t="s">
        <v>1306</v>
      </c>
      <c r="AJ146" s="14" t="s">
        <v>33</v>
      </c>
    </row>
    <row r="147" spans="1:36" ht="15" customHeight="1" x14ac:dyDescent="0.25">
      <c r="A147" s="1">
        <v>6</v>
      </c>
      <c r="B147" s="14" t="s">
        <v>1275</v>
      </c>
      <c r="C147" s="14" t="s">
        <v>1259</v>
      </c>
      <c r="D147" s="14" t="s">
        <v>13</v>
      </c>
      <c r="E147" s="29" t="s">
        <v>1558</v>
      </c>
      <c r="F147" s="14">
        <v>106.1652947</v>
      </c>
      <c r="G147" s="14">
        <v>1</v>
      </c>
      <c r="H147" s="14">
        <v>6</v>
      </c>
      <c r="I147" s="14">
        <v>0</v>
      </c>
      <c r="J147" s="14">
        <v>6</v>
      </c>
      <c r="K147" s="14">
        <v>3</v>
      </c>
      <c r="L147" s="14">
        <v>0</v>
      </c>
      <c r="M147" s="14">
        <v>2</v>
      </c>
      <c r="N147" s="14">
        <v>0</v>
      </c>
      <c r="O147" s="14">
        <v>0</v>
      </c>
      <c r="P147" s="14">
        <v>0</v>
      </c>
      <c r="Q147" s="14">
        <v>0</v>
      </c>
      <c r="R147" s="14">
        <v>0</v>
      </c>
      <c r="S147" s="14">
        <v>0</v>
      </c>
      <c r="T147" s="14">
        <v>0</v>
      </c>
      <c r="U147" s="14">
        <v>0</v>
      </c>
      <c r="V147" s="14">
        <v>0</v>
      </c>
      <c r="W147" s="14">
        <v>0</v>
      </c>
      <c r="X147" s="14">
        <v>4</v>
      </c>
      <c r="Y147" s="14">
        <v>0</v>
      </c>
      <c r="Z147" s="14">
        <v>0</v>
      </c>
      <c r="AA147" s="14">
        <v>0</v>
      </c>
      <c r="AB147" s="14">
        <v>0</v>
      </c>
      <c r="AC147" s="14">
        <v>0</v>
      </c>
      <c r="AD147" s="25">
        <v>0</v>
      </c>
      <c r="AE147" s="25">
        <v>0</v>
      </c>
      <c r="AF147" s="25">
        <v>0</v>
      </c>
      <c r="AG147" s="25">
        <v>0.276701323</v>
      </c>
      <c r="AH147" s="25">
        <v>0.25206611600000001</v>
      </c>
      <c r="AI147" s="14" t="s">
        <v>1306</v>
      </c>
      <c r="AJ147" s="14" t="s">
        <v>33</v>
      </c>
    </row>
    <row r="148" spans="1:36" ht="15" customHeight="1" x14ac:dyDescent="0.25">
      <c r="A148" s="1">
        <v>7</v>
      </c>
      <c r="B148" s="14" t="s">
        <v>1880</v>
      </c>
      <c r="C148" s="14" t="s">
        <v>1527</v>
      </c>
      <c r="D148" s="14" t="s">
        <v>13</v>
      </c>
      <c r="E148" s="29" t="s">
        <v>145</v>
      </c>
      <c r="F148" s="14">
        <v>134.21199999999999</v>
      </c>
      <c r="G148" s="14">
        <v>1</v>
      </c>
      <c r="H148" s="14">
        <v>6</v>
      </c>
      <c r="I148" s="14">
        <v>0</v>
      </c>
      <c r="J148" s="14">
        <v>6</v>
      </c>
      <c r="K148" s="14">
        <v>3</v>
      </c>
      <c r="L148" s="14">
        <v>0</v>
      </c>
      <c r="M148" s="14">
        <v>4</v>
      </c>
      <c r="N148" s="14">
        <v>0</v>
      </c>
      <c r="O148" s="14">
        <v>0</v>
      </c>
      <c r="P148" s="14">
        <v>0</v>
      </c>
      <c r="Q148" s="14">
        <v>0</v>
      </c>
      <c r="R148" s="14">
        <v>0</v>
      </c>
      <c r="S148" s="14">
        <v>0</v>
      </c>
      <c r="T148" s="14">
        <v>0</v>
      </c>
      <c r="U148" s="14">
        <v>0</v>
      </c>
      <c r="V148" s="14">
        <v>0</v>
      </c>
      <c r="W148" s="14">
        <v>0</v>
      </c>
      <c r="X148" s="14">
        <v>2</v>
      </c>
      <c r="Y148" s="14">
        <v>0</v>
      </c>
      <c r="Z148" s="14">
        <v>0</v>
      </c>
      <c r="AA148" s="14">
        <v>0</v>
      </c>
      <c r="AB148" s="14">
        <v>0</v>
      </c>
      <c r="AC148" s="14">
        <v>0</v>
      </c>
      <c r="AD148" s="25">
        <v>0</v>
      </c>
      <c r="AE148" s="25">
        <v>0</v>
      </c>
      <c r="AF148" s="25">
        <v>0</v>
      </c>
      <c r="AG148" s="25">
        <v>0.43195266300000001</v>
      </c>
      <c r="AH148" s="25">
        <v>0.27514792900000001</v>
      </c>
      <c r="AI148" s="14" t="s">
        <v>1571</v>
      </c>
      <c r="AJ148" s="14" t="s">
        <v>33</v>
      </c>
    </row>
    <row r="149" spans="1:36" ht="15" customHeight="1" x14ac:dyDescent="0.25">
      <c r="A149" s="1">
        <v>8</v>
      </c>
      <c r="B149" s="14" t="s">
        <v>574</v>
      </c>
      <c r="C149" s="14" t="s">
        <v>359</v>
      </c>
      <c r="D149" s="14" t="s">
        <v>13</v>
      </c>
      <c r="E149" s="29" t="s">
        <v>145</v>
      </c>
      <c r="F149" s="14">
        <v>134.22</v>
      </c>
      <c r="G149" s="14">
        <v>2</v>
      </c>
      <c r="H149" s="14">
        <v>6</v>
      </c>
      <c r="I149" s="14">
        <v>0</v>
      </c>
      <c r="J149" s="14">
        <v>6</v>
      </c>
      <c r="K149" s="14">
        <v>3</v>
      </c>
      <c r="L149" s="14">
        <v>0</v>
      </c>
      <c r="M149" s="14">
        <v>3</v>
      </c>
      <c r="N149" s="14">
        <v>0</v>
      </c>
      <c r="O149" s="14">
        <v>0</v>
      </c>
      <c r="P149" s="14">
        <v>0</v>
      </c>
      <c r="Q149" s="14">
        <v>0</v>
      </c>
      <c r="R149" s="14">
        <v>0</v>
      </c>
      <c r="S149" s="14">
        <v>0</v>
      </c>
      <c r="T149" s="14">
        <v>0</v>
      </c>
      <c r="U149" s="14">
        <v>0</v>
      </c>
      <c r="V149" s="14">
        <v>1</v>
      </c>
      <c r="W149" s="14">
        <v>0</v>
      </c>
      <c r="X149" s="14">
        <v>4</v>
      </c>
      <c r="Y149" s="14">
        <v>0</v>
      </c>
      <c r="Z149" s="14">
        <v>0</v>
      </c>
      <c r="AA149" s="14">
        <v>0</v>
      </c>
      <c r="AB149" s="14">
        <v>0</v>
      </c>
      <c r="AC149" s="14">
        <v>0</v>
      </c>
      <c r="AD149" s="25">
        <v>0</v>
      </c>
      <c r="AE149" s="25">
        <v>0</v>
      </c>
      <c r="AF149" s="25">
        <v>0</v>
      </c>
      <c r="AG149" s="25">
        <v>0.31412894400000002</v>
      </c>
      <c r="AH149" s="25">
        <v>0.31952662700000001</v>
      </c>
      <c r="AI149" s="14" t="s">
        <v>1052</v>
      </c>
      <c r="AJ149" s="14" t="s">
        <v>33</v>
      </c>
    </row>
    <row r="150" spans="1:36" ht="15" customHeight="1" x14ac:dyDescent="0.25">
      <c r="A150" s="1">
        <v>10</v>
      </c>
      <c r="B150" s="14" t="s">
        <v>1883</v>
      </c>
      <c r="C150" s="14" t="s">
        <v>1986</v>
      </c>
      <c r="D150" s="14" t="s">
        <v>13</v>
      </c>
      <c r="E150" s="29" t="s">
        <v>1882</v>
      </c>
      <c r="F150" s="14">
        <v>134.21199999999999</v>
      </c>
      <c r="G150" s="14">
        <v>2</v>
      </c>
      <c r="H150" s="14">
        <v>6</v>
      </c>
      <c r="I150" s="14">
        <v>0</v>
      </c>
      <c r="J150" s="14">
        <v>6</v>
      </c>
      <c r="K150" s="14">
        <v>3</v>
      </c>
      <c r="L150" s="14">
        <v>0</v>
      </c>
      <c r="M150" s="14">
        <v>2</v>
      </c>
      <c r="N150" s="14">
        <v>2</v>
      </c>
      <c r="O150" s="14">
        <v>0</v>
      </c>
      <c r="P150" s="14">
        <v>0</v>
      </c>
      <c r="Q150" s="14">
        <v>0</v>
      </c>
      <c r="R150" s="14">
        <v>0</v>
      </c>
      <c r="S150" s="14">
        <v>0</v>
      </c>
      <c r="T150" s="14">
        <v>0</v>
      </c>
      <c r="U150" s="14">
        <v>0</v>
      </c>
      <c r="V150" s="14">
        <v>0</v>
      </c>
      <c r="W150" s="14">
        <v>0</v>
      </c>
      <c r="X150" s="14">
        <v>4</v>
      </c>
      <c r="Y150" s="14">
        <v>0</v>
      </c>
      <c r="Z150" s="14">
        <v>0</v>
      </c>
      <c r="AA150" s="14">
        <v>0</v>
      </c>
      <c r="AB150" s="14">
        <v>0</v>
      </c>
      <c r="AC150" s="14">
        <v>0</v>
      </c>
      <c r="AD150" s="25">
        <v>0</v>
      </c>
      <c r="AE150" s="25">
        <v>0</v>
      </c>
      <c r="AF150" s="25">
        <v>0</v>
      </c>
      <c r="AG150" s="25">
        <v>0.434911243</v>
      </c>
      <c r="AH150" s="25">
        <v>0.31952662700000001</v>
      </c>
      <c r="AI150" s="14" t="s">
        <v>1571</v>
      </c>
      <c r="AJ150" s="14" t="s">
        <v>33</v>
      </c>
    </row>
    <row r="151" spans="1:36" ht="15" customHeight="1" x14ac:dyDescent="0.25">
      <c r="A151" s="1">
        <v>11</v>
      </c>
      <c r="B151" s="14" t="s">
        <v>668</v>
      </c>
      <c r="C151" s="14" t="s">
        <v>427</v>
      </c>
      <c r="D151" s="14" t="s">
        <v>13</v>
      </c>
      <c r="E151" s="29" t="s">
        <v>183</v>
      </c>
      <c r="F151" s="14">
        <v>210.4</v>
      </c>
      <c r="G151" s="14">
        <v>2.8</v>
      </c>
      <c r="H151" s="14">
        <v>6</v>
      </c>
      <c r="I151" s="14">
        <v>0</v>
      </c>
      <c r="J151" s="14">
        <v>6</v>
      </c>
      <c r="K151" s="14">
        <v>3</v>
      </c>
      <c r="L151" s="14">
        <v>0</v>
      </c>
      <c r="M151" s="14">
        <v>6</v>
      </c>
      <c r="N151" s="14">
        <v>0</v>
      </c>
      <c r="O151" s="14">
        <v>0</v>
      </c>
      <c r="P151" s="14">
        <v>0</v>
      </c>
      <c r="Q151" s="14">
        <v>0</v>
      </c>
      <c r="R151" s="14">
        <v>0</v>
      </c>
      <c r="S151" s="14">
        <v>0</v>
      </c>
      <c r="T151" s="14">
        <v>0</v>
      </c>
      <c r="U151" s="14">
        <v>0</v>
      </c>
      <c r="V151" s="14">
        <v>3</v>
      </c>
      <c r="W151" s="14">
        <v>0</v>
      </c>
      <c r="X151" s="14">
        <v>3</v>
      </c>
      <c r="Y151" s="14">
        <v>0</v>
      </c>
      <c r="Z151" s="14">
        <v>0</v>
      </c>
      <c r="AA151" s="14">
        <v>0</v>
      </c>
      <c r="AB151" s="14">
        <v>0</v>
      </c>
      <c r="AC151" s="14">
        <v>0</v>
      </c>
      <c r="AD151" s="25">
        <v>0</v>
      </c>
      <c r="AE151" s="25">
        <v>0</v>
      </c>
      <c r="AF151" s="25">
        <v>0</v>
      </c>
      <c r="AG151" s="25">
        <v>0.45098039200000001</v>
      </c>
      <c r="AH151" s="25">
        <v>0.43518518499999997</v>
      </c>
      <c r="AI151" s="14" t="s">
        <v>1124</v>
      </c>
      <c r="AJ151" s="14" t="s">
        <v>33</v>
      </c>
    </row>
    <row r="152" spans="1:36" ht="15" customHeight="1" x14ac:dyDescent="0.25">
      <c r="A152" s="1">
        <v>12</v>
      </c>
      <c r="B152" s="14" t="s">
        <v>623</v>
      </c>
      <c r="C152" s="14" t="s">
        <v>487</v>
      </c>
      <c r="D152" s="14" t="s">
        <v>10</v>
      </c>
      <c r="E152" s="29" t="s">
        <v>211</v>
      </c>
      <c r="F152" s="14">
        <v>32.04</v>
      </c>
      <c r="G152" s="14">
        <v>3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1</v>
      </c>
      <c r="N152" s="14">
        <v>0</v>
      </c>
      <c r="O152" s="14">
        <v>1</v>
      </c>
      <c r="P152" s="14">
        <v>0</v>
      </c>
      <c r="Q152" s="14">
        <v>0</v>
      </c>
      <c r="R152" s="14">
        <v>0</v>
      </c>
      <c r="S152" s="14">
        <v>0</v>
      </c>
      <c r="T152" s="14">
        <v>0</v>
      </c>
      <c r="U152" s="14">
        <v>0</v>
      </c>
      <c r="V152" s="14">
        <v>0</v>
      </c>
      <c r="W152" s="14">
        <v>0</v>
      </c>
      <c r="X152" s="14">
        <v>0</v>
      </c>
      <c r="Y152" s="14">
        <v>0</v>
      </c>
      <c r="Z152" s="14">
        <v>0</v>
      </c>
      <c r="AA152" s="14">
        <v>0</v>
      </c>
      <c r="AB152" s="14">
        <v>0</v>
      </c>
      <c r="AC152" s="14">
        <v>0</v>
      </c>
      <c r="AD152" s="25">
        <v>0</v>
      </c>
      <c r="AE152" s="25">
        <v>0</v>
      </c>
      <c r="AF152" s="25">
        <v>0</v>
      </c>
      <c r="AG152" s="25">
        <v>0</v>
      </c>
      <c r="AH152" s="25">
        <v>0</v>
      </c>
      <c r="AI152" s="14" t="s">
        <v>1184</v>
      </c>
      <c r="AJ152" s="14" t="s">
        <v>33</v>
      </c>
    </row>
    <row r="153" spans="1:36" ht="15" customHeight="1" x14ac:dyDescent="0.25">
      <c r="A153" s="1">
        <v>14</v>
      </c>
      <c r="B153" s="14" t="s">
        <v>1879</v>
      </c>
      <c r="C153" s="14" t="s">
        <v>1987</v>
      </c>
      <c r="D153" s="14" t="s">
        <v>13</v>
      </c>
      <c r="E153" s="29" t="s">
        <v>145</v>
      </c>
      <c r="F153" s="14">
        <v>134.21199999999999</v>
      </c>
      <c r="G153" s="14">
        <v>4</v>
      </c>
      <c r="H153" s="14">
        <v>6</v>
      </c>
      <c r="I153" s="14">
        <v>0</v>
      </c>
      <c r="J153" s="14">
        <v>6</v>
      </c>
      <c r="K153" s="14">
        <v>3</v>
      </c>
      <c r="L153" s="14">
        <v>0</v>
      </c>
      <c r="M153" s="14">
        <v>3</v>
      </c>
      <c r="N153" s="14">
        <v>0</v>
      </c>
      <c r="O153" s="14">
        <v>0</v>
      </c>
      <c r="P153" s="14">
        <v>0</v>
      </c>
      <c r="Q153" s="14">
        <v>0</v>
      </c>
      <c r="R153" s="14">
        <v>0</v>
      </c>
      <c r="S153" s="14">
        <v>0</v>
      </c>
      <c r="T153" s="14">
        <v>0</v>
      </c>
      <c r="U153" s="14">
        <v>0</v>
      </c>
      <c r="V153" s="14">
        <v>1</v>
      </c>
      <c r="W153" s="14">
        <v>0</v>
      </c>
      <c r="X153" s="14">
        <v>4</v>
      </c>
      <c r="Y153" s="14">
        <v>0</v>
      </c>
      <c r="Z153" s="14">
        <v>0</v>
      </c>
      <c r="AA153" s="14">
        <v>0</v>
      </c>
      <c r="AB153" s="14">
        <v>0</v>
      </c>
      <c r="AC153" s="14">
        <v>0</v>
      </c>
      <c r="AD153" s="25">
        <v>0</v>
      </c>
      <c r="AE153" s="25">
        <v>0</v>
      </c>
      <c r="AF153" s="25">
        <v>0</v>
      </c>
      <c r="AG153" s="25">
        <v>0.434911243</v>
      </c>
      <c r="AH153" s="25">
        <v>0.31952662700000001</v>
      </c>
      <c r="AI153" s="14" t="s">
        <v>1571</v>
      </c>
      <c r="AJ153" s="14" t="s">
        <v>33</v>
      </c>
    </row>
    <row r="154" spans="1:36" ht="15" customHeight="1" x14ac:dyDescent="0.25">
      <c r="A154" s="1">
        <v>15</v>
      </c>
      <c r="B154" s="14" t="s">
        <v>659</v>
      </c>
      <c r="C154" s="14" t="s">
        <v>356</v>
      </c>
      <c r="D154" s="14" t="s">
        <v>13</v>
      </c>
      <c r="E154" s="29" t="s">
        <v>147</v>
      </c>
      <c r="F154" s="14">
        <v>162.27000000000001</v>
      </c>
      <c r="G154" s="14">
        <v>4.09</v>
      </c>
      <c r="H154" s="14">
        <v>6</v>
      </c>
      <c r="I154" s="14">
        <v>0</v>
      </c>
      <c r="J154" s="14">
        <v>6</v>
      </c>
      <c r="K154" s="14">
        <v>3</v>
      </c>
      <c r="L154" s="14">
        <v>0</v>
      </c>
      <c r="M154" s="14">
        <v>4</v>
      </c>
      <c r="N154" s="14">
        <v>0</v>
      </c>
      <c r="O154" s="14">
        <v>0</v>
      </c>
      <c r="P154" s="14">
        <v>0</v>
      </c>
      <c r="Q154" s="14">
        <v>0</v>
      </c>
      <c r="R154" s="14">
        <v>0</v>
      </c>
      <c r="S154" s="14">
        <v>0</v>
      </c>
      <c r="T154" s="14">
        <v>0</v>
      </c>
      <c r="U154" s="14">
        <v>0</v>
      </c>
      <c r="V154" s="14">
        <v>2</v>
      </c>
      <c r="W154" s="14">
        <v>0</v>
      </c>
      <c r="X154" s="14">
        <v>4</v>
      </c>
      <c r="Y154" s="14">
        <v>0</v>
      </c>
      <c r="Z154" s="14">
        <v>0</v>
      </c>
      <c r="AA154" s="14">
        <v>0</v>
      </c>
      <c r="AB154" s="14">
        <v>0</v>
      </c>
      <c r="AC154" s="14">
        <v>0</v>
      </c>
      <c r="AD154" s="25">
        <v>0</v>
      </c>
      <c r="AE154" s="25">
        <v>0</v>
      </c>
      <c r="AF154" s="25">
        <v>0</v>
      </c>
      <c r="AG154" s="25">
        <v>0.37086776900000001</v>
      </c>
      <c r="AH154" s="25">
        <v>0.38888888900000002</v>
      </c>
      <c r="AI154" s="14" t="s">
        <v>1049</v>
      </c>
      <c r="AJ154" s="14" t="s">
        <v>33</v>
      </c>
    </row>
    <row r="155" spans="1:36" ht="15" customHeight="1" x14ac:dyDescent="0.25">
      <c r="A155" s="1">
        <v>16</v>
      </c>
      <c r="B155" s="14" t="s">
        <v>903</v>
      </c>
      <c r="C155" s="14" t="s">
        <v>326</v>
      </c>
      <c r="D155" s="14" t="s">
        <v>12</v>
      </c>
      <c r="E155" s="29" t="s">
        <v>106</v>
      </c>
      <c r="F155" s="14">
        <v>224.42</v>
      </c>
      <c r="G155" s="14">
        <v>4.5</v>
      </c>
      <c r="H155" s="14">
        <v>0</v>
      </c>
      <c r="I155" s="14">
        <v>1</v>
      </c>
      <c r="J155" s="14">
        <v>0</v>
      </c>
      <c r="K155" s="14">
        <v>1</v>
      </c>
      <c r="L155" s="14">
        <v>3</v>
      </c>
      <c r="M155" s="14">
        <v>8</v>
      </c>
      <c r="N155" s="14">
        <v>3</v>
      </c>
      <c r="O155" s="14">
        <v>0</v>
      </c>
      <c r="P155" s="14">
        <v>0</v>
      </c>
      <c r="Q155" s="14">
        <v>0</v>
      </c>
      <c r="R155" s="14">
        <v>0</v>
      </c>
      <c r="S155" s="14">
        <v>0</v>
      </c>
      <c r="T155" s="14">
        <v>0</v>
      </c>
      <c r="U155" s="14">
        <v>0</v>
      </c>
      <c r="V155" s="14">
        <v>0</v>
      </c>
      <c r="W155" s="14">
        <v>0</v>
      </c>
      <c r="X155" s="14">
        <v>0</v>
      </c>
      <c r="Y155" s="14">
        <v>1</v>
      </c>
      <c r="Z155" s="14">
        <v>0</v>
      </c>
      <c r="AA155" s="14">
        <v>0</v>
      </c>
      <c r="AB155" s="14">
        <v>0</v>
      </c>
      <c r="AC155" s="14">
        <v>0</v>
      </c>
      <c r="AD155" s="25">
        <v>0</v>
      </c>
      <c r="AE155" s="25">
        <v>0</v>
      </c>
      <c r="AF155" s="25">
        <v>0</v>
      </c>
      <c r="AG155" s="25">
        <v>0.52314814799999998</v>
      </c>
      <c r="AH155" s="25">
        <v>0.560546875</v>
      </c>
      <c r="AI155" s="14" t="s">
        <v>1018</v>
      </c>
      <c r="AJ155" s="14" t="s">
        <v>33</v>
      </c>
    </row>
    <row r="156" spans="1:36" ht="15" customHeight="1" x14ac:dyDescent="0.25">
      <c r="A156" s="1">
        <v>17</v>
      </c>
      <c r="B156" s="14" t="s">
        <v>1590</v>
      </c>
      <c r="C156" s="14" t="s">
        <v>1988</v>
      </c>
      <c r="D156" s="14" t="s">
        <v>19</v>
      </c>
      <c r="E156" s="29" t="s">
        <v>90</v>
      </c>
      <c r="F156" s="14">
        <v>114.224</v>
      </c>
      <c r="G156" s="14">
        <v>4.9000000000000004</v>
      </c>
      <c r="H156" s="14">
        <v>0</v>
      </c>
      <c r="I156" s="14">
        <v>0</v>
      </c>
      <c r="J156" s="14">
        <v>0</v>
      </c>
      <c r="K156" s="14">
        <v>0</v>
      </c>
      <c r="L156" s="14">
        <v>1</v>
      </c>
      <c r="M156" s="14">
        <v>4</v>
      </c>
      <c r="N156" s="14">
        <v>3</v>
      </c>
      <c r="O156" s="14">
        <v>0</v>
      </c>
      <c r="P156" s="14">
        <v>0</v>
      </c>
      <c r="Q156" s="14">
        <v>0</v>
      </c>
      <c r="R156" s="14">
        <v>0</v>
      </c>
      <c r="S156" s="14">
        <v>0</v>
      </c>
      <c r="T156" s="14">
        <v>0</v>
      </c>
      <c r="U156" s="14">
        <v>0</v>
      </c>
      <c r="V156" s="14">
        <v>0</v>
      </c>
      <c r="W156" s="14">
        <v>0</v>
      </c>
      <c r="X156" s="14">
        <v>0</v>
      </c>
      <c r="Y156" s="14">
        <v>0</v>
      </c>
      <c r="Z156" s="14">
        <v>0</v>
      </c>
      <c r="AA156" s="14">
        <v>0</v>
      </c>
      <c r="AB156" s="14">
        <v>0</v>
      </c>
      <c r="AC156" s="14">
        <v>0</v>
      </c>
      <c r="AD156" s="25">
        <v>0</v>
      </c>
      <c r="AE156" s="25">
        <v>0</v>
      </c>
      <c r="AF156" s="25">
        <v>0</v>
      </c>
      <c r="AG156" s="25">
        <v>0.35714285699999998</v>
      </c>
      <c r="AH156" s="25">
        <v>0.35714285699999998</v>
      </c>
      <c r="AI156" s="14" t="s">
        <v>1571</v>
      </c>
      <c r="AJ156" s="14" t="s">
        <v>33</v>
      </c>
    </row>
    <row r="157" spans="1:36" ht="15" customHeight="1" x14ac:dyDescent="0.25">
      <c r="A157" s="1">
        <v>18</v>
      </c>
      <c r="B157" s="14" t="s">
        <v>623</v>
      </c>
      <c r="C157" s="14" t="s">
        <v>1421</v>
      </c>
      <c r="D157" s="14" t="s">
        <v>10</v>
      </c>
      <c r="E157" s="29" t="s">
        <v>1677</v>
      </c>
      <c r="F157" s="14">
        <v>32.042000000000002</v>
      </c>
      <c r="G157" s="14">
        <v>5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1</v>
      </c>
      <c r="N157" s="14">
        <v>0</v>
      </c>
      <c r="O157" s="14">
        <v>1</v>
      </c>
      <c r="P157" s="14">
        <v>0</v>
      </c>
      <c r="Q157" s="14">
        <v>0</v>
      </c>
      <c r="R157" s="14">
        <v>0</v>
      </c>
      <c r="S157" s="14">
        <v>0</v>
      </c>
      <c r="T157" s="14">
        <v>0</v>
      </c>
      <c r="U157" s="14">
        <v>0</v>
      </c>
      <c r="V157" s="14">
        <v>0</v>
      </c>
      <c r="W157" s="14">
        <v>0</v>
      </c>
      <c r="X157" s="14">
        <v>0</v>
      </c>
      <c r="Y157" s="14">
        <v>0</v>
      </c>
      <c r="Z157" s="14">
        <v>0</v>
      </c>
      <c r="AA157" s="14">
        <v>0</v>
      </c>
      <c r="AB157" s="14">
        <v>0</v>
      </c>
      <c r="AC157" s="14">
        <v>0</v>
      </c>
      <c r="AD157" s="25">
        <v>0</v>
      </c>
      <c r="AE157" s="25">
        <v>0</v>
      </c>
      <c r="AF157" s="25">
        <v>0</v>
      </c>
      <c r="AG157" s="25">
        <v>0</v>
      </c>
      <c r="AH157" s="25">
        <v>0</v>
      </c>
      <c r="AI157" s="14" t="s">
        <v>1571</v>
      </c>
      <c r="AJ157" s="14" t="s">
        <v>33</v>
      </c>
    </row>
    <row r="158" spans="1:36" ht="15" customHeight="1" x14ac:dyDescent="0.25">
      <c r="A158" s="1">
        <v>19</v>
      </c>
      <c r="B158" s="14" t="s">
        <v>1902</v>
      </c>
      <c r="C158" s="14" t="s">
        <v>1989</v>
      </c>
      <c r="D158" s="14" t="s">
        <v>1929</v>
      </c>
      <c r="E158" s="29" t="s">
        <v>229</v>
      </c>
      <c r="F158" s="14">
        <v>174.19200000000001</v>
      </c>
      <c r="G158" s="14">
        <v>5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2</v>
      </c>
      <c r="N158" s="14">
        <v>4</v>
      </c>
      <c r="O158" s="14">
        <v>0</v>
      </c>
      <c r="P158" s="14">
        <v>0</v>
      </c>
      <c r="Q158" s="14">
        <v>0</v>
      </c>
      <c r="R158" s="14">
        <v>0</v>
      </c>
      <c r="S158" s="14">
        <v>0</v>
      </c>
      <c r="T158" s="14">
        <v>0</v>
      </c>
      <c r="U158" s="14">
        <v>2</v>
      </c>
      <c r="V158" s="14">
        <v>0</v>
      </c>
      <c r="W158" s="14">
        <v>0</v>
      </c>
      <c r="X158" s="14">
        <v>0</v>
      </c>
      <c r="Y158" s="14">
        <v>0</v>
      </c>
      <c r="Z158" s="14">
        <v>0</v>
      </c>
      <c r="AA158" s="14">
        <v>0</v>
      </c>
      <c r="AB158" s="14">
        <v>0</v>
      </c>
      <c r="AC158" s="14">
        <v>0</v>
      </c>
      <c r="AD158" s="25">
        <v>0</v>
      </c>
      <c r="AE158" s="25">
        <v>0</v>
      </c>
      <c r="AF158" s="25">
        <v>0</v>
      </c>
      <c r="AG158" s="25">
        <v>0.51183431999999995</v>
      </c>
      <c r="AH158" s="25">
        <v>0.51183431999999995</v>
      </c>
      <c r="AI158" s="14" t="s">
        <v>1571</v>
      </c>
      <c r="AJ158" s="14" t="s">
        <v>33</v>
      </c>
    </row>
    <row r="159" spans="1:36" ht="15" customHeight="1" x14ac:dyDescent="0.25">
      <c r="A159" s="1">
        <v>20</v>
      </c>
      <c r="B159" s="14" t="s">
        <v>1688</v>
      </c>
      <c r="C159" s="14" t="s">
        <v>1429</v>
      </c>
      <c r="D159" s="14" t="s">
        <v>10</v>
      </c>
      <c r="E159" s="29" t="s">
        <v>58</v>
      </c>
      <c r="F159" s="14">
        <v>74.12</v>
      </c>
      <c r="G159" s="14">
        <v>5.6</v>
      </c>
      <c r="H159" s="14">
        <v>0</v>
      </c>
      <c r="I159" s="14">
        <v>0</v>
      </c>
      <c r="J159" s="14">
        <v>0</v>
      </c>
      <c r="K159" s="14">
        <v>0</v>
      </c>
      <c r="L159" s="14">
        <v>0</v>
      </c>
      <c r="M159" s="14">
        <v>3</v>
      </c>
      <c r="N159" s="14">
        <v>0</v>
      </c>
      <c r="O159" s="14">
        <v>1</v>
      </c>
      <c r="P159" s="14">
        <v>0</v>
      </c>
      <c r="Q159" s="14">
        <v>0</v>
      </c>
      <c r="R159" s="14">
        <v>0</v>
      </c>
      <c r="S159" s="14">
        <v>0</v>
      </c>
      <c r="T159" s="14">
        <v>0</v>
      </c>
      <c r="U159" s="14">
        <v>0</v>
      </c>
      <c r="V159" s="14">
        <v>0</v>
      </c>
      <c r="W159" s="14">
        <v>0</v>
      </c>
      <c r="X159" s="14">
        <v>0</v>
      </c>
      <c r="Y159" s="14">
        <v>0</v>
      </c>
      <c r="Z159" s="14">
        <v>0</v>
      </c>
      <c r="AA159" s="14">
        <v>0</v>
      </c>
      <c r="AB159" s="14">
        <v>0</v>
      </c>
      <c r="AC159" s="14">
        <v>0</v>
      </c>
      <c r="AD159" s="25">
        <v>1</v>
      </c>
      <c r="AE159" s="25">
        <v>0</v>
      </c>
      <c r="AF159" s="25">
        <v>0</v>
      </c>
      <c r="AG159" s="25">
        <v>0.13888888899999999</v>
      </c>
      <c r="AH159" s="25">
        <v>0</v>
      </c>
      <c r="AI159" s="14" t="s">
        <v>1571</v>
      </c>
      <c r="AJ159" s="14" t="s">
        <v>33</v>
      </c>
    </row>
    <row r="160" spans="1:36" ht="15" customHeight="1" x14ac:dyDescent="0.25">
      <c r="A160" s="1">
        <v>21</v>
      </c>
      <c r="B160" s="14" t="s">
        <v>653</v>
      </c>
      <c r="C160" s="14" t="s">
        <v>422</v>
      </c>
      <c r="D160" s="14" t="s">
        <v>13</v>
      </c>
      <c r="E160" s="29" t="s">
        <v>145</v>
      </c>
      <c r="F160" s="14">
        <v>134.22</v>
      </c>
      <c r="G160" s="14">
        <v>6</v>
      </c>
      <c r="H160" s="14">
        <v>6</v>
      </c>
      <c r="I160" s="14">
        <v>0</v>
      </c>
      <c r="J160" s="14">
        <v>6</v>
      </c>
      <c r="K160" s="14">
        <v>3</v>
      </c>
      <c r="L160" s="14">
        <v>0</v>
      </c>
      <c r="M160" s="14">
        <v>2</v>
      </c>
      <c r="N160" s="14">
        <v>1</v>
      </c>
      <c r="O160" s="14">
        <v>0</v>
      </c>
      <c r="P160" s="14">
        <v>0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1</v>
      </c>
      <c r="W160" s="14">
        <v>0</v>
      </c>
      <c r="X160" s="14">
        <v>5</v>
      </c>
      <c r="Y160" s="14">
        <v>0</v>
      </c>
      <c r="Z160" s="14">
        <v>0</v>
      </c>
      <c r="AA160" s="14">
        <v>0</v>
      </c>
      <c r="AB160" s="14">
        <v>0</v>
      </c>
      <c r="AC160" s="14">
        <v>0</v>
      </c>
      <c r="AD160" s="25">
        <v>0</v>
      </c>
      <c r="AE160" s="25">
        <v>0</v>
      </c>
      <c r="AF160" s="25">
        <v>0</v>
      </c>
      <c r="AG160" s="25">
        <v>0.436945266</v>
      </c>
      <c r="AH160" s="25">
        <v>0.35207100600000002</v>
      </c>
      <c r="AI160" s="14" t="s">
        <v>1120</v>
      </c>
      <c r="AJ160" s="14" t="s">
        <v>33</v>
      </c>
    </row>
    <row r="161" spans="1:36" ht="15" customHeight="1" x14ac:dyDescent="0.25">
      <c r="A161" s="1">
        <v>22</v>
      </c>
      <c r="B161" s="14" t="s">
        <v>1272</v>
      </c>
      <c r="C161" s="14" t="s">
        <v>1256</v>
      </c>
      <c r="D161" s="14" t="s">
        <v>13</v>
      </c>
      <c r="E161" s="29" t="s">
        <v>83</v>
      </c>
      <c r="F161" s="14">
        <v>184.2773546</v>
      </c>
      <c r="G161" s="14">
        <v>6</v>
      </c>
      <c r="H161" s="14">
        <v>10</v>
      </c>
      <c r="I161" s="14">
        <v>0</v>
      </c>
      <c r="J161" s="14">
        <v>10</v>
      </c>
      <c r="K161" s="14">
        <v>5</v>
      </c>
      <c r="L161" s="14">
        <v>0</v>
      </c>
      <c r="M161" s="14">
        <v>1</v>
      </c>
      <c r="N161" s="14">
        <v>3</v>
      </c>
      <c r="O161" s="14">
        <v>0</v>
      </c>
      <c r="P161" s="14">
        <v>0</v>
      </c>
      <c r="Q161" s="14">
        <v>0</v>
      </c>
      <c r="R161" s="14">
        <v>0</v>
      </c>
      <c r="S161" s="14">
        <v>0</v>
      </c>
      <c r="T161" s="14">
        <v>0</v>
      </c>
      <c r="U161" s="14">
        <v>0</v>
      </c>
      <c r="V161" s="14">
        <v>0</v>
      </c>
      <c r="W161" s="14">
        <v>0</v>
      </c>
      <c r="X161" s="14">
        <v>7</v>
      </c>
      <c r="Y161" s="14">
        <v>0</v>
      </c>
      <c r="Z161" s="14">
        <v>0</v>
      </c>
      <c r="AA161" s="14">
        <v>0</v>
      </c>
      <c r="AB161" s="14">
        <v>0</v>
      </c>
      <c r="AC161" s="14">
        <v>0</v>
      </c>
      <c r="AD161" s="25">
        <v>0</v>
      </c>
      <c r="AE161" s="25">
        <v>0</v>
      </c>
      <c r="AF161" s="25">
        <v>0</v>
      </c>
      <c r="AG161" s="25">
        <v>0.39565414199999999</v>
      </c>
      <c r="AH161" s="25">
        <v>0.41284949399999998</v>
      </c>
      <c r="AI161" s="14" t="s">
        <v>1306</v>
      </c>
      <c r="AJ161" s="14" t="s">
        <v>33</v>
      </c>
    </row>
    <row r="162" spans="1:36" ht="15" customHeight="1" x14ac:dyDescent="0.25">
      <c r="A162" s="1">
        <v>23</v>
      </c>
      <c r="B162" s="14" t="s">
        <v>1286</v>
      </c>
      <c r="C162" s="14" t="s">
        <v>1990</v>
      </c>
      <c r="D162" s="14" t="s">
        <v>13</v>
      </c>
      <c r="E162" s="29" t="s">
        <v>145</v>
      </c>
      <c r="F162" s="14">
        <v>134.21852949999999</v>
      </c>
      <c r="G162" s="14">
        <v>6</v>
      </c>
      <c r="H162" s="14">
        <v>6</v>
      </c>
      <c r="I162" s="14">
        <v>0</v>
      </c>
      <c r="J162" s="14">
        <v>6</v>
      </c>
      <c r="K162" s="14">
        <v>3</v>
      </c>
      <c r="L162" s="14">
        <v>0</v>
      </c>
      <c r="M162" s="14">
        <v>2</v>
      </c>
      <c r="N162" s="14">
        <v>1</v>
      </c>
      <c r="O162" s="14">
        <v>0</v>
      </c>
      <c r="P162" s="14">
        <v>0</v>
      </c>
      <c r="Q162" s="14">
        <v>0</v>
      </c>
      <c r="R162" s="14">
        <v>0</v>
      </c>
      <c r="S162" s="14">
        <v>0</v>
      </c>
      <c r="T162" s="14">
        <v>0</v>
      </c>
      <c r="U162" s="14">
        <v>0</v>
      </c>
      <c r="V162" s="14">
        <v>1</v>
      </c>
      <c r="W162" s="14">
        <v>0</v>
      </c>
      <c r="X162" s="14">
        <v>5</v>
      </c>
      <c r="Y162" s="14">
        <v>0</v>
      </c>
      <c r="Z162" s="14">
        <v>0</v>
      </c>
      <c r="AA162" s="14">
        <v>0</v>
      </c>
      <c r="AB162" s="14">
        <v>0</v>
      </c>
      <c r="AC162" s="14">
        <v>0</v>
      </c>
      <c r="AD162" s="25">
        <v>0</v>
      </c>
      <c r="AE162" s="25">
        <v>0</v>
      </c>
      <c r="AF162" s="25">
        <v>0</v>
      </c>
      <c r="AG162" s="25">
        <v>0.436945266</v>
      </c>
      <c r="AH162" s="25">
        <v>0.35207100600000002</v>
      </c>
      <c r="AI162" s="14" t="s">
        <v>1306</v>
      </c>
      <c r="AJ162" s="14" t="s">
        <v>33</v>
      </c>
    </row>
    <row r="163" spans="1:36" ht="15" customHeight="1" x14ac:dyDescent="0.25">
      <c r="A163" s="1">
        <v>28</v>
      </c>
      <c r="B163" s="14" t="s">
        <v>804</v>
      </c>
      <c r="C163" s="14" t="s">
        <v>373</v>
      </c>
      <c r="D163" s="14" t="s">
        <v>17</v>
      </c>
      <c r="E163" s="29" t="s">
        <v>156</v>
      </c>
      <c r="F163" s="14">
        <v>144.16999999999999</v>
      </c>
      <c r="G163" s="14">
        <v>6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2</v>
      </c>
      <c r="N163" s="14">
        <v>3</v>
      </c>
      <c r="O163" s="14">
        <v>0</v>
      </c>
      <c r="P163" s="14">
        <v>0</v>
      </c>
      <c r="Q163" s="14">
        <v>0</v>
      </c>
      <c r="R163" s="14">
        <v>1</v>
      </c>
      <c r="S163" s="14">
        <v>0</v>
      </c>
      <c r="T163" s="14">
        <v>0</v>
      </c>
      <c r="U163" s="14">
        <v>1</v>
      </c>
      <c r="V163" s="14">
        <v>0</v>
      </c>
      <c r="W163" s="14">
        <v>0</v>
      </c>
      <c r="X163" s="14">
        <v>0</v>
      </c>
      <c r="Y163" s="14">
        <v>0</v>
      </c>
      <c r="Z163" s="14">
        <v>0</v>
      </c>
      <c r="AA163" s="14">
        <v>0</v>
      </c>
      <c r="AB163" s="14">
        <v>0</v>
      </c>
      <c r="AC163" s="14">
        <v>0</v>
      </c>
      <c r="AD163" s="25">
        <v>0</v>
      </c>
      <c r="AE163" s="25">
        <v>0</v>
      </c>
      <c r="AF163" s="25">
        <v>0</v>
      </c>
      <c r="AG163" s="25">
        <v>0.46694214899999997</v>
      </c>
      <c r="AH163" s="25">
        <v>0.46694214899999997</v>
      </c>
      <c r="AI163" s="14" t="s">
        <v>1069</v>
      </c>
      <c r="AJ163" s="14" t="s">
        <v>33</v>
      </c>
    </row>
    <row r="164" spans="1:36" ht="15" customHeight="1" x14ac:dyDescent="0.25">
      <c r="A164" s="1">
        <v>29</v>
      </c>
      <c r="B164" s="14" t="s">
        <v>792</v>
      </c>
      <c r="C164" s="14" t="s">
        <v>1991</v>
      </c>
      <c r="D164" s="14" t="s">
        <v>17</v>
      </c>
      <c r="E164" s="29" t="s">
        <v>159</v>
      </c>
      <c r="F164" s="14">
        <v>126.15</v>
      </c>
      <c r="G164" s="14">
        <v>6</v>
      </c>
      <c r="H164" s="14">
        <v>0</v>
      </c>
      <c r="I164" s="14">
        <v>2</v>
      </c>
      <c r="J164" s="14">
        <v>0</v>
      </c>
      <c r="K164" s="14">
        <v>2</v>
      </c>
      <c r="L164" s="14">
        <v>0</v>
      </c>
      <c r="M164" s="14">
        <v>2</v>
      </c>
      <c r="N164" s="14">
        <v>0</v>
      </c>
      <c r="O164" s="14">
        <v>0</v>
      </c>
      <c r="P164" s="14">
        <v>0</v>
      </c>
      <c r="Q164" s="14">
        <v>0</v>
      </c>
      <c r="R164" s="14">
        <v>0</v>
      </c>
      <c r="S164" s="14">
        <v>0</v>
      </c>
      <c r="T164" s="14">
        <v>0</v>
      </c>
      <c r="U164" s="14">
        <v>1</v>
      </c>
      <c r="V164" s="14">
        <v>0</v>
      </c>
      <c r="W164" s="14">
        <v>4</v>
      </c>
      <c r="X164" s="14">
        <v>0</v>
      </c>
      <c r="Y164" s="14">
        <v>0</v>
      </c>
      <c r="Z164" s="14">
        <v>0</v>
      </c>
      <c r="AA164" s="14">
        <v>0</v>
      </c>
      <c r="AB164" s="14">
        <v>0</v>
      </c>
      <c r="AC164" s="14">
        <v>0</v>
      </c>
      <c r="AD164" s="25">
        <v>0</v>
      </c>
      <c r="AE164" s="25">
        <v>0</v>
      </c>
      <c r="AF164" s="25">
        <v>0</v>
      </c>
      <c r="AG164" s="25">
        <v>0.44674556199999998</v>
      </c>
      <c r="AH164" s="25">
        <v>0.47520661199999997</v>
      </c>
      <c r="AI164" s="14" t="s">
        <v>1074</v>
      </c>
      <c r="AJ164" s="14" t="s">
        <v>33</v>
      </c>
    </row>
    <row r="165" spans="1:36" ht="15" customHeight="1" x14ac:dyDescent="0.25">
      <c r="A165" s="1">
        <v>30</v>
      </c>
      <c r="B165" s="14" t="s">
        <v>1756</v>
      </c>
      <c r="C165" s="14" t="s">
        <v>1468</v>
      </c>
      <c r="D165" s="14" t="s">
        <v>1930</v>
      </c>
      <c r="E165" s="29" t="s">
        <v>1757</v>
      </c>
      <c r="F165" s="14">
        <v>144.166</v>
      </c>
      <c r="G165" s="14">
        <v>6</v>
      </c>
      <c r="H165" s="14">
        <v>0</v>
      </c>
      <c r="I165" s="14">
        <v>0</v>
      </c>
      <c r="J165" s="14">
        <v>0</v>
      </c>
      <c r="K165" s="14">
        <v>0</v>
      </c>
      <c r="L165" s="14">
        <v>0</v>
      </c>
      <c r="M165" s="14">
        <v>2</v>
      </c>
      <c r="N165" s="14">
        <v>3</v>
      </c>
      <c r="O165" s="14">
        <v>0</v>
      </c>
      <c r="P165" s="14">
        <v>0</v>
      </c>
      <c r="Q165" s="14">
        <v>0</v>
      </c>
      <c r="R165" s="14">
        <v>1</v>
      </c>
      <c r="S165" s="14">
        <v>0</v>
      </c>
      <c r="T165" s="14">
        <v>0</v>
      </c>
      <c r="U165" s="14">
        <v>1</v>
      </c>
      <c r="V165" s="14">
        <v>0</v>
      </c>
      <c r="W165" s="14">
        <v>0</v>
      </c>
      <c r="X165" s="14">
        <v>0</v>
      </c>
      <c r="Y165" s="14">
        <v>0</v>
      </c>
      <c r="Z165" s="14">
        <v>0</v>
      </c>
      <c r="AA165" s="14">
        <v>0</v>
      </c>
      <c r="AB165" s="14">
        <v>0</v>
      </c>
      <c r="AC165" s="14">
        <v>0</v>
      </c>
      <c r="AD165" s="25">
        <v>0</v>
      </c>
      <c r="AE165" s="25">
        <v>0</v>
      </c>
      <c r="AF165" s="25">
        <v>0</v>
      </c>
      <c r="AG165" s="25">
        <v>0.46694214899999997</v>
      </c>
      <c r="AH165" s="25">
        <v>0.46694214899999997</v>
      </c>
      <c r="AI165" s="14" t="s">
        <v>1571</v>
      </c>
      <c r="AJ165" s="14" t="s">
        <v>33</v>
      </c>
    </row>
    <row r="166" spans="1:36" ht="15" customHeight="1" x14ac:dyDescent="0.25">
      <c r="A166" s="1">
        <v>31</v>
      </c>
      <c r="B166" s="14" t="s">
        <v>1811</v>
      </c>
      <c r="C166" s="14" t="s">
        <v>1489</v>
      </c>
      <c r="D166" s="14" t="s">
        <v>1931</v>
      </c>
      <c r="E166" s="29" t="s">
        <v>1812</v>
      </c>
      <c r="F166" s="14">
        <v>126.15</v>
      </c>
      <c r="G166" s="14">
        <v>6</v>
      </c>
      <c r="H166" s="14">
        <v>0</v>
      </c>
      <c r="I166" s="14">
        <v>2</v>
      </c>
      <c r="J166" s="14">
        <v>0</v>
      </c>
      <c r="K166" s="14">
        <v>2</v>
      </c>
      <c r="L166" s="14">
        <v>0</v>
      </c>
      <c r="M166" s="14">
        <v>2</v>
      </c>
      <c r="N166" s="14">
        <v>0</v>
      </c>
      <c r="O166" s="14">
        <v>0</v>
      </c>
      <c r="P166" s="14">
        <v>0</v>
      </c>
      <c r="Q166" s="14">
        <v>0</v>
      </c>
      <c r="R166" s="14">
        <v>0</v>
      </c>
      <c r="S166" s="14">
        <v>0</v>
      </c>
      <c r="T166" s="14">
        <v>0</v>
      </c>
      <c r="U166" s="14">
        <v>1</v>
      </c>
      <c r="V166" s="14">
        <v>0</v>
      </c>
      <c r="W166" s="14">
        <v>4</v>
      </c>
      <c r="X166" s="14">
        <v>0</v>
      </c>
      <c r="Y166" s="14">
        <v>0</v>
      </c>
      <c r="Z166" s="14">
        <v>0</v>
      </c>
      <c r="AA166" s="14">
        <v>0</v>
      </c>
      <c r="AB166" s="14">
        <v>0</v>
      </c>
      <c r="AC166" s="14">
        <v>0</v>
      </c>
      <c r="AD166" s="25">
        <v>0</v>
      </c>
      <c r="AE166" s="25">
        <v>0</v>
      </c>
      <c r="AF166" s="25">
        <v>0</v>
      </c>
      <c r="AG166" s="25">
        <v>0.47520661199999997</v>
      </c>
      <c r="AH166" s="25">
        <v>0.47520661199999997</v>
      </c>
      <c r="AI166" s="14" t="s">
        <v>1571</v>
      </c>
      <c r="AJ166" s="14" t="s">
        <v>33</v>
      </c>
    </row>
    <row r="167" spans="1:36" ht="15" customHeight="1" x14ac:dyDescent="0.25">
      <c r="A167" s="1">
        <v>33</v>
      </c>
      <c r="B167" s="14" t="s">
        <v>1992</v>
      </c>
      <c r="C167" s="14" t="s">
        <v>1993</v>
      </c>
      <c r="D167" s="14" t="s">
        <v>13</v>
      </c>
      <c r="E167" s="29" t="s">
        <v>1864</v>
      </c>
      <c r="F167" s="14">
        <v>106.16</v>
      </c>
      <c r="G167" s="14">
        <v>6.2</v>
      </c>
      <c r="H167" s="14">
        <v>6</v>
      </c>
      <c r="I167" s="14">
        <v>0</v>
      </c>
      <c r="J167" s="14">
        <v>6</v>
      </c>
      <c r="K167" s="14">
        <v>3</v>
      </c>
      <c r="L167" s="14">
        <v>0</v>
      </c>
      <c r="M167" s="14">
        <v>2</v>
      </c>
      <c r="N167" s="14">
        <v>0</v>
      </c>
      <c r="O167" s="14">
        <v>0</v>
      </c>
      <c r="P167" s="14">
        <v>0</v>
      </c>
      <c r="Q167" s="14">
        <v>0</v>
      </c>
      <c r="R167" s="14">
        <v>0</v>
      </c>
      <c r="S167" s="14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4</v>
      </c>
      <c r="Y167" s="14">
        <v>0</v>
      </c>
      <c r="Z167" s="14">
        <v>0</v>
      </c>
      <c r="AA167" s="14">
        <v>0</v>
      </c>
      <c r="AB167" s="14">
        <v>0</v>
      </c>
      <c r="AC167" s="14">
        <v>0</v>
      </c>
      <c r="AD167" s="25">
        <v>0</v>
      </c>
      <c r="AE167" s="25">
        <v>0</v>
      </c>
      <c r="AF167" s="25">
        <v>0</v>
      </c>
      <c r="AG167" s="25">
        <v>0.38842975200000002</v>
      </c>
      <c r="AH167" s="25">
        <v>0.22727272700000001</v>
      </c>
      <c r="AI167" s="14" t="s">
        <v>1571</v>
      </c>
      <c r="AJ167" s="14" t="s">
        <v>33</v>
      </c>
    </row>
    <row r="168" spans="1:36" ht="15" customHeight="1" x14ac:dyDescent="0.25">
      <c r="A168" s="1">
        <v>38</v>
      </c>
      <c r="B168" s="14" t="s">
        <v>886</v>
      </c>
      <c r="C168" s="14" t="s">
        <v>367</v>
      </c>
      <c r="D168" s="14" t="s">
        <v>17</v>
      </c>
      <c r="E168" s="29" t="s">
        <v>152</v>
      </c>
      <c r="F168" s="14">
        <v>302.36</v>
      </c>
      <c r="G168" s="14">
        <v>6.7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3</v>
      </c>
      <c r="N168" s="14">
        <v>8</v>
      </c>
      <c r="O168" s="14">
        <v>0</v>
      </c>
      <c r="P168" s="14">
        <v>0</v>
      </c>
      <c r="Q168" s="14">
        <v>0</v>
      </c>
      <c r="R168" s="14">
        <v>0</v>
      </c>
      <c r="S168" s="14">
        <v>0</v>
      </c>
      <c r="T168" s="14">
        <v>0</v>
      </c>
      <c r="U168" s="14">
        <v>3</v>
      </c>
      <c r="V168" s="14">
        <v>1</v>
      </c>
      <c r="W168" s="14">
        <v>0</v>
      </c>
      <c r="X168" s="14">
        <v>0</v>
      </c>
      <c r="Y168" s="14">
        <v>0</v>
      </c>
      <c r="Z168" s="14">
        <v>0</v>
      </c>
      <c r="AA168" s="14">
        <v>0</v>
      </c>
      <c r="AB168" s="14">
        <v>0</v>
      </c>
      <c r="AC168" s="14">
        <v>0</v>
      </c>
      <c r="AD168" s="25">
        <v>0</v>
      </c>
      <c r="AE168" s="25">
        <v>0</v>
      </c>
      <c r="AF168" s="25">
        <v>0</v>
      </c>
      <c r="AG168" s="25">
        <v>0.58079999999999998</v>
      </c>
      <c r="AH168" s="25">
        <v>0.61436672999999997</v>
      </c>
      <c r="AI168" s="14" t="s">
        <v>1063</v>
      </c>
      <c r="AJ168" s="14" t="s">
        <v>33</v>
      </c>
    </row>
    <row r="169" spans="1:36" ht="15" customHeight="1" x14ac:dyDescent="0.25">
      <c r="A169" s="1">
        <v>39</v>
      </c>
      <c r="B169" s="14" t="s">
        <v>650</v>
      </c>
      <c r="C169" s="14" t="s">
        <v>541</v>
      </c>
      <c r="D169" s="14" t="s">
        <v>13</v>
      </c>
      <c r="E169" s="29" t="s">
        <v>68</v>
      </c>
      <c r="F169" s="14">
        <v>188.31</v>
      </c>
      <c r="G169" s="14">
        <v>7</v>
      </c>
      <c r="H169" s="14">
        <v>6</v>
      </c>
      <c r="I169" s="14">
        <v>0</v>
      </c>
      <c r="J169" s="14">
        <v>6</v>
      </c>
      <c r="K169" s="14">
        <v>3</v>
      </c>
      <c r="L169" s="14">
        <v>0</v>
      </c>
      <c r="M169" s="14">
        <v>2</v>
      </c>
      <c r="N169" s="14">
        <v>1</v>
      </c>
      <c r="O169" s="14">
        <v>0</v>
      </c>
      <c r="P169" s="14">
        <v>0</v>
      </c>
      <c r="Q169" s="14">
        <v>0</v>
      </c>
      <c r="R169" s="14">
        <v>0</v>
      </c>
      <c r="S169" s="14">
        <v>0</v>
      </c>
      <c r="T169" s="14">
        <v>0</v>
      </c>
      <c r="U169" s="14">
        <v>0</v>
      </c>
      <c r="V169" s="14">
        <v>1</v>
      </c>
      <c r="W169" s="14">
        <v>0</v>
      </c>
      <c r="X169" s="14">
        <v>4</v>
      </c>
      <c r="Y169" s="14">
        <v>0</v>
      </c>
      <c r="Z169" s="14">
        <v>1</v>
      </c>
      <c r="AA169" s="14">
        <v>3</v>
      </c>
      <c r="AB169" s="14">
        <v>0</v>
      </c>
      <c r="AC169" s="14">
        <v>0</v>
      </c>
      <c r="AD169" s="25">
        <v>0</v>
      </c>
      <c r="AE169" s="25">
        <v>0</v>
      </c>
      <c r="AF169" s="25">
        <v>0</v>
      </c>
      <c r="AG169" s="25">
        <v>0.47120000000000001</v>
      </c>
      <c r="AH169" s="25">
        <v>0.42438271599999999</v>
      </c>
      <c r="AI169" s="14" t="s">
        <v>1236</v>
      </c>
      <c r="AJ169" s="14" t="s">
        <v>33</v>
      </c>
    </row>
    <row r="170" spans="1:36" ht="15" customHeight="1" x14ac:dyDescent="0.25">
      <c r="A170" s="1">
        <v>40</v>
      </c>
      <c r="B170" s="14" t="s">
        <v>1287</v>
      </c>
      <c r="C170" s="14" t="s">
        <v>1994</v>
      </c>
      <c r="D170" s="14" t="s">
        <v>13</v>
      </c>
      <c r="E170" s="29" t="s">
        <v>68</v>
      </c>
      <c r="F170" s="14">
        <v>188.30911760000001</v>
      </c>
      <c r="G170" s="14">
        <v>7</v>
      </c>
      <c r="H170" s="14">
        <v>6</v>
      </c>
      <c r="I170" s="14">
        <v>0</v>
      </c>
      <c r="J170" s="14">
        <v>6</v>
      </c>
      <c r="K170" s="14">
        <v>3</v>
      </c>
      <c r="L170" s="14">
        <v>0</v>
      </c>
      <c r="M170" s="14">
        <v>2</v>
      </c>
      <c r="N170" s="14">
        <v>1</v>
      </c>
      <c r="O170" s="14">
        <v>0</v>
      </c>
      <c r="P170" s="14">
        <v>0</v>
      </c>
      <c r="Q170" s="14">
        <v>0</v>
      </c>
      <c r="R170" s="14">
        <v>0</v>
      </c>
      <c r="S170" s="14">
        <v>0</v>
      </c>
      <c r="T170" s="14">
        <v>0</v>
      </c>
      <c r="U170" s="14">
        <v>0</v>
      </c>
      <c r="V170" s="14">
        <v>1</v>
      </c>
      <c r="W170" s="14">
        <v>0</v>
      </c>
      <c r="X170" s="14">
        <v>4</v>
      </c>
      <c r="Y170" s="14">
        <v>0</v>
      </c>
      <c r="Z170" s="14">
        <v>1</v>
      </c>
      <c r="AA170" s="14">
        <v>3</v>
      </c>
      <c r="AB170" s="14">
        <v>0</v>
      </c>
      <c r="AC170" s="14">
        <v>0</v>
      </c>
      <c r="AD170" s="25">
        <v>0</v>
      </c>
      <c r="AE170" s="25">
        <v>0</v>
      </c>
      <c r="AF170" s="25">
        <v>0</v>
      </c>
      <c r="AG170" s="25">
        <v>0.471893491</v>
      </c>
      <c r="AH170" s="25">
        <v>0.42438271599999999</v>
      </c>
      <c r="AI170" s="14" t="s">
        <v>1306</v>
      </c>
      <c r="AJ170" s="14" t="s">
        <v>33</v>
      </c>
    </row>
    <row r="171" spans="1:36" ht="15" customHeight="1" x14ac:dyDescent="0.25">
      <c r="A171" s="1">
        <v>41</v>
      </c>
      <c r="B171" s="14" t="s">
        <v>1289</v>
      </c>
      <c r="C171" s="14" t="s">
        <v>1995</v>
      </c>
      <c r="D171" s="14" t="s">
        <v>13</v>
      </c>
      <c r="E171" s="29" t="s">
        <v>68</v>
      </c>
      <c r="F171" s="14">
        <v>188.30911760000001</v>
      </c>
      <c r="G171" s="14">
        <v>7</v>
      </c>
      <c r="H171" s="14">
        <v>6</v>
      </c>
      <c r="I171" s="14">
        <v>0</v>
      </c>
      <c r="J171" s="14">
        <v>6</v>
      </c>
      <c r="K171" s="14">
        <v>3</v>
      </c>
      <c r="L171" s="14">
        <v>0</v>
      </c>
      <c r="M171" s="14">
        <v>2</v>
      </c>
      <c r="N171" s="14">
        <v>1</v>
      </c>
      <c r="O171" s="14">
        <v>0</v>
      </c>
      <c r="P171" s="14">
        <v>0</v>
      </c>
      <c r="Q171" s="14">
        <v>0</v>
      </c>
      <c r="R171" s="14">
        <v>0</v>
      </c>
      <c r="S171" s="14">
        <v>0</v>
      </c>
      <c r="T171" s="14">
        <v>0</v>
      </c>
      <c r="U171" s="14">
        <v>0</v>
      </c>
      <c r="V171" s="14">
        <v>1</v>
      </c>
      <c r="W171" s="14">
        <v>0</v>
      </c>
      <c r="X171" s="14">
        <v>4</v>
      </c>
      <c r="Y171" s="14">
        <v>0</v>
      </c>
      <c r="Z171" s="14">
        <v>1</v>
      </c>
      <c r="AA171" s="14">
        <v>3</v>
      </c>
      <c r="AB171" s="14">
        <v>0</v>
      </c>
      <c r="AC171" s="14">
        <v>0</v>
      </c>
      <c r="AD171" s="25">
        <v>0</v>
      </c>
      <c r="AE171" s="25">
        <v>0</v>
      </c>
      <c r="AF171" s="25">
        <v>0</v>
      </c>
      <c r="AG171" s="25">
        <v>0.471893491</v>
      </c>
      <c r="AH171" s="25">
        <v>0.42438271599999999</v>
      </c>
      <c r="AI171" s="14" t="s">
        <v>1306</v>
      </c>
      <c r="AJ171" s="14" t="s">
        <v>33</v>
      </c>
    </row>
    <row r="172" spans="1:36" ht="15" customHeight="1" x14ac:dyDescent="0.25">
      <c r="A172" s="1">
        <v>42</v>
      </c>
      <c r="B172" s="14" t="s">
        <v>1996</v>
      </c>
      <c r="C172" s="14" t="s">
        <v>1997</v>
      </c>
      <c r="D172" s="14" t="s">
        <v>13</v>
      </c>
      <c r="E172" s="29" t="s">
        <v>1864</v>
      </c>
      <c r="F172" s="14">
        <v>106.16</v>
      </c>
      <c r="G172" s="14">
        <v>7</v>
      </c>
      <c r="H172" s="14">
        <v>6</v>
      </c>
      <c r="I172" s="14">
        <v>0</v>
      </c>
      <c r="J172" s="14">
        <v>6</v>
      </c>
      <c r="K172" s="14">
        <v>3</v>
      </c>
      <c r="L172" s="14">
        <v>0</v>
      </c>
      <c r="M172" s="14">
        <v>2</v>
      </c>
      <c r="N172" s="14">
        <v>0</v>
      </c>
      <c r="O172" s="14">
        <v>0</v>
      </c>
      <c r="P172" s="14">
        <v>0</v>
      </c>
      <c r="Q172" s="14">
        <v>0</v>
      </c>
      <c r="R172" s="14">
        <v>0</v>
      </c>
      <c r="S172" s="14">
        <v>0</v>
      </c>
      <c r="T172" s="14">
        <v>0</v>
      </c>
      <c r="U172" s="14">
        <v>0</v>
      </c>
      <c r="V172" s="14">
        <v>0</v>
      </c>
      <c r="W172" s="14">
        <v>0</v>
      </c>
      <c r="X172" s="14">
        <v>4</v>
      </c>
      <c r="Y172" s="14">
        <v>0</v>
      </c>
      <c r="Z172" s="14">
        <v>0</v>
      </c>
      <c r="AA172" s="14">
        <v>0</v>
      </c>
      <c r="AB172" s="14">
        <v>0</v>
      </c>
      <c r="AC172" s="14">
        <v>0</v>
      </c>
      <c r="AD172" s="25">
        <v>0</v>
      </c>
      <c r="AE172" s="25">
        <v>0</v>
      </c>
      <c r="AF172" s="25">
        <v>0</v>
      </c>
      <c r="AG172" s="25">
        <v>0.38842975200000002</v>
      </c>
      <c r="AH172" s="25">
        <v>0.25206611600000001</v>
      </c>
      <c r="AI172" s="14" t="s">
        <v>1571</v>
      </c>
      <c r="AJ172" s="14" t="s">
        <v>33</v>
      </c>
    </row>
    <row r="173" spans="1:36" ht="15" customHeight="1" x14ac:dyDescent="0.25">
      <c r="A173" s="1">
        <v>43</v>
      </c>
      <c r="B173" s="14" t="s">
        <v>1848</v>
      </c>
      <c r="C173" s="14" t="s">
        <v>1510</v>
      </c>
      <c r="D173" s="14" t="s">
        <v>1509</v>
      </c>
      <c r="E173" s="29" t="s">
        <v>1849</v>
      </c>
      <c r="F173" s="14">
        <v>68.072000000000003</v>
      </c>
      <c r="G173" s="14">
        <v>7</v>
      </c>
      <c r="H173" s="14">
        <v>5</v>
      </c>
      <c r="I173" s="14">
        <v>0</v>
      </c>
      <c r="J173" s="14">
        <v>4</v>
      </c>
      <c r="K173" s="14">
        <v>2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4">
        <v>1</v>
      </c>
      <c r="R173" s="14">
        <v>0</v>
      </c>
      <c r="S173" s="14">
        <v>0</v>
      </c>
      <c r="T173" s="14">
        <v>0</v>
      </c>
      <c r="U173" s="14">
        <v>0</v>
      </c>
      <c r="V173" s="14">
        <v>0</v>
      </c>
      <c r="W173" s="14">
        <v>0</v>
      </c>
      <c r="X173" s="14">
        <v>4</v>
      </c>
      <c r="Y173" s="14">
        <v>0</v>
      </c>
      <c r="Z173" s="14">
        <v>0</v>
      </c>
      <c r="AA173" s="14">
        <v>0</v>
      </c>
      <c r="AB173" s="14">
        <v>0</v>
      </c>
      <c r="AC173" s="14">
        <v>0</v>
      </c>
      <c r="AD173" s="25">
        <v>0</v>
      </c>
      <c r="AE173" s="25">
        <v>0</v>
      </c>
      <c r="AF173" s="25">
        <v>0</v>
      </c>
      <c r="AG173" s="25">
        <v>0.15432098799999999</v>
      </c>
      <c r="AH173" s="25">
        <v>0.08</v>
      </c>
      <c r="AI173" s="14" t="s">
        <v>1571</v>
      </c>
      <c r="AJ173" s="14" t="s">
        <v>33</v>
      </c>
    </row>
    <row r="174" spans="1:36" ht="15" customHeight="1" x14ac:dyDescent="0.25">
      <c r="A174" s="1">
        <v>44</v>
      </c>
      <c r="B174" s="14" t="s">
        <v>1843</v>
      </c>
      <c r="C174" s="14" t="s">
        <v>1506</v>
      </c>
      <c r="D174" s="14" t="s">
        <v>18</v>
      </c>
      <c r="E174" s="29" t="s">
        <v>1732</v>
      </c>
      <c r="F174" s="14">
        <v>122.16</v>
      </c>
      <c r="G174" s="14">
        <v>7.4</v>
      </c>
      <c r="H174" s="14">
        <v>6</v>
      </c>
      <c r="I174" s="14">
        <v>0</v>
      </c>
      <c r="J174" s="14">
        <v>6</v>
      </c>
      <c r="K174" s="14">
        <v>3</v>
      </c>
      <c r="L174" s="14">
        <v>0</v>
      </c>
      <c r="M174" s="14">
        <v>2</v>
      </c>
      <c r="N174" s="14">
        <v>0</v>
      </c>
      <c r="O174" s="14">
        <v>0</v>
      </c>
      <c r="P174" s="14">
        <v>1</v>
      </c>
      <c r="Q174" s="14">
        <v>0</v>
      </c>
      <c r="R174" s="14">
        <v>0</v>
      </c>
      <c r="S174" s="14">
        <v>0</v>
      </c>
      <c r="T174" s="14">
        <v>0</v>
      </c>
      <c r="U174" s="14">
        <v>0</v>
      </c>
      <c r="V174" s="14">
        <v>0</v>
      </c>
      <c r="W174" s="14">
        <v>0</v>
      </c>
      <c r="X174" s="14">
        <v>4</v>
      </c>
      <c r="Y174" s="14">
        <v>0</v>
      </c>
      <c r="Z174" s="14">
        <v>0</v>
      </c>
      <c r="AA174" s="14">
        <v>0</v>
      </c>
      <c r="AB174" s="14">
        <v>0</v>
      </c>
      <c r="AC174" s="14">
        <v>0</v>
      </c>
      <c r="AD174" s="25">
        <v>0</v>
      </c>
      <c r="AE174" s="25">
        <v>0</v>
      </c>
      <c r="AF174" s="25">
        <v>0</v>
      </c>
      <c r="AG174" s="25">
        <v>0.40277777799999998</v>
      </c>
      <c r="AH174" s="25">
        <v>0.27777777799999998</v>
      </c>
      <c r="AI174" s="14" t="s">
        <v>1571</v>
      </c>
      <c r="AJ174" s="14" t="s">
        <v>33</v>
      </c>
    </row>
    <row r="175" spans="1:36" ht="15" customHeight="1" x14ac:dyDescent="0.25">
      <c r="A175" s="1">
        <v>48</v>
      </c>
      <c r="B175" s="14" t="s">
        <v>879</v>
      </c>
      <c r="C175" s="14" t="s">
        <v>323</v>
      </c>
      <c r="D175" s="14" t="s">
        <v>13</v>
      </c>
      <c r="E175" s="29" t="s">
        <v>126</v>
      </c>
      <c r="F175" s="14">
        <v>174.28</v>
      </c>
      <c r="G175" s="14">
        <v>8</v>
      </c>
      <c r="H175" s="14">
        <v>6</v>
      </c>
      <c r="I175" s="14">
        <v>0</v>
      </c>
      <c r="J175" s="14">
        <v>6</v>
      </c>
      <c r="K175" s="14">
        <v>3</v>
      </c>
      <c r="L175" s="14">
        <v>0</v>
      </c>
      <c r="M175" s="14">
        <v>1</v>
      </c>
      <c r="N175" s="14">
        <v>2</v>
      </c>
      <c r="O175" s="14">
        <v>0</v>
      </c>
      <c r="P175" s="14">
        <v>0</v>
      </c>
      <c r="Q175" s="14">
        <v>0</v>
      </c>
      <c r="R175" s="14">
        <v>0</v>
      </c>
      <c r="S175" s="14">
        <v>0</v>
      </c>
      <c r="T175" s="14">
        <v>0</v>
      </c>
      <c r="U175" s="14">
        <v>0</v>
      </c>
      <c r="V175" s="14">
        <v>0</v>
      </c>
      <c r="W175" s="14">
        <v>0</v>
      </c>
      <c r="X175" s="14">
        <v>4</v>
      </c>
      <c r="Y175" s="14">
        <v>0</v>
      </c>
      <c r="Z175" s="14">
        <v>1</v>
      </c>
      <c r="AA175" s="14">
        <v>3</v>
      </c>
      <c r="AB175" s="14">
        <v>0</v>
      </c>
      <c r="AC175" s="14">
        <v>0</v>
      </c>
      <c r="AD175" s="25">
        <v>0</v>
      </c>
      <c r="AE175" s="25">
        <v>0</v>
      </c>
      <c r="AF175" s="25">
        <v>0</v>
      </c>
      <c r="AG175" s="25">
        <v>0.39100346000000002</v>
      </c>
      <c r="AH175" s="25">
        <v>0.39100346000000002</v>
      </c>
      <c r="AI175" s="14" t="s">
        <v>1015</v>
      </c>
      <c r="AJ175" s="14" t="s">
        <v>33</v>
      </c>
    </row>
    <row r="176" spans="1:36" ht="15" customHeight="1" x14ac:dyDescent="0.25">
      <c r="A176" s="1">
        <v>50</v>
      </c>
      <c r="B176" s="14" t="s">
        <v>1273</v>
      </c>
      <c r="C176" s="14" t="s">
        <v>1257</v>
      </c>
      <c r="D176" s="14" t="s">
        <v>13</v>
      </c>
      <c r="E176" s="29" t="s">
        <v>1558</v>
      </c>
      <c r="F176" s="14">
        <v>106.1652947</v>
      </c>
      <c r="G176" s="14">
        <v>8</v>
      </c>
      <c r="H176" s="14">
        <v>6</v>
      </c>
      <c r="I176" s="14">
        <v>0</v>
      </c>
      <c r="J176" s="14">
        <v>6</v>
      </c>
      <c r="K176" s="14">
        <v>3</v>
      </c>
      <c r="L176" s="14">
        <v>0</v>
      </c>
      <c r="M176" s="14">
        <v>2</v>
      </c>
      <c r="N176" s="14">
        <v>0</v>
      </c>
      <c r="O176" s="14">
        <v>0</v>
      </c>
      <c r="P176" s="14">
        <v>0</v>
      </c>
      <c r="Q176" s="14">
        <v>0</v>
      </c>
      <c r="R176" s="14">
        <v>0</v>
      </c>
      <c r="S176" s="14">
        <v>0</v>
      </c>
      <c r="T176" s="14">
        <v>0</v>
      </c>
      <c r="U176" s="14">
        <v>0</v>
      </c>
      <c r="V176" s="14">
        <v>0</v>
      </c>
      <c r="W176" s="14">
        <v>0</v>
      </c>
      <c r="X176" s="14">
        <v>4</v>
      </c>
      <c r="Y176" s="14">
        <v>0</v>
      </c>
      <c r="Z176" s="14">
        <v>0</v>
      </c>
      <c r="AA176" s="14">
        <v>0</v>
      </c>
      <c r="AB176" s="14">
        <v>0</v>
      </c>
      <c r="AC176" s="14">
        <v>0</v>
      </c>
      <c r="AD176" s="25">
        <v>0</v>
      </c>
      <c r="AE176" s="25">
        <v>0</v>
      </c>
      <c r="AF176" s="25">
        <v>0</v>
      </c>
      <c r="AG176" s="25">
        <v>0.237764792</v>
      </c>
      <c r="AH176" s="25">
        <v>0.23553719000000001</v>
      </c>
      <c r="AI176" s="14" t="s">
        <v>1306</v>
      </c>
      <c r="AJ176" s="14" t="s">
        <v>33</v>
      </c>
    </row>
    <row r="177" spans="1:36" ht="15" customHeight="1" x14ac:dyDescent="0.25">
      <c r="A177" s="1">
        <v>51</v>
      </c>
      <c r="B177" s="14" t="s">
        <v>1873</v>
      </c>
      <c r="C177" s="14" t="s">
        <v>1523</v>
      </c>
      <c r="D177" s="14" t="s">
        <v>13</v>
      </c>
      <c r="E177" s="29" t="s">
        <v>1872</v>
      </c>
      <c r="F177" s="14">
        <v>120.18600000000001</v>
      </c>
      <c r="G177" s="14">
        <v>8</v>
      </c>
      <c r="H177" s="14">
        <v>6</v>
      </c>
      <c r="I177" s="14">
        <v>0</v>
      </c>
      <c r="J177" s="14">
        <v>6</v>
      </c>
      <c r="K177" s="14">
        <v>3</v>
      </c>
      <c r="L177" s="14">
        <v>0</v>
      </c>
      <c r="M177" s="14">
        <v>3</v>
      </c>
      <c r="N177" s="14">
        <v>0</v>
      </c>
      <c r="O177" s="14">
        <v>0</v>
      </c>
      <c r="P177" s="14">
        <v>0</v>
      </c>
      <c r="Q177" s="14">
        <v>0</v>
      </c>
      <c r="R177" s="14">
        <v>0</v>
      </c>
      <c r="S177" s="14">
        <v>0</v>
      </c>
      <c r="T177" s="14">
        <v>0</v>
      </c>
      <c r="U177" s="14">
        <v>0</v>
      </c>
      <c r="V177" s="14">
        <v>0</v>
      </c>
      <c r="W177" s="14">
        <v>0</v>
      </c>
      <c r="X177" s="14">
        <v>3</v>
      </c>
      <c r="Y177" s="14">
        <v>0</v>
      </c>
      <c r="Z177" s="14">
        <v>0</v>
      </c>
      <c r="AA177" s="14">
        <v>0</v>
      </c>
      <c r="AB177" s="14">
        <v>0</v>
      </c>
      <c r="AC177" s="14">
        <v>0</v>
      </c>
      <c r="AD177" s="25">
        <v>0</v>
      </c>
      <c r="AE177" s="25">
        <v>0</v>
      </c>
      <c r="AF177" s="25">
        <v>0</v>
      </c>
      <c r="AG177" s="25">
        <v>0.41666666699999999</v>
      </c>
      <c r="AH177" s="25">
        <v>0.29166666699999999</v>
      </c>
      <c r="AI177" s="14" t="s">
        <v>1571</v>
      </c>
      <c r="AJ177" s="14" t="s">
        <v>33</v>
      </c>
    </row>
    <row r="178" spans="1:36" ht="15" customHeight="1" x14ac:dyDescent="0.25">
      <c r="A178" s="1">
        <v>53</v>
      </c>
      <c r="B178" s="14" t="s">
        <v>1731</v>
      </c>
      <c r="C178" s="14" t="s">
        <v>1453</v>
      </c>
      <c r="D178" s="14" t="s">
        <v>1932</v>
      </c>
      <c r="E178" s="29" t="s">
        <v>1732</v>
      </c>
      <c r="F178" s="14">
        <v>122.16</v>
      </c>
      <c r="G178" s="14">
        <v>8</v>
      </c>
      <c r="H178" s="14">
        <v>6</v>
      </c>
      <c r="I178" s="14">
        <v>0</v>
      </c>
      <c r="J178" s="14">
        <v>6</v>
      </c>
      <c r="K178" s="14">
        <v>3</v>
      </c>
      <c r="L178" s="14">
        <v>0</v>
      </c>
      <c r="M178" s="14">
        <v>0</v>
      </c>
      <c r="N178" s="14">
        <v>2</v>
      </c>
      <c r="O178" s="14">
        <v>1</v>
      </c>
      <c r="P178" s="14">
        <v>0</v>
      </c>
      <c r="Q178" s="14">
        <v>0</v>
      </c>
      <c r="R178" s="14">
        <v>0</v>
      </c>
      <c r="S178" s="14">
        <v>0</v>
      </c>
      <c r="T178" s="14">
        <v>0</v>
      </c>
      <c r="U178" s="14">
        <v>0</v>
      </c>
      <c r="V178" s="14">
        <v>0</v>
      </c>
      <c r="W178" s="14">
        <v>0</v>
      </c>
      <c r="X178" s="14">
        <v>5</v>
      </c>
      <c r="Y178" s="14">
        <v>0</v>
      </c>
      <c r="Z178" s="14">
        <v>0</v>
      </c>
      <c r="AA178" s="14">
        <v>0</v>
      </c>
      <c r="AB178" s="14">
        <v>1</v>
      </c>
      <c r="AC178" s="14">
        <v>0</v>
      </c>
      <c r="AD178" s="25">
        <v>0</v>
      </c>
      <c r="AE178" s="25">
        <v>0</v>
      </c>
      <c r="AF178" s="25">
        <v>0</v>
      </c>
      <c r="AG178" s="25">
        <v>0.41319444399999999</v>
      </c>
      <c r="AH178" s="25">
        <v>0.28819444399999999</v>
      </c>
      <c r="AI178" s="14" t="s">
        <v>1571</v>
      </c>
      <c r="AJ178" s="14" t="s">
        <v>33</v>
      </c>
    </row>
    <row r="179" spans="1:36" ht="15" customHeight="1" x14ac:dyDescent="0.25">
      <c r="A179" s="1">
        <v>54</v>
      </c>
      <c r="B179" s="14" t="s">
        <v>1889</v>
      </c>
      <c r="C179" s="14" t="s">
        <v>1532</v>
      </c>
      <c r="D179" s="14" t="s">
        <v>13</v>
      </c>
      <c r="E179" s="29" t="s">
        <v>1890</v>
      </c>
      <c r="F179" s="14">
        <v>198.25200000000001</v>
      </c>
      <c r="G179" s="14">
        <v>8.1</v>
      </c>
      <c r="H179" s="14">
        <v>12</v>
      </c>
      <c r="I179" s="14">
        <v>0</v>
      </c>
      <c r="J179" s="14">
        <v>12</v>
      </c>
      <c r="K179" s="14">
        <v>6</v>
      </c>
      <c r="L179" s="14">
        <v>0</v>
      </c>
      <c r="M179" s="14">
        <v>0</v>
      </c>
      <c r="N179" s="14">
        <v>2</v>
      </c>
      <c r="O179" s="14">
        <v>0</v>
      </c>
      <c r="P179" s="14">
        <v>1</v>
      </c>
      <c r="Q179" s="14">
        <v>0</v>
      </c>
      <c r="R179" s="14">
        <v>0</v>
      </c>
      <c r="S179" s="14">
        <v>0</v>
      </c>
      <c r="T179" s="14">
        <v>0</v>
      </c>
      <c r="U179" s="14">
        <v>0</v>
      </c>
      <c r="V179" s="14">
        <v>0</v>
      </c>
      <c r="W179" s="14">
        <v>0</v>
      </c>
      <c r="X179" s="14">
        <v>10</v>
      </c>
      <c r="Y179" s="14">
        <v>0</v>
      </c>
      <c r="Z179" s="14">
        <v>0</v>
      </c>
      <c r="AA179" s="14">
        <v>0</v>
      </c>
      <c r="AB179" s="14">
        <v>0</v>
      </c>
      <c r="AC179" s="14">
        <v>0</v>
      </c>
      <c r="AD179" s="25">
        <v>0</v>
      </c>
      <c r="AE179" s="25">
        <v>0</v>
      </c>
      <c r="AF179" s="25">
        <v>0</v>
      </c>
      <c r="AG179" s="25">
        <v>0.47135416699999999</v>
      </c>
      <c r="AH179" s="25">
        <v>0.517561983</v>
      </c>
      <c r="AI179" s="14" t="s">
        <v>1571</v>
      </c>
      <c r="AJ179" s="14" t="s">
        <v>33</v>
      </c>
    </row>
    <row r="180" spans="1:36" ht="15" customHeight="1" x14ac:dyDescent="0.25">
      <c r="A180" s="1">
        <v>55</v>
      </c>
      <c r="B180" s="14" t="s">
        <v>798</v>
      </c>
      <c r="C180" s="14" t="s">
        <v>276</v>
      </c>
      <c r="D180" s="14" t="s">
        <v>21</v>
      </c>
      <c r="E180" s="29" t="s">
        <v>82</v>
      </c>
      <c r="F180" s="14">
        <v>198.26</v>
      </c>
      <c r="G180" s="14">
        <v>8.1</v>
      </c>
      <c r="H180" s="14">
        <v>12</v>
      </c>
      <c r="I180" s="14">
        <v>0</v>
      </c>
      <c r="J180" s="14">
        <v>12</v>
      </c>
      <c r="K180" s="14">
        <v>6</v>
      </c>
      <c r="L180" s="14">
        <v>0</v>
      </c>
      <c r="M180" s="14">
        <v>0</v>
      </c>
      <c r="N180" s="14">
        <v>2</v>
      </c>
      <c r="O180" s="14">
        <v>0</v>
      </c>
      <c r="P180" s="14">
        <v>1</v>
      </c>
      <c r="Q180" s="14">
        <v>0</v>
      </c>
      <c r="R180" s="14">
        <v>0</v>
      </c>
      <c r="S180" s="14">
        <v>0</v>
      </c>
      <c r="T180" s="14">
        <v>0</v>
      </c>
      <c r="U180" s="14">
        <v>0</v>
      </c>
      <c r="V180" s="14">
        <v>0</v>
      </c>
      <c r="W180" s="14">
        <v>0</v>
      </c>
      <c r="X180" s="14">
        <v>10</v>
      </c>
      <c r="Y180" s="14">
        <v>0</v>
      </c>
      <c r="Z180" s="14">
        <v>0</v>
      </c>
      <c r="AA180" s="14">
        <v>0</v>
      </c>
      <c r="AB180" s="14">
        <v>0</v>
      </c>
      <c r="AC180" s="14">
        <v>0</v>
      </c>
      <c r="AD180" s="25">
        <v>0</v>
      </c>
      <c r="AE180" s="25">
        <v>0</v>
      </c>
      <c r="AF180" s="25">
        <v>0</v>
      </c>
      <c r="AG180" s="25">
        <v>0.48046875</v>
      </c>
      <c r="AH180" s="25">
        <v>0.517561983</v>
      </c>
      <c r="AI180" s="14" t="s">
        <v>963</v>
      </c>
      <c r="AJ180" s="14" t="s">
        <v>33</v>
      </c>
    </row>
    <row r="181" spans="1:36" ht="15" customHeight="1" x14ac:dyDescent="0.25">
      <c r="A181" s="1">
        <v>56</v>
      </c>
      <c r="B181" s="14" t="s">
        <v>1998</v>
      </c>
      <c r="C181" s="14" t="s">
        <v>1518</v>
      </c>
      <c r="D181" s="1" t="s">
        <v>13</v>
      </c>
      <c r="E181" s="29" t="s">
        <v>1864</v>
      </c>
      <c r="F181" s="14">
        <v>106.16</v>
      </c>
      <c r="G181" s="14">
        <v>8.3000000000000007</v>
      </c>
      <c r="H181" s="14">
        <v>6</v>
      </c>
      <c r="I181" s="14">
        <v>0</v>
      </c>
      <c r="J181" s="14">
        <v>6</v>
      </c>
      <c r="K181" s="14">
        <v>3</v>
      </c>
      <c r="L181" s="14">
        <v>0</v>
      </c>
      <c r="M181" s="14">
        <v>2</v>
      </c>
      <c r="N181" s="14">
        <v>0</v>
      </c>
      <c r="O181" s="14">
        <v>0</v>
      </c>
      <c r="P181" s="14">
        <v>0</v>
      </c>
      <c r="Q181" s="14">
        <v>0</v>
      </c>
      <c r="R181" s="14">
        <v>0</v>
      </c>
      <c r="S181" s="14">
        <v>0</v>
      </c>
      <c r="T181" s="14">
        <v>0</v>
      </c>
      <c r="U181" s="14">
        <v>0</v>
      </c>
      <c r="V181" s="14">
        <v>0</v>
      </c>
      <c r="W181" s="14">
        <v>0</v>
      </c>
      <c r="X181" s="14">
        <v>4</v>
      </c>
      <c r="Y181" s="14">
        <v>0</v>
      </c>
      <c r="Z181" s="14">
        <v>0</v>
      </c>
      <c r="AA181" s="14">
        <v>0</v>
      </c>
      <c r="AB181" s="14">
        <v>0</v>
      </c>
      <c r="AC181" s="14">
        <v>0</v>
      </c>
      <c r="AD181" s="25">
        <v>0</v>
      </c>
      <c r="AE181" s="25">
        <v>0</v>
      </c>
      <c r="AF181" s="25">
        <v>0</v>
      </c>
      <c r="AG181" s="25">
        <v>0.35459183700000002</v>
      </c>
      <c r="AH181" s="25">
        <v>0.23553719000000001</v>
      </c>
      <c r="AI181" s="14" t="s">
        <v>1571</v>
      </c>
      <c r="AJ181" s="14" t="s">
        <v>33</v>
      </c>
    </row>
    <row r="182" spans="1:36" ht="15" customHeight="1" x14ac:dyDescent="0.25">
      <c r="A182" s="1">
        <v>58</v>
      </c>
      <c r="B182" s="14" t="s">
        <v>1682</v>
      </c>
      <c r="C182" s="14" t="s">
        <v>1426</v>
      </c>
      <c r="D182" s="1" t="s">
        <v>10</v>
      </c>
      <c r="E182" s="29" t="s">
        <v>58</v>
      </c>
      <c r="F182" s="14">
        <v>74.12</v>
      </c>
      <c r="G182" s="14">
        <v>8.5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2</v>
      </c>
      <c r="N182" s="14">
        <v>1</v>
      </c>
      <c r="O182" s="14">
        <v>1</v>
      </c>
      <c r="P182" s="14">
        <v>0</v>
      </c>
      <c r="Q182" s="14">
        <v>0</v>
      </c>
      <c r="R182" s="14">
        <v>0</v>
      </c>
      <c r="S182" s="14">
        <v>0</v>
      </c>
      <c r="T182" s="14">
        <v>0</v>
      </c>
      <c r="U182" s="14">
        <v>0</v>
      </c>
      <c r="V182" s="14">
        <v>1</v>
      </c>
      <c r="W182" s="14">
        <v>0</v>
      </c>
      <c r="X182" s="14">
        <v>0</v>
      </c>
      <c r="Y182" s="14">
        <v>0</v>
      </c>
      <c r="Z182" s="14">
        <v>0</v>
      </c>
      <c r="AA182" s="14">
        <v>0</v>
      </c>
      <c r="AB182" s="14">
        <v>0</v>
      </c>
      <c r="AC182" s="14">
        <v>1</v>
      </c>
      <c r="AD182" s="25">
        <v>0</v>
      </c>
      <c r="AE182" s="25">
        <v>0</v>
      </c>
      <c r="AF182" s="25">
        <v>0</v>
      </c>
      <c r="AG182" s="25">
        <v>0.21875</v>
      </c>
      <c r="AH182" s="25">
        <v>0.21875</v>
      </c>
      <c r="AI182" s="14" t="s">
        <v>1571</v>
      </c>
      <c r="AJ182" s="14" t="s">
        <v>33</v>
      </c>
    </row>
    <row r="183" spans="1:36" ht="15" customHeight="1" x14ac:dyDescent="0.25">
      <c r="A183" s="1">
        <v>59</v>
      </c>
      <c r="B183" s="14" t="s">
        <v>1685</v>
      </c>
      <c r="C183" s="14" t="s">
        <v>1427</v>
      </c>
      <c r="D183" s="14" t="s">
        <v>10</v>
      </c>
      <c r="E183" s="29" t="s">
        <v>58</v>
      </c>
      <c r="F183" s="14">
        <v>58.12</v>
      </c>
      <c r="G183" s="14">
        <v>8.5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2</v>
      </c>
      <c r="N183" s="14">
        <v>1</v>
      </c>
      <c r="O183" s="14">
        <v>1</v>
      </c>
      <c r="P183" s="14">
        <v>0</v>
      </c>
      <c r="Q183" s="14">
        <v>0</v>
      </c>
      <c r="R183" s="14">
        <v>0</v>
      </c>
      <c r="S183" s="14">
        <v>0</v>
      </c>
      <c r="T183" s="14">
        <v>0</v>
      </c>
      <c r="U183" s="14">
        <v>0</v>
      </c>
      <c r="V183" s="14">
        <v>1</v>
      </c>
      <c r="W183" s="14">
        <v>0</v>
      </c>
      <c r="X183" s="14">
        <v>0</v>
      </c>
      <c r="Y183" s="14">
        <v>0</v>
      </c>
      <c r="Z183" s="14">
        <v>0</v>
      </c>
      <c r="AA183" s="14">
        <v>0</v>
      </c>
      <c r="AB183" s="14">
        <v>1</v>
      </c>
      <c r="AC183" s="14">
        <v>0</v>
      </c>
      <c r="AD183" s="25">
        <v>0</v>
      </c>
      <c r="AE183" s="25">
        <v>0</v>
      </c>
      <c r="AF183" s="25">
        <v>0</v>
      </c>
      <c r="AG183" s="25">
        <v>0.21875</v>
      </c>
      <c r="AH183" s="25">
        <v>0.21875</v>
      </c>
      <c r="AI183" s="14" t="s">
        <v>1571</v>
      </c>
      <c r="AJ183" s="14" t="s">
        <v>33</v>
      </c>
    </row>
    <row r="184" spans="1:36" ht="15" customHeight="1" x14ac:dyDescent="0.25">
      <c r="A184" s="1">
        <v>60</v>
      </c>
      <c r="B184" s="14" t="s">
        <v>648</v>
      </c>
      <c r="C184" s="14" t="s">
        <v>1410</v>
      </c>
      <c r="D184" s="14" t="s">
        <v>12</v>
      </c>
      <c r="E184" s="29" t="s">
        <v>1615</v>
      </c>
      <c r="F184" s="14">
        <v>112.208</v>
      </c>
      <c r="G184" s="14">
        <v>8.5</v>
      </c>
      <c r="H184" s="14">
        <v>0</v>
      </c>
      <c r="I184" s="14">
        <v>1</v>
      </c>
      <c r="J184" s="14">
        <v>0</v>
      </c>
      <c r="K184" s="14">
        <v>1</v>
      </c>
      <c r="L184" s="14">
        <v>1</v>
      </c>
      <c r="M184" s="14">
        <v>4</v>
      </c>
      <c r="N184" s="14">
        <v>1</v>
      </c>
      <c r="O184" s="14">
        <v>0</v>
      </c>
      <c r="P184" s="14">
        <v>0</v>
      </c>
      <c r="Q184" s="14">
        <v>0</v>
      </c>
      <c r="R184" s="14">
        <v>0</v>
      </c>
      <c r="S184" s="14">
        <v>0</v>
      </c>
      <c r="T184" s="14">
        <v>0</v>
      </c>
      <c r="U184" s="14">
        <v>0</v>
      </c>
      <c r="V184" s="14">
        <v>0</v>
      </c>
      <c r="W184" s="14">
        <v>0</v>
      </c>
      <c r="X184" s="14">
        <v>0</v>
      </c>
      <c r="Y184" s="14">
        <v>1</v>
      </c>
      <c r="Z184" s="14">
        <v>0</v>
      </c>
      <c r="AA184" s="14">
        <v>0</v>
      </c>
      <c r="AB184" s="14">
        <v>0</v>
      </c>
      <c r="AC184" s="14">
        <v>0</v>
      </c>
      <c r="AD184" s="25">
        <v>0</v>
      </c>
      <c r="AE184" s="25">
        <v>0</v>
      </c>
      <c r="AF184" s="25">
        <v>0</v>
      </c>
      <c r="AG184" s="25">
        <v>0.37152777799999998</v>
      </c>
      <c r="AH184" s="25">
        <v>0.3671875</v>
      </c>
      <c r="AI184" s="14" t="s">
        <v>1571</v>
      </c>
      <c r="AJ184" s="14" t="s">
        <v>33</v>
      </c>
    </row>
    <row r="185" spans="1:36" ht="15" customHeight="1" x14ac:dyDescent="0.25">
      <c r="A185" s="1">
        <v>61</v>
      </c>
      <c r="B185" s="14" t="s">
        <v>1868</v>
      </c>
      <c r="C185" s="14" t="s">
        <v>1999</v>
      </c>
      <c r="D185" s="14" t="s">
        <v>13</v>
      </c>
      <c r="E185" s="29" t="s">
        <v>1869</v>
      </c>
      <c r="F185" s="14">
        <v>118.17</v>
      </c>
      <c r="G185" s="14">
        <v>8.6</v>
      </c>
      <c r="H185" s="14">
        <v>6</v>
      </c>
      <c r="I185" s="14">
        <v>0</v>
      </c>
      <c r="J185" s="14">
        <v>6</v>
      </c>
      <c r="K185" s="14">
        <v>3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4">
        <v>0</v>
      </c>
      <c r="R185" s="14">
        <v>0</v>
      </c>
      <c r="S185" s="14">
        <v>0</v>
      </c>
      <c r="T185" s="14">
        <v>0</v>
      </c>
      <c r="U185" s="14">
        <v>0</v>
      </c>
      <c r="V185" s="14">
        <v>0</v>
      </c>
      <c r="W185" s="14">
        <v>0</v>
      </c>
      <c r="X185" s="14">
        <v>4</v>
      </c>
      <c r="Y185" s="14">
        <v>0</v>
      </c>
      <c r="Z185" s="14">
        <v>0</v>
      </c>
      <c r="AA185" s="14">
        <v>3</v>
      </c>
      <c r="AB185" s="14">
        <v>0</v>
      </c>
      <c r="AC185" s="14">
        <v>0</v>
      </c>
      <c r="AD185" s="25">
        <v>0</v>
      </c>
      <c r="AE185" s="25">
        <v>0</v>
      </c>
      <c r="AF185" s="25">
        <v>0</v>
      </c>
      <c r="AG185" s="25">
        <v>0.363905325</v>
      </c>
      <c r="AH185" s="25">
        <v>0.24852071000000001</v>
      </c>
      <c r="AI185" s="14" t="s">
        <v>1571</v>
      </c>
      <c r="AJ185" s="14" t="s">
        <v>33</v>
      </c>
    </row>
    <row r="186" spans="1:36" ht="15" customHeight="1" x14ac:dyDescent="0.25">
      <c r="A186" s="1">
        <v>62</v>
      </c>
      <c r="B186" s="14" t="s">
        <v>1737</v>
      </c>
      <c r="C186" s="14" t="s">
        <v>1456</v>
      </c>
      <c r="D186" s="14" t="s">
        <v>1932</v>
      </c>
      <c r="E186" s="29" t="s">
        <v>1738</v>
      </c>
      <c r="F186" s="14">
        <v>136.18600000000001</v>
      </c>
      <c r="G186" s="14">
        <v>8.6</v>
      </c>
      <c r="H186" s="14">
        <v>6</v>
      </c>
      <c r="I186" s="14">
        <v>0</v>
      </c>
      <c r="J186" s="14">
        <v>6</v>
      </c>
      <c r="K186" s="14">
        <v>3</v>
      </c>
      <c r="L186" s="14">
        <v>0</v>
      </c>
      <c r="M186" s="14">
        <v>1</v>
      </c>
      <c r="N186" s="14">
        <v>2</v>
      </c>
      <c r="O186" s="14">
        <v>1</v>
      </c>
      <c r="P186" s="14">
        <v>0</v>
      </c>
      <c r="Q186" s="14">
        <v>0</v>
      </c>
      <c r="R186" s="14">
        <v>0</v>
      </c>
      <c r="S186" s="14">
        <v>0</v>
      </c>
      <c r="T186" s="14">
        <v>0</v>
      </c>
      <c r="U186" s="14">
        <v>0</v>
      </c>
      <c r="V186" s="14">
        <v>0</v>
      </c>
      <c r="W186" s="14">
        <v>0</v>
      </c>
      <c r="X186" s="14">
        <v>4</v>
      </c>
      <c r="Y186" s="14">
        <v>0</v>
      </c>
      <c r="Z186" s="14">
        <v>0</v>
      </c>
      <c r="AA186" s="14">
        <v>0</v>
      </c>
      <c r="AB186" s="14">
        <v>0</v>
      </c>
      <c r="AC186" s="14">
        <v>0</v>
      </c>
      <c r="AD186" s="25">
        <v>0</v>
      </c>
      <c r="AE186" s="25">
        <v>1</v>
      </c>
      <c r="AF186" s="25">
        <v>0</v>
      </c>
      <c r="AG186" s="25">
        <v>0.42091836700000002</v>
      </c>
      <c r="AH186" s="25">
        <v>0.32840236699999997</v>
      </c>
      <c r="AI186" s="14" t="s">
        <v>1571</v>
      </c>
      <c r="AJ186" s="14" t="s">
        <v>33</v>
      </c>
    </row>
    <row r="187" spans="1:36" ht="15" customHeight="1" x14ac:dyDescent="0.25">
      <c r="A187" s="1">
        <v>63</v>
      </c>
      <c r="B187" s="14" t="s">
        <v>658</v>
      </c>
      <c r="C187" s="14" t="s">
        <v>249</v>
      </c>
      <c r="D187" s="14" t="s">
        <v>13</v>
      </c>
      <c r="E187" s="29" t="s">
        <v>56</v>
      </c>
      <c r="F187" s="14">
        <v>132.19999999999999</v>
      </c>
      <c r="G187" s="14">
        <v>8.9</v>
      </c>
      <c r="H187" s="14">
        <v>6</v>
      </c>
      <c r="I187" s="14">
        <v>0</v>
      </c>
      <c r="J187" s="14">
        <v>6</v>
      </c>
      <c r="K187" s="14">
        <v>3</v>
      </c>
      <c r="L187" s="14">
        <v>0</v>
      </c>
      <c r="M187" s="14">
        <v>0</v>
      </c>
      <c r="N187" s="14">
        <v>0</v>
      </c>
      <c r="O187" s="14">
        <v>0</v>
      </c>
      <c r="P187" s="14">
        <v>0</v>
      </c>
      <c r="Q187" s="14">
        <v>0</v>
      </c>
      <c r="R187" s="14">
        <v>0</v>
      </c>
      <c r="S187" s="14">
        <v>0</v>
      </c>
      <c r="T187" s="14">
        <v>0</v>
      </c>
      <c r="U187" s="14">
        <v>0</v>
      </c>
      <c r="V187" s="14">
        <v>0</v>
      </c>
      <c r="W187" s="14">
        <v>0</v>
      </c>
      <c r="X187" s="14">
        <v>4</v>
      </c>
      <c r="Y187" s="14">
        <v>0</v>
      </c>
      <c r="Z187" s="14">
        <v>0</v>
      </c>
      <c r="AA187" s="14">
        <v>4</v>
      </c>
      <c r="AB187" s="14">
        <v>0</v>
      </c>
      <c r="AC187" s="14">
        <v>0</v>
      </c>
      <c r="AD187" s="25">
        <v>0</v>
      </c>
      <c r="AE187" s="25">
        <v>0</v>
      </c>
      <c r="AF187" s="25">
        <v>0</v>
      </c>
      <c r="AG187" s="25">
        <v>0.29003906299999999</v>
      </c>
      <c r="AH187" s="25">
        <v>0.303571429</v>
      </c>
      <c r="AI187" s="14" t="s">
        <v>932</v>
      </c>
      <c r="AJ187" s="14" t="s">
        <v>33</v>
      </c>
    </row>
    <row r="188" spans="1:36" ht="15" customHeight="1" x14ac:dyDescent="0.25">
      <c r="A188" s="1">
        <v>65</v>
      </c>
      <c r="B188" s="14" t="s">
        <v>1877</v>
      </c>
      <c r="C188" s="14" t="s">
        <v>2000</v>
      </c>
      <c r="D188" s="14" t="s">
        <v>13</v>
      </c>
      <c r="E188" s="29" t="s">
        <v>56</v>
      </c>
      <c r="F188" s="14">
        <v>132.196</v>
      </c>
      <c r="G188" s="14">
        <v>8.9</v>
      </c>
      <c r="H188" s="14">
        <v>12</v>
      </c>
      <c r="I188" s="14">
        <v>0</v>
      </c>
      <c r="J188" s="14">
        <v>12</v>
      </c>
      <c r="K188" s="14">
        <v>6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4">
        <v>0</v>
      </c>
      <c r="R188" s="14">
        <v>0</v>
      </c>
      <c r="S188" s="14">
        <v>0</v>
      </c>
      <c r="T188" s="14">
        <v>0</v>
      </c>
      <c r="U188" s="14">
        <v>0</v>
      </c>
      <c r="V188" s="14">
        <v>0</v>
      </c>
      <c r="W188" s="14">
        <v>0</v>
      </c>
      <c r="X188" s="14">
        <v>8</v>
      </c>
      <c r="Y188" s="14">
        <v>0</v>
      </c>
      <c r="Z188" s="14">
        <v>0</v>
      </c>
      <c r="AA188" s="14">
        <v>8</v>
      </c>
      <c r="AB188" s="14">
        <v>0</v>
      </c>
      <c r="AC188" s="14">
        <v>0</v>
      </c>
      <c r="AD188" s="25">
        <v>0</v>
      </c>
      <c r="AE188" s="25">
        <v>0</v>
      </c>
      <c r="AF188" s="25">
        <v>0</v>
      </c>
      <c r="AG188" s="25">
        <v>0.53032104599999996</v>
      </c>
      <c r="AH188" s="25">
        <v>0.56122448999999996</v>
      </c>
      <c r="AI188" s="14" t="s">
        <v>1571</v>
      </c>
      <c r="AJ188" s="14" t="s">
        <v>33</v>
      </c>
    </row>
    <row r="189" spans="1:36" ht="15" customHeight="1" x14ac:dyDescent="0.25">
      <c r="A189" s="1">
        <v>66</v>
      </c>
      <c r="B189" s="14" t="s">
        <v>665</v>
      </c>
      <c r="C189" s="14" t="s">
        <v>322</v>
      </c>
      <c r="D189" s="14" t="s">
        <v>13</v>
      </c>
      <c r="E189" s="29" t="s">
        <v>125</v>
      </c>
      <c r="F189" s="14">
        <v>148.24</v>
      </c>
      <c r="G189" s="14">
        <v>9</v>
      </c>
      <c r="H189" s="14">
        <v>6</v>
      </c>
      <c r="I189" s="14">
        <v>0</v>
      </c>
      <c r="J189" s="14">
        <v>6</v>
      </c>
      <c r="K189" s="14">
        <v>3</v>
      </c>
      <c r="L189" s="14">
        <v>0</v>
      </c>
      <c r="M189" s="14">
        <v>1</v>
      </c>
      <c r="N189" s="14">
        <v>4</v>
      </c>
      <c r="O189" s="14">
        <v>0</v>
      </c>
      <c r="P189" s="14">
        <v>0</v>
      </c>
      <c r="Q189" s="14">
        <v>0</v>
      </c>
      <c r="R189" s="14">
        <v>0</v>
      </c>
      <c r="S189" s="14">
        <v>0</v>
      </c>
      <c r="T189" s="14">
        <v>0</v>
      </c>
      <c r="U189" s="14">
        <v>0</v>
      </c>
      <c r="V189" s="14">
        <v>0</v>
      </c>
      <c r="W189" s="14">
        <v>0</v>
      </c>
      <c r="X189" s="14">
        <v>5</v>
      </c>
      <c r="Y189" s="14">
        <v>0</v>
      </c>
      <c r="Z189" s="14">
        <v>0</v>
      </c>
      <c r="AA189" s="14">
        <v>0</v>
      </c>
      <c r="AB189" s="14">
        <v>0</v>
      </c>
      <c r="AC189" s="14">
        <v>0</v>
      </c>
      <c r="AD189" s="25">
        <v>0</v>
      </c>
      <c r="AE189" s="25">
        <v>0</v>
      </c>
      <c r="AF189" s="25">
        <v>0</v>
      </c>
      <c r="AG189" s="25">
        <v>0.36418685099999998</v>
      </c>
      <c r="AH189" s="25">
        <v>0.380102041</v>
      </c>
      <c r="AI189" s="14" t="s">
        <v>1014</v>
      </c>
      <c r="AJ189" s="14" t="s">
        <v>33</v>
      </c>
    </row>
    <row r="190" spans="1:36" ht="15" customHeight="1" x14ac:dyDescent="0.25">
      <c r="A190" s="1">
        <v>67</v>
      </c>
      <c r="B190" s="14" t="s">
        <v>869</v>
      </c>
      <c r="C190" s="14" t="s">
        <v>357</v>
      </c>
      <c r="D190" s="14" t="s">
        <v>13</v>
      </c>
      <c r="E190" s="29" t="s">
        <v>145</v>
      </c>
      <c r="F190" s="14">
        <v>134.22</v>
      </c>
      <c r="G190" s="14">
        <v>9</v>
      </c>
      <c r="H190" s="14">
        <v>6</v>
      </c>
      <c r="I190" s="14">
        <v>0</v>
      </c>
      <c r="J190" s="14">
        <v>6</v>
      </c>
      <c r="K190" s="14">
        <v>3</v>
      </c>
      <c r="L190" s="14">
        <v>0</v>
      </c>
      <c r="M190" s="14">
        <v>2</v>
      </c>
      <c r="N190" s="14">
        <v>2</v>
      </c>
      <c r="O190" s="14">
        <v>0</v>
      </c>
      <c r="P190" s="14">
        <v>0</v>
      </c>
      <c r="Q190" s="14">
        <v>0</v>
      </c>
      <c r="R190" s="14">
        <v>0</v>
      </c>
      <c r="S190" s="14">
        <v>0</v>
      </c>
      <c r="T190" s="14">
        <v>0</v>
      </c>
      <c r="U190" s="14">
        <v>0</v>
      </c>
      <c r="V190" s="14">
        <v>0</v>
      </c>
      <c r="W190" s="14">
        <v>0</v>
      </c>
      <c r="X190" s="14">
        <v>4</v>
      </c>
      <c r="Y190" s="14">
        <v>0</v>
      </c>
      <c r="Z190" s="14">
        <v>0</v>
      </c>
      <c r="AA190" s="14">
        <v>0</v>
      </c>
      <c r="AB190" s="14">
        <v>0</v>
      </c>
      <c r="AC190" s="14">
        <v>0</v>
      </c>
      <c r="AD190" s="25">
        <v>0</v>
      </c>
      <c r="AE190" s="25">
        <v>0</v>
      </c>
      <c r="AF190" s="25">
        <v>0</v>
      </c>
      <c r="AG190" s="25">
        <v>0.29814880700000002</v>
      </c>
      <c r="AH190" s="25">
        <v>0.31360946699999998</v>
      </c>
      <c r="AI190" s="14" t="s">
        <v>1050</v>
      </c>
      <c r="AJ190" s="14" t="s">
        <v>33</v>
      </c>
    </row>
    <row r="191" spans="1:36" ht="15" customHeight="1" x14ac:dyDescent="0.25">
      <c r="A191" s="1">
        <v>69</v>
      </c>
      <c r="B191" s="14" t="s">
        <v>588</v>
      </c>
      <c r="C191" s="14" t="s">
        <v>446</v>
      </c>
      <c r="D191" s="14" t="s">
        <v>19</v>
      </c>
      <c r="E191" s="29" t="s">
        <v>77</v>
      </c>
      <c r="F191" s="14">
        <v>170.33</v>
      </c>
      <c r="G191" s="14">
        <v>9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7</v>
      </c>
      <c r="N191" s="14">
        <v>0</v>
      </c>
      <c r="O191" s="14">
        <v>0</v>
      </c>
      <c r="P191" s="14">
        <v>0</v>
      </c>
      <c r="Q191" s="14">
        <v>0</v>
      </c>
      <c r="R191" s="14">
        <v>0</v>
      </c>
      <c r="S191" s="14">
        <v>0</v>
      </c>
      <c r="T191" s="14">
        <v>0</v>
      </c>
      <c r="U191" s="14">
        <v>0</v>
      </c>
      <c r="V191" s="14">
        <v>5</v>
      </c>
      <c r="W191" s="14">
        <v>0</v>
      </c>
      <c r="X191" s="14">
        <v>0</v>
      </c>
      <c r="Y191" s="14">
        <v>0</v>
      </c>
      <c r="Z191" s="14">
        <v>0</v>
      </c>
      <c r="AA191" s="14">
        <v>0</v>
      </c>
      <c r="AB191" s="14">
        <v>0</v>
      </c>
      <c r="AC191" s="14">
        <v>0</v>
      </c>
      <c r="AD191" s="25">
        <v>0</v>
      </c>
      <c r="AE191" s="25">
        <v>0</v>
      </c>
      <c r="AF191" s="25">
        <v>0</v>
      </c>
      <c r="AG191" s="25">
        <v>0.46694214899999997</v>
      </c>
      <c r="AH191" s="25">
        <v>0.46694214899999997</v>
      </c>
      <c r="AI191" s="14" t="s">
        <v>1142</v>
      </c>
      <c r="AJ191" s="14" t="s">
        <v>33</v>
      </c>
    </row>
    <row r="192" spans="1:36" ht="15" customHeight="1" x14ac:dyDescent="0.25">
      <c r="A192" s="1">
        <v>70</v>
      </c>
      <c r="B192" s="14" t="s">
        <v>587</v>
      </c>
      <c r="C192" s="14" t="s">
        <v>514</v>
      </c>
      <c r="D192" s="14" t="s">
        <v>19</v>
      </c>
      <c r="E192" s="29" t="s">
        <v>77</v>
      </c>
      <c r="F192" s="14">
        <v>170.33</v>
      </c>
      <c r="G192" s="14">
        <v>9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7</v>
      </c>
      <c r="N192" s="14">
        <v>2</v>
      </c>
      <c r="O192" s="14">
        <v>0</v>
      </c>
      <c r="P192" s="14">
        <v>0</v>
      </c>
      <c r="Q192" s="14">
        <v>0</v>
      </c>
      <c r="R192" s="14">
        <v>0</v>
      </c>
      <c r="S192" s="14">
        <v>0</v>
      </c>
      <c r="T192" s="14">
        <v>0</v>
      </c>
      <c r="U192" s="14">
        <v>0</v>
      </c>
      <c r="V192" s="14">
        <v>1</v>
      </c>
      <c r="W192" s="14">
        <v>0</v>
      </c>
      <c r="X192" s="14">
        <v>0</v>
      </c>
      <c r="Y192" s="14">
        <v>0</v>
      </c>
      <c r="Z192" s="14">
        <v>0</v>
      </c>
      <c r="AA192" s="14">
        <v>0</v>
      </c>
      <c r="AB192" s="14">
        <v>0</v>
      </c>
      <c r="AC192" s="14">
        <v>0</v>
      </c>
      <c r="AD192" s="25">
        <v>0</v>
      </c>
      <c r="AE192" s="25">
        <v>0</v>
      </c>
      <c r="AF192" s="25">
        <v>0</v>
      </c>
      <c r="AG192" s="25">
        <v>0.46875</v>
      </c>
      <c r="AH192" s="25">
        <v>0.483471074</v>
      </c>
      <c r="AI192" s="14" t="s">
        <v>1209</v>
      </c>
      <c r="AJ192" s="14" t="s">
        <v>33</v>
      </c>
    </row>
    <row r="193" spans="1:36" ht="15" customHeight="1" x14ac:dyDescent="0.25">
      <c r="A193" s="1">
        <v>72</v>
      </c>
      <c r="B193" s="14" t="s">
        <v>1332</v>
      </c>
      <c r="C193" s="14" t="s">
        <v>2001</v>
      </c>
      <c r="D193" s="14" t="s">
        <v>7</v>
      </c>
      <c r="E193" s="29" t="s">
        <v>77</v>
      </c>
      <c r="F193" s="14">
        <v>170.33529039999999</v>
      </c>
      <c r="G193" s="14">
        <v>9</v>
      </c>
      <c r="H193" s="14">
        <v>0</v>
      </c>
      <c r="I193" s="14">
        <v>0</v>
      </c>
      <c r="J193" s="14">
        <v>0</v>
      </c>
      <c r="K193" s="14">
        <v>0</v>
      </c>
      <c r="L193" s="14">
        <v>0</v>
      </c>
      <c r="M193" s="14">
        <v>7</v>
      </c>
      <c r="N193" s="14">
        <v>0</v>
      </c>
      <c r="O193" s="14">
        <v>0</v>
      </c>
      <c r="P193" s="14">
        <v>0</v>
      </c>
      <c r="Q193" s="14">
        <v>0</v>
      </c>
      <c r="R193" s="14">
        <v>0</v>
      </c>
      <c r="S193" s="14">
        <v>0</v>
      </c>
      <c r="T193" s="14">
        <v>0</v>
      </c>
      <c r="U193" s="14">
        <v>0</v>
      </c>
      <c r="V193" s="14">
        <v>5</v>
      </c>
      <c r="W193" s="14">
        <v>0</v>
      </c>
      <c r="X193" s="14">
        <v>0</v>
      </c>
      <c r="Y193" s="14">
        <v>0</v>
      </c>
      <c r="Z193" s="14">
        <v>0</v>
      </c>
      <c r="AA193" s="14">
        <v>0</v>
      </c>
      <c r="AB193" s="14">
        <v>0</v>
      </c>
      <c r="AC193" s="14">
        <v>0</v>
      </c>
      <c r="AD193" s="25">
        <v>0</v>
      </c>
      <c r="AE193" s="25">
        <v>0</v>
      </c>
      <c r="AF193" s="25">
        <v>0</v>
      </c>
      <c r="AG193" s="25">
        <v>0.46694214899999997</v>
      </c>
      <c r="AH193" s="25">
        <v>0.46694214899999997</v>
      </c>
      <c r="AI193" s="14" t="s">
        <v>1306</v>
      </c>
      <c r="AJ193" s="14" t="s">
        <v>33</v>
      </c>
    </row>
    <row r="194" spans="1:36" ht="15" customHeight="1" x14ac:dyDescent="0.25">
      <c r="A194" s="1">
        <v>73</v>
      </c>
      <c r="B194" s="14" t="s">
        <v>1333</v>
      </c>
      <c r="C194" s="14" t="s">
        <v>2002</v>
      </c>
      <c r="D194" s="14" t="s">
        <v>7</v>
      </c>
      <c r="E194" s="29" t="s">
        <v>77</v>
      </c>
      <c r="F194" s="14">
        <v>170.33529039999999</v>
      </c>
      <c r="G194" s="14">
        <v>9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7</v>
      </c>
      <c r="N194" s="14">
        <v>0</v>
      </c>
      <c r="O194" s="14">
        <v>0</v>
      </c>
      <c r="P194" s="14">
        <v>0</v>
      </c>
      <c r="Q194" s="14">
        <v>0</v>
      </c>
      <c r="R194" s="14">
        <v>0</v>
      </c>
      <c r="S194" s="14">
        <v>0</v>
      </c>
      <c r="T194" s="14">
        <v>0</v>
      </c>
      <c r="U194" s="14">
        <v>0</v>
      </c>
      <c r="V194" s="14">
        <v>5</v>
      </c>
      <c r="W194" s="14">
        <v>0</v>
      </c>
      <c r="X194" s="14">
        <v>0</v>
      </c>
      <c r="Y194" s="14">
        <v>0</v>
      </c>
      <c r="Z194" s="14">
        <v>0</v>
      </c>
      <c r="AA194" s="14">
        <v>0</v>
      </c>
      <c r="AB194" s="14">
        <v>0</v>
      </c>
      <c r="AC194" s="14">
        <v>0</v>
      </c>
      <c r="AD194" s="25">
        <v>0</v>
      </c>
      <c r="AE194" s="25">
        <v>0</v>
      </c>
      <c r="AF194" s="25">
        <v>0</v>
      </c>
      <c r="AG194" s="25">
        <v>0.46694214899999997</v>
      </c>
      <c r="AH194" s="25">
        <v>0.46694214899999997</v>
      </c>
      <c r="AI194" s="14" t="s">
        <v>1306</v>
      </c>
      <c r="AJ194" s="14" t="s">
        <v>33</v>
      </c>
    </row>
    <row r="195" spans="1:36" ht="15" customHeight="1" x14ac:dyDescent="0.25">
      <c r="A195" s="1">
        <v>75</v>
      </c>
      <c r="B195" s="14" t="s">
        <v>796</v>
      </c>
      <c r="C195" s="14" t="s">
        <v>275</v>
      </c>
      <c r="D195" s="14" t="s">
        <v>21</v>
      </c>
      <c r="E195" s="29" t="s">
        <v>81</v>
      </c>
      <c r="F195" s="14">
        <v>86.13</v>
      </c>
      <c r="G195" s="14">
        <v>9.1</v>
      </c>
      <c r="H195" s="14">
        <v>5</v>
      </c>
      <c r="I195" s="14">
        <v>0</v>
      </c>
      <c r="J195" s="14">
        <v>4</v>
      </c>
      <c r="K195" s="14">
        <v>2</v>
      </c>
      <c r="L195" s="14">
        <v>0</v>
      </c>
      <c r="M195" s="14">
        <v>1</v>
      </c>
      <c r="N195" s="14">
        <v>0</v>
      </c>
      <c r="O195" s="14">
        <v>0</v>
      </c>
      <c r="P195" s="14">
        <v>0</v>
      </c>
      <c r="Q195" s="14">
        <v>1</v>
      </c>
      <c r="R195" s="14">
        <v>0</v>
      </c>
      <c r="S195" s="14">
        <v>0</v>
      </c>
      <c r="T195" s="14">
        <v>0</v>
      </c>
      <c r="U195" s="14">
        <v>0</v>
      </c>
      <c r="V195" s="14">
        <v>0</v>
      </c>
      <c r="W195" s="14">
        <v>0</v>
      </c>
      <c r="X195" s="14">
        <v>3</v>
      </c>
      <c r="Y195" s="14">
        <v>0</v>
      </c>
      <c r="Z195" s="14">
        <v>0</v>
      </c>
      <c r="AA195" s="14">
        <v>0</v>
      </c>
      <c r="AB195" s="14">
        <v>0</v>
      </c>
      <c r="AC195" s="14">
        <v>0</v>
      </c>
      <c r="AD195" s="25">
        <v>0</v>
      </c>
      <c r="AE195" s="25">
        <v>0</v>
      </c>
      <c r="AF195" s="25">
        <v>0</v>
      </c>
      <c r="AG195" s="25">
        <v>0.13494809699999999</v>
      </c>
      <c r="AH195" s="25">
        <v>0.14532871999999999</v>
      </c>
      <c r="AI195" s="14" t="s">
        <v>962</v>
      </c>
      <c r="AJ195" s="14" t="s">
        <v>33</v>
      </c>
    </row>
    <row r="196" spans="1:36" ht="15" customHeight="1" x14ac:dyDescent="0.25">
      <c r="A196" s="1">
        <v>76</v>
      </c>
      <c r="B196" s="14" t="s">
        <v>613</v>
      </c>
      <c r="C196" s="14" t="s">
        <v>349</v>
      </c>
      <c r="D196" s="14" t="s">
        <v>10</v>
      </c>
      <c r="E196" s="29" t="s">
        <v>141</v>
      </c>
      <c r="F196" s="14">
        <v>46.07</v>
      </c>
      <c r="G196" s="14">
        <v>9.5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1</v>
      </c>
      <c r="N196" s="14">
        <v>1</v>
      </c>
      <c r="O196" s="14">
        <v>1</v>
      </c>
      <c r="P196" s="14">
        <v>0</v>
      </c>
      <c r="Q196" s="14">
        <v>0</v>
      </c>
      <c r="R196" s="14">
        <v>0</v>
      </c>
      <c r="S196" s="14">
        <v>0</v>
      </c>
      <c r="T196" s="14">
        <v>0</v>
      </c>
      <c r="U196" s="14">
        <v>0</v>
      </c>
      <c r="V196" s="14">
        <v>0</v>
      </c>
      <c r="W196" s="14">
        <v>0</v>
      </c>
      <c r="X196" s="14">
        <v>0</v>
      </c>
      <c r="Y196" s="14">
        <v>0</v>
      </c>
      <c r="Z196" s="14">
        <v>0</v>
      </c>
      <c r="AA196" s="14">
        <v>0</v>
      </c>
      <c r="AB196" s="14">
        <v>1</v>
      </c>
      <c r="AC196" s="14">
        <v>0</v>
      </c>
      <c r="AD196" s="25">
        <v>0</v>
      </c>
      <c r="AE196" s="25">
        <v>0</v>
      </c>
      <c r="AF196" s="25">
        <v>0</v>
      </c>
      <c r="AG196" s="25">
        <v>0.1875</v>
      </c>
      <c r="AH196" s="25">
        <v>0</v>
      </c>
      <c r="AI196" s="14" t="s">
        <v>1041</v>
      </c>
      <c r="AJ196" s="14" t="s">
        <v>33</v>
      </c>
    </row>
    <row r="197" spans="1:36" ht="15" customHeight="1" x14ac:dyDescent="0.25">
      <c r="A197" s="1">
        <v>77</v>
      </c>
      <c r="B197" s="14" t="s">
        <v>776</v>
      </c>
      <c r="C197" s="14" t="s">
        <v>340</v>
      </c>
      <c r="D197" s="14" t="s">
        <v>21</v>
      </c>
      <c r="E197" s="29" t="s">
        <v>134</v>
      </c>
      <c r="F197" s="14">
        <v>98.1</v>
      </c>
      <c r="G197" s="14">
        <v>9.6999999999999993</v>
      </c>
      <c r="H197" s="14">
        <v>5</v>
      </c>
      <c r="I197" s="14">
        <v>0</v>
      </c>
      <c r="J197" s="14">
        <v>4</v>
      </c>
      <c r="K197" s="14">
        <v>2</v>
      </c>
      <c r="L197" s="14">
        <v>0</v>
      </c>
      <c r="M197" s="14">
        <v>0</v>
      </c>
      <c r="N197" s="14">
        <v>1</v>
      </c>
      <c r="O197" s="14">
        <v>1</v>
      </c>
      <c r="P197" s="14">
        <v>0</v>
      </c>
      <c r="Q197" s="14">
        <v>1</v>
      </c>
      <c r="R197" s="14">
        <v>0</v>
      </c>
      <c r="S197" s="14">
        <v>0</v>
      </c>
      <c r="T197" s="14">
        <v>0</v>
      </c>
      <c r="U197" s="14">
        <v>0</v>
      </c>
      <c r="V197" s="14">
        <v>0</v>
      </c>
      <c r="W197" s="14">
        <v>0</v>
      </c>
      <c r="X197" s="14">
        <v>3</v>
      </c>
      <c r="Y197" s="14">
        <v>0</v>
      </c>
      <c r="Z197" s="14">
        <v>0</v>
      </c>
      <c r="AA197" s="14">
        <v>0</v>
      </c>
      <c r="AB197" s="14">
        <v>1</v>
      </c>
      <c r="AC197" s="14">
        <v>0</v>
      </c>
      <c r="AD197" s="25">
        <v>0</v>
      </c>
      <c r="AE197" s="25">
        <v>0</v>
      </c>
      <c r="AF197" s="25">
        <v>0</v>
      </c>
      <c r="AG197" s="25">
        <v>0.21</v>
      </c>
      <c r="AH197" s="25">
        <v>0.19390581700000001</v>
      </c>
      <c r="AI197" s="14" t="s">
        <v>1032</v>
      </c>
      <c r="AJ197" s="14" t="s">
        <v>33</v>
      </c>
    </row>
    <row r="198" spans="1:36" ht="15" customHeight="1" x14ac:dyDescent="0.25">
      <c r="A198" s="1">
        <v>78</v>
      </c>
      <c r="B198" s="14" t="s">
        <v>615</v>
      </c>
      <c r="C198" s="14" t="s">
        <v>413</v>
      </c>
      <c r="D198" s="14" t="s">
        <v>10</v>
      </c>
      <c r="E198" s="29" t="s">
        <v>81</v>
      </c>
      <c r="F198" s="14">
        <v>86.13</v>
      </c>
      <c r="G198" s="14">
        <v>9.8000000000000007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1</v>
      </c>
      <c r="P198" s="14">
        <v>0</v>
      </c>
      <c r="Q198" s="14">
        <v>0</v>
      </c>
      <c r="R198" s="14">
        <v>0</v>
      </c>
      <c r="S198" s="14">
        <v>0</v>
      </c>
      <c r="T198" s="14">
        <v>0</v>
      </c>
      <c r="U198" s="14">
        <v>0</v>
      </c>
      <c r="V198" s="14">
        <v>0</v>
      </c>
      <c r="W198" s="14">
        <v>0</v>
      </c>
      <c r="X198" s="14">
        <v>0</v>
      </c>
      <c r="Y198" s="14">
        <v>0</v>
      </c>
      <c r="Z198" s="14">
        <v>1</v>
      </c>
      <c r="AA198" s="14">
        <v>4</v>
      </c>
      <c r="AB198" s="14">
        <v>0</v>
      </c>
      <c r="AC198" s="14">
        <v>1</v>
      </c>
      <c r="AD198" s="25">
        <v>0</v>
      </c>
      <c r="AE198" s="25">
        <v>0</v>
      </c>
      <c r="AF198" s="25">
        <v>0</v>
      </c>
      <c r="AG198" s="25">
        <v>0.16666666699999999</v>
      </c>
      <c r="AH198" s="25">
        <v>0.16666666699999999</v>
      </c>
      <c r="AI198" s="14" t="s">
        <v>1110</v>
      </c>
      <c r="AJ198" s="14" t="s">
        <v>33</v>
      </c>
    </row>
    <row r="199" spans="1:36" ht="15" customHeight="1" x14ac:dyDescent="0.25">
      <c r="A199" s="1">
        <v>79</v>
      </c>
      <c r="B199" s="14" t="s">
        <v>787</v>
      </c>
      <c r="C199" s="14" t="s">
        <v>464</v>
      </c>
      <c r="D199" s="14" t="s">
        <v>21</v>
      </c>
      <c r="E199" s="29" t="s">
        <v>200</v>
      </c>
      <c r="F199" s="14">
        <v>138.16</v>
      </c>
      <c r="G199" s="14">
        <v>9.8000000000000007</v>
      </c>
      <c r="H199" s="14">
        <v>6</v>
      </c>
      <c r="I199" s="14">
        <v>0</v>
      </c>
      <c r="J199" s="14">
        <v>6</v>
      </c>
      <c r="K199" s="14">
        <v>3</v>
      </c>
      <c r="L199" s="14">
        <v>0</v>
      </c>
      <c r="M199" s="14">
        <v>2</v>
      </c>
      <c r="N199" s="14">
        <v>0</v>
      </c>
      <c r="O199" s="14">
        <v>0</v>
      </c>
      <c r="P199" s="14">
        <v>2</v>
      </c>
      <c r="Q199" s="14">
        <v>0</v>
      </c>
      <c r="R199" s="14">
        <v>0</v>
      </c>
      <c r="S199" s="14">
        <v>0</v>
      </c>
      <c r="T199" s="14">
        <v>0</v>
      </c>
      <c r="U199" s="14">
        <v>0</v>
      </c>
      <c r="V199" s="14">
        <v>0</v>
      </c>
      <c r="W199" s="14">
        <v>0</v>
      </c>
      <c r="X199" s="14">
        <v>4</v>
      </c>
      <c r="Y199" s="14">
        <v>0</v>
      </c>
      <c r="Z199" s="14">
        <v>0</v>
      </c>
      <c r="AA199" s="14">
        <v>0</v>
      </c>
      <c r="AB199" s="14">
        <v>0</v>
      </c>
      <c r="AC199" s="14">
        <v>0</v>
      </c>
      <c r="AD199" s="25">
        <v>0</v>
      </c>
      <c r="AE199" s="25">
        <v>0</v>
      </c>
      <c r="AF199" s="25">
        <v>0</v>
      </c>
      <c r="AG199" s="25">
        <v>0.25380886400000002</v>
      </c>
      <c r="AH199" s="25">
        <v>0.31360946699999998</v>
      </c>
      <c r="AI199" s="14" t="s">
        <v>1160</v>
      </c>
      <c r="AJ199" s="14" t="s">
        <v>33</v>
      </c>
    </row>
    <row r="200" spans="1:36" ht="15" customHeight="1" x14ac:dyDescent="0.25">
      <c r="A200" s="1">
        <v>80</v>
      </c>
      <c r="B200" s="14" t="s">
        <v>1696</v>
      </c>
      <c r="C200" s="14" t="s">
        <v>2003</v>
      </c>
      <c r="D200" s="14" t="s">
        <v>10</v>
      </c>
      <c r="E200" s="29" t="s">
        <v>1697</v>
      </c>
      <c r="F200" s="14">
        <v>118.172</v>
      </c>
      <c r="G200" s="14">
        <v>10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3</v>
      </c>
      <c r="N200" s="14">
        <v>2</v>
      </c>
      <c r="O200" s="14">
        <v>1</v>
      </c>
      <c r="P200" s="14">
        <v>1</v>
      </c>
      <c r="Q200" s="14">
        <v>0</v>
      </c>
      <c r="R200" s="14">
        <v>0</v>
      </c>
      <c r="S200" s="14">
        <v>0</v>
      </c>
      <c r="T200" s="14">
        <v>0</v>
      </c>
      <c r="U200" s="14">
        <v>0</v>
      </c>
      <c r="V200" s="14">
        <v>0</v>
      </c>
      <c r="W200" s="14">
        <v>0</v>
      </c>
      <c r="X200" s="14">
        <v>0</v>
      </c>
      <c r="Y200" s="14">
        <v>0</v>
      </c>
      <c r="Z200" s="14">
        <v>0</v>
      </c>
      <c r="AA200" s="14">
        <v>0</v>
      </c>
      <c r="AB200" s="14">
        <v>1</v>
      </c>
      <c r="AC200" s="14">
        <v>0</v>
      </c>
      <c r="AD200" s="25">
        <v>0</v>
      </c>
      <c r="AE200" s="25">
        <v>0</v>
      </c>
      <c r="AF200" s="25">
        <v>0</v>
      </c>
      <c r="AG200" s="25">
        <v>0.35714285699999998</v>
      </c>
      <c r="AH200" s="25">
        <v>0.35714285699999998</v>
      </c>
      <c r="AI200" s="14" t="s">
        <v>1571</v>
      </c>
      <c r="AJ200" s="14" t="s">
        <v>33</v>
      </c>
    </row>
    <row r="201" spans="1:36" ht="15" customHeight="1" x14ac:dyDescent="0.25">
      <c r="A201" s="1">
        <v>81</v>
      </c>
      <c r="B201" s="14" t="s">
        <v>648</v>
      </c>
      <c r="C201" s="14" t="s">
        <v>247</v>
      </c>
      <c r="D201" s="14" t="s">
        <v>12</v>
      </c>
      <c r="E201" s="29" t="s">
        <v>54</v>
      </c>
      <c r="F201" s="14">
        <v>112.21</v>
      </c>
      <c r="G201" s="14">
        <v>10</v>
      </c>
      <c r="H201" s="14">
        <v>0</v>
      </c>
      <c r="I201" s="14">
        <v>1</v>
      </c>
      <c r="J201" s="14">
        <v>0</v>
      </c>
      <c r="K201" s="14">
        <v>1</v>
      </c>
      <c r="L201" s="14">
        <v>1</v>
      </c>
      <c r="M201" s="14">
        <v>4</v>
      </c>
      <c r="N201" s="14">
        <v>1</v>
      </c>
      <c r="O201" s="14">
        <v>0</v>
      </c>
      <c r="P201" s="14">
        <v>0</v>
      </c>
      <c r="Q201" s="14">
        <v>0</v>
      </c>
      <c r="R201" s="14">
        <v>0</v>
      </c>
      <c r="S201" s="14">
        <v>0</v>
      </c>
      <c r="T201" s="14">
        <v>0</v>
      </c>
      <c r="U201" s="14">
        <v>0</v>
      </c>
      <c r="V201" s="14">
        <v>0</v>
      </c>
      <c r="W201" s="14">
        <v>0</v>
      </c>
      <c r="X201" s="14">
        <v>0</v>
      </c>
      <c r="Y201" s="14">
        <v>1</v>
      </c>
      <c r="Z201" s="14">
        <v>0</v>
      </c>
      <c r="AA201" s="14">
        <v>0</v>
      </c>
      <c r="AB201" s="14">
        <v>0</v>
      </c>
      <c r="AC201" s="14">
        <v>0</v>
      </c>
      <c r="AD201" s="25">
        <v>0</v>
      </c>
      <c r="AE201" s="25">
        <v>0</v>
      </c>
      <c r="AF201" s="25">
        <v>0</v>
      </c>
      <c r="AG201" s="25">
        <v>0.37152777799999998</v>
      </c>
      <c r="AH201" s="25">
        <v>0.3671875</v>
      </c>
      <c r="AI201" s="14" t="s">
        <v>930</v>
      </c>
      <c r="AJ201" s="14" t="s">
        <v>33</v>
      </c>
    </row>
    <row r="202" spans="1:36" ht="15" customHeight="1" x14ac:dyDescent="0.25">
      <c r="A202" s="1">
        <v>82</v>
      </c>
      <c r="B202" s="14" t="s">
        <v>906</v>
      </c>
      <c r="C202" s="14" t="s">
        <v>556</v>
      </c>
      <c r="D202" s="14" t="s">
        <v>13</v>
      </c>
      <c r="E202" s="29" t="s">
        <v>234</v>
      </c>
      <c r="F202" s="14">
        <v>226.36</v>
      </c>
      <c r="G202" s="14">
        <v>10</v>
      </c>
      <c r="H202" s="14">
        <v>10</v>
      </c>
      <c r="I202" s="14">
        <v>0</v>
      </c>
      <c r="J202" s="14">
        <v>10</v>
      </c>
      <c r="K202" s="14">
        <v>5</v>
      </c>
      <c r="L202" s="14">
        <v>1</v>
      </c>
      <c r="M202" s="14">
        <v>3</v>
      </c>
      <c r="N202" s="14">
        <v>3</v>
      </c>
      <c r="O202" s="14">
        <v>0</v>
      </c>
      <c r="P202" s="14">
        <v>0</v>
      </c>
      <c r="Q202" s="14">
        <v>0</v>
      </c>
      <c r="R202" s="14">
        <v>0</v>
      </c>
      <c r="S202" s="14">
        <v>0</v>
      </c>
      <c r="T202" s="14">
        <v>0</v>
      </c>
      <c r="U202" s="14">
        <v>0</v>
      </c>
      <c r="V202" s="14">
        <v>0</v>
      </c>
      <c r="W202" s="14">
        <v>0</v>
      </c>
      <c r="X202" s="14">
        <v>7</v>
      </c>
      <c r="Y202" s="14">
        <v>0</v>
      </c>
      <c r="Z202" s="14">
        <v>0</v>
      </c>
      <c r="AA202" s="14">
        <v>0</v>
      </c>
      <c r="AB202" s="14">
        <v>0</v>
      </c>
      <c r="AC202" s="14">
        <v>0</v>
      </c>
      <c r="AD202" s="25">
        <v>0</v>
      </c>
      <c r="AE202" s="25">
        <v>0</v>
      </c>
      <c r="AF202" s="25">
        <v>0</v>
      </c>
      <c r="AG202" s="25">
        <v>0.42847222200000001</v>
      </c>
      <c r="AH202" s="25">
        <v>0.47713897700000002</v>
      </c>
      <c r="AI202" s="14" t="s">
        <v>1250</v>
      </c>
      <c r="AJ202" s="14" t="s">
        <v>33</v>
      </c>
    </row>
    <row r="203" spans="1:36" ht="15" customHeight="1" x14ac:dyDescent="0.25">
      <c r="A203" s="1">
        <v>83</v>
      </c>
      <c r="B203" s="14" t="s">
        <v>801</v>
      </c>
      <c r="C203" s="14" t="s">
        <v>553</v>
      </c>
      <c r="D203" s="14" t="s">
        <v>21</v>
      </c>
      <c r="E203" s="29" t="s">
        <v>189</v>
      </c>
      <c r="F203" s="14">
        <v>118.17</v>
      </c>
      <c r="G203" s="14">
        <v>10</v>
      </c>
      <c r="H203" s="14">
        <v>0</v>
      </c>
      <c r="I203" s="14">
        <v>0</v>
      </c>
      <c r="J203" s="14">
        <v>0</v>
      </c>
      <c r="K203" s="14">
        <v>0</v>
      </c>
      <c r="L203" s="14">
        <v>0</v>
      </c>
      <c r="M203" s="14">
        <v>3</v>
      </c>
      <c r="N203" s="14">
        <v>2</v>
      </c>
      <c r="O203" s="14">
        <v>1</v>
      </c>
      <c r="P203" s="14">
        <v>1</v>
      </c>
      <c r="Q203" s="14">
        <v>0</v>
      </c>
      <c r="R203" s="14">
        <v>0</v>
      </c>
      <c r="S203" s="14">
        <v>0</v>
      </c>
      <c r="T203" s="14">
        <v>0</v>
      </c>
      <c r="U203" s="14">
        <v>0</v>
      </c>
      <c r="V203" s="14">
        <v>0</v>
      </c>
      <c r="W203" s="14">
        <v>0</v>
      </c>
      <c r="X203" s="14">
        <v>0</v>
      </c>
      <c r="Y203" s="14">
        <v>0</v>
      </c>
      <c r="Z203" s="14">
        <v>0</v>
      </c>
      <c r="AA203" s="14">
        <v>0</v>
      </c>
      <c r="AB203" s="14">
        <v>1</v>
      </c>
      <c r="AC203" s="14">
        <v>0</v>
      </c>
      <c r="AD203" s="25">
        <v>0</v>
      </c>
      <c r="AE203" s="25">
        <v>0</v>
      </c>
      <c r="AF203" s="25">
        <v>0</v>
      </c>
      <c r="AG203" s="25">
        <v>0.3515625</v>
      </c>
      <c r="AH203" s="25">
        <v>0.35714285699999998</v>
      </c>
      <c r="AI203" s="14" t="s">
        <v>1247</v>
      </c>
      <c r="AJ203" s="14" t="s">
        <v>33</v>
      </c>
    </row>
    <row r="204" spans="1:36" ht="15" customHeight="1" x14ac:dyDescent="0.25">
      <c r="A204" s="1">
        <v>84</v>
      </c>
      <c r="B204" s="14" t="s">
        <v>1871</v>
      </c>
      <c r="C204" s="14" t="s">
        <v>1522</v>
      </c>
      <c r="D204" s="14" t="s">
        <v>13</v>
      </c>
      <c r="E204" s="29" t="s">
        <v>1872</v>
      </c>
      <c r="F204" s="14">
        <v>120.18600000000001</v>
      </c>
      <c r="G204" s="14">
        <v>10.1</v>
      </c>
      <c r="H204" s="14">
        <v>6</v>
      </c>
      <c r="I204" s="14">
        <v>0</v>
      </c>
      <c r="J204" s="14">
        <v>6</v>
      </c>
      <c r="K204" s="14">
        <v>3</v>
      </c>
      <c r="L204" s="14">
        <v>0</v>
      </c>
      <c r="M204" s="14">
        <v>3</v>
      </c>
      <c r="N204" s="14">
        <v>0</v>
      </c>
      <c r="O204" s="14">
        <v>0</v>
      </c>
      <c r="P204" s="14">
        <v>0</v>
      </c>
      <c r="Q204" s="14">
        <v>0</v>
      </c>
      <c r="R204" s="14">
        <v>0</v>
      </c>
      <c r="S204" s="14">
        <v>0</v>
      </c>
      <c r="T204" s="14">
        <v>0</v>
      </c>
      <c r="U204" s="14">
        <v>0</v>
      </c>
      <c r="V204" s="14">
        <v>0</v>
      </c>
      <c r="W204" s="14">
        <v>0</v>
      </c>
      <c r="X204" s="14">
        <v>3</v>
      </c>
      <c r="Y204" s="14">
        <v>0</v>
      </c>
      <c r="Z204" s="14">
        <v>0</v>
      </c>
      <c r="AA204" s="14">
        <v>0</v>
      </c>
      <c r="AB204" s="14">
        <v>0</v>
      </c>
      <c r="AC204" s="14">
        <v>0</v>
      </c>
      <c r="AD204" s="25">
        <v>0</v>
      </c>
      <c r="AE204" s="25">
        <v>0</v>
      </c>
      <c r="AF204" s="25">
        <v>0</v>
      </c>
      <c r="AG204" s="25">
        <v>0.40277777799999998</v>
      </c>
      <c r="AH204" s="25">
        <v>0.27777777799999998</v>
      </c>
      <c r="AI204" s="14" t="s">
        <v>1571</v>
      </c>
      <c r="AJ204" s="14" t="s">
        <v>33</v>
      </c>
    </row>
    <row r="205" spans="1:36" ht="15" customHeight="1" x14ac:dyDescent="0.25">
      <c r="A205" s="1">
        <v>88</v>
      </c>
      <c r="B205" s="14" t="s">
        <v>1854</v>
      </c>
      <c r="C205" s="14" t="s">
        <v>1513</v>
      </c>
      <c r="D205" s="14" t="s">
        <v>1509</v>
      </c>
      <c r="E205" s="29" t="s">
        <v>1855</v>
      </c>
      <c r="F205" s="14">
        <v>98.097999999999999</v>
      </c>
      <c r="G205" s="14">
        <v>10.8</v>
      </c>
      <c r="H205" s="14">
        <v>5</v>
      </c>
      <c r="I205" s="14">
        <v>0</v>
      </c>
      <c r="J205" s="14">
        <v>4</v>
      </c>
      <c r="K205" s="14">
        <v>2</v>
      </c>
      <c r="L205" s="14">
        <v>0</v>
      </c>
      <c r="M205" s="14">
        <v>0</v>
      </c>
      <c r="N205" s="14">
        <v>1</v>
      </c>
      <c r="O205" s="14">
        <v>1</v>
      </c>
      <c r="P205" s="14">
        <v>0</v>
      </c>
      <c r="Q205" s="14">
        <v>1</v>
      </c>
      <c r="R205" s="14">
        <v>0</v>
      </c>
      <c r="S205" s="14">
        <v>0</v>
      </c>
      <c r="T205" s="14">
        <v>0</v>
      </c>
      <c r="U205" s="14">
        <v>0</v>
      </c>
      <c r="V205" s="14">
        <v>0</v>
      </c>
      <c r="W205" s="14">
        <v>0</v>
      </c>
      <c r="X205" s="14">
        <v>3</v>
      </c>
      <c r="Y205" s="14">
        <v>0</v>
      </c>
      <c r="Z205" s="14">
        <v>0</v>
      </c>
      <c r="AA205" s="14">
        <v>0</v>
      </c>
      <c r="AB205" s="14">
        <v>1</v>
      </c>
      <c r="AC205" s="14">
        <v>0</v>
      </c>
      <c r="AD205" s="25">
        <v>0</v>
      </c>
      <c r="AE205" s="25">
        <v>0</v>
      </c>
      <c r="AF205" s="25">
        <v>0</v>
      </c>
      <c r="AG205" s="25">
        <v>0.22727272700000001</v>
      </c>
      <c r="AH205" s="25">
        <v>0.191135734</v>
      </c>
      <c r="AI205" s="14" t="s">
        <v>1571</v>
      </c>
      <c r="AJ205" s="14" t="s">
        <v>33</v>
      </c>
    </row>
    <row r="206" spans="1:36" ht="15" customHeight="1" x14ac:dyDescent="0.25">
      <c r="A206" s="1">
        <v>89</v>
      </c>
      <c r="B206" s="14" t="s">
        <v>810</v>
      </c>
      <c r="C206" s="14" t="s">
        <v>474</v>
      </c>
      <c r="D206" s="14" t="s">
        <v>21</v>
      </c>
      <c r="E206" s="29" t="s">
        <v>119</v>
      </c>
      <c r="F206" s="14">
        <v>96.13</v>
      </c>
      <c r="G206" s="14">
        <v>10.9</v>
      </c>
      <c r="H206" s="14">
        <v>5</v>
      </c>
      <c r="I206" s="14">
        <v>0</v>
      </c>
      <c r="J206" s="14">
        <v>4</v>
      </c>
      <c r="K206" s="14">
        <v>2</v>
      </c>
      <c r="L206" s="14">
        <v>0</v>
      </c>
      <c r="M206" s="14">
        <v>2</v>
      </c>
      <c r="N206" s="14">
        <v>0</v>
      </c>
      <c r="O206" s="14">
        <v>0</v>
      </c>
      <c r="P206" s="14">
        <v>0</v>
      </c>
      <c r="Q206" s="14">
        <v>1</v>
      </c>
      <c r="R206" s="14">
        <v>0</v>
      </c>
      <c r="S206" s="14">
        <v>0</v>
      </c>
      <c r="T206" s="14">
        <v>0</v>
      </c>
      <c r="U206" s="14">
        <v>0</v>
      </c>
      <c r="V206" s="14">
        <v>0</v>
      </c>
      <c r="W206" s="14">
        <v>0</v>
      </c>
      <c r="X206" s="14">
        <v>2</v>
      </c>
      <c r="Y206" s="14">
        <v>0</v>
      </c>
      <c r="Z206" s="14">
        <v>0</v>
      </c>
      <c r="AA206" s="14">
        <v>0</v>
      </c>
      <c r="AB206" s="14">
        <v>0</v>
      </c>
      <c r="AC206" s="14">
        <v>0</v>
      </c>
      <c r="AD206" s="25">
        <v>0</v>
      </c>
      <c r="AE206" s="25">
        <v>0</v>
      </c>
      <c r="AF206" s="25">
        <v>0</v>
      </c>
      <c r="AG206" s="25">
        <v>0.242036011</v>
      </c>
      <c r="AH206" s="25">
        <v>0.180055402</v>
      </c>
      <c r="AI206" s="14" t="s">
        <v>1169</v>
      </c>
      <c r="AJ206" s="14" t="s">
        <v>33</v>
      </c>
    </row>
    <row r="207" spans="1:36" ht="15" customHeight="1" x14ac:dyDescent="0.25">
      <c r="A207" s="1">
        <v>90</v>
      </c>
      <c r="B207" s="14" t="s">
        <v>876</v>
      </c>
      <c r="C207" s="14" t="s">
        <v>362</v>
      </c>
      <c r="D207" s="14" t="s">
        <v>13</v>
      </c>
      <c r="E207" s="29" t="s">
        <v>149</v>
      </c>
      <c r="F207" s="14">
        <v>167.23</v>
      </c>
      <c r="G207" s="14">
        <v>11</v>
      </c>
      <c r="H207" s="14">
        <v>12</v>
      </c>
      <c r="I207" s="14">
        <v>0</v>
      </c>
      <c r="J207" s="14">
        <v>12</v>
      </c>
      <c r="K207" s="14">
        <v>6</v>
      </c>
      <c r="L207" s="14">
        <v>0</v>
      </c>
      <c r="M207" s="14">
        <v>0</v>
      </c>
      <c r="N207" s="14">
        <v>1</v>
      </c>
      <c r="O207" s="14">
        <v>0</v>
      </c>
      <c r="P207" s="14">
        <v>0</v>
      </c>
      <c r="Q207" s="14">
        <v>0</v>
      </c>
      <c r="R207" s="14">
        <v>0</v>
      </c>
      <c r="S207" s="14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10</v>
      </c>
      <c r="Y207" s="14">
        <v>0</v>
      </c>
      <c r="Z207" s="14">
        <v>0</v>
      </c>
      <c r="AA207" s="14">
        <v>0</v>
      </c>
      <c r="AB207" s="14">
        <v>0</v>
      </c>
      <c r="AC207" s="14">
        <v>0</v>
      </c>
      <c r="AD207" s="25">
        <v>0</v>
      </c>
      <c r="AE207" s="25">
        <v>0</v>
      </c>
      <c r="AF207" s="25">
        <v>0</v>
      </c>
      <c r="AG207" s="25">
        <v>0.389640441</v>
      </c>
      <c r="AH207" s="25">
        <v>0.44874999999999998</v>
      </c>
      <c r="AI207" s="14" t="s">
        <v>1056</v>
      </c>
      <c r="AJ207" s="14" t="s">
        <v>33</v>
      </c>
    </row>
    <row r="208" spans="1:36" ht="15" customHeight="1" x14ac:dyDescent="0.25">
      <c r="A208" s="1">
        <v>91</v>
      </c>
      <c r="B208" s="14" t="s">
        <v>1694</v>
      </c>
      <c r="C208" s="14" t="s">
        <v>2004</v>
      </c>
      <c r="D208" s="14" t="s">
        <v>10</v>
      </c>
      <c r="E208" s="29" t="s">
        <v>1695</v>
      </c>
      <c r="F208" s="14">
        <v>116.15600000000001</v>
      </c>
      <c r="G208" s="14">
        <v>11.5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3</v>
      </c>
      <c r="N208" s="14">
        <v>1</v>
      </c>
      <c r="O208" s="14">
        <v>1</v>
      </c>
      <c r="P208" s="14">
        <v>0</v>
      </c>
      <c r="Q208" s="14">
        <v>0</v>
      </c>
      <c r="R208" s="14">
        <v>1</v>
      </c>
      <c r="S208" s="14">
        <v>0</v>
      </c>
      <c r="T208" s="14">
        <v>0</v>
      </c>
      <c r="U208" s="14">
        <v>0</v>
      </c>
      <c r="V208" s="14">
        <v>0</v>
      </c>
      <c r="W208" s="14">
        <v>0</v>
      </c>
      <c r="X208" s="14">
        <v>0</v>
      </c>
      <c r="Y208" s="14">
        <v>0</v>
      </c>
      <c r="Z208" s="14">
        <v>0</v>
      </c>
      <c r="AA208" s="14">
        <v>0</v>
      </c>
      <c r="AB208" s="14">
        <v>0</v>
      </c>
      <c r="AC208" s="14">
        <v>0</v>
      </c>
      <c r="AD208" s="25">
        <v>1</v>
      </c>
      <c r="AE208" s="25">
        <v>0</v>
      </c>
      <c r="AF208" s="25">
        <v>0</v>
      </c>
      <c r="AG208" s="25">
        <v>0.375</v>
      </c>
      <c r="AH208" s="25">
        <v>0.3671875</v>
      </c>
      <c r="AI208" s="14" t="s">
        <v>1571</v>
      </c>
      <c r="AJ208" s="14" t="s">
        <v>33</v>
      </c>
    </row>
    <row r="209" spans="1:36" ht="15" customHeight="1" x14ac:dyDescent="0.25">
      <c r="A209" s="1">
        <v>93</v>
      </c>
      <c r="B209" s="14" t="s">
        <v>830</v>
      </c>
      <c r="C209" s="14" t="s">
        <v>505</v>
      </c>
      <c r="D209" s="14" t="s">
        <v>15</v>
      </c>
      <c r="E209" s="29" t="s">
        <v>215</v>
      </c>
      <c r="F209" s="14">
        <v>140.22</v>
      </c>
      <c r="G209" s="14">
        <v>11.9</v>
      </c>
      <c r="H209" s="14">
        <v>0</v>
      </c>
      <c r="I209" s="14">
        <v>0</v>
      </c>
      <c r="J209" s="14">
        <v>0</v>
      </c>
      <c r="K209" s="14">
        <v>0</v>
      </c>
      <c r="L209" s="14">
        <v>1</v>
      </c>
      <c r="M209" s="14">
        <v>3</v>
      </c>
      <c r="N209" s="14">
        <v>0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  <c r="T209" s="14">
        <v>0</v>
      </c>
      <c r="U209" s="14">
        <v>0</v>
      </c>
      <c r="V209" s="14">
        <v>0</v>
      </c>
      <c r="W209" s="14">
        <v>0</v>
      </c>
      <c r="X209" s="14">
        <v>0</v>
      </c>
      <c r="Y209" s="14">
        <v>0</v>
      </c>
      <c r="Z209" s="14">
        <v>1</v>
      </c>
      <c r="AA209" s="14">
        <v>3</v>
      </c>
      <c r="AB209" s="14">
        <v>0</v>
      </c>
      <c r="AC209" s="14">
        <v>0</v>
      </c>
      <c r="AD209" s="25">
        <v>0</v>
      </c>
      <c r="AE209" s="25">
        <v>0</v>
      </c>
      <c r="AF209" s="25">
        <v>0</v>
      </c>
      <c r="AG209" s="25">
        <v>0.38194444399999999</v>
      </c>
      <c r="AH209" s="25">
        <v>0.38842975200000002</v>
      </c>
      <c r="AI209" s="14" t="s">
        <v>1199</v>
      </c>
      <c r="AJ209" s="14" t="s">
        <v>33</v>
      </c>
    </row>
    <row r="210" spans="1:36" ht="15" customHeight="1" x14ac:dyDescent="0.25">
      <c r="A210" s="1">
        <v>98</v>
      </c>
      <c r="B210" s="14" t="s">
        <v>1581</v>
      </c>
      <c r="C210" s="14" t="s">
        <v>2005</v>
      </c>
      <c r="D210" s="14" t="s">
        <v>19</v>
      </c>
      <c r="E210" s="29" t="s">
        <v>90</v>
      </c>
      <c r="F210" s="14">
        <v>114.224</v>
      </c>
      <c r="G210" s="14">
        <v>12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4</v>
      </c>
      <c r="N210" s="14">
        <v>2</v>
      </c>
      <c r="O210" s="14">
        <v>0</v>
      </c>
      <c r="P210" s="14">
        <v>0</v>
      </c>
      <c r="Q210" s="14">
        <v>0</v>
      </c>
      <c r="R210" s="14">
        <v>0</v>
      </c>
      <c r="S210" s="14">
        <v>0</v>
      </c>
      <c r="T210" s="14">
        <v>0</v>
      </c>
      <c r="U210" s="14">
        <v>0</v>
      </c>
      <c r="V210" s="14">
        <v>2</v>
      </c>
      <c r="W210" s="14">
        <v>0</v>
      </c>
      <c r="X210" s="14">
        <v>0</v>
      </c>
      <c r="Y210" s="14">
        <v>0</v>
      </c>
      <c r="Z210" s="14">
        <v>0</v>
      </c>
      <c r="AA210" s="14">
        <v>0</v>
      </c>
      <c r="AB210" s="14">
        <v>0</v>
      </c>
      <c r="AC210" s="14">
        <v>0</v>
      </c>
      <c r="AD210" s="25">
        <v>0</v>
      </c>
      <c r="AE210" s="25">
        <v>0</v>
      </c>
      <c r="AF210" s="25">
        <v>0</v>
      </c>
      <c r="AG210" s="25">
        <v>0.3515625</v>
      </c>
      <c r="AH210" s="25">
        <v>0.35714285699999998</v>
      </c>
      <c r="AI210" s="14" t="s">
        <v>1571</v>
      </c>
      <c r="AJ210" s="14" t="s">
        <v>33</v>
      </c>
    </row>
    <row r="211" spans="1:36" ht="15" customHeight="1" x14ac:dyDescent="0.25">
      <c r="A211" s="1">
        <v>100</v>
      </c>
      <c r="B211" s="14" t="s">
        <v>752</v>
      </c>
      <c r="C211" s="14" t="s">
        <v>271</v>
      </c>
      <c r="D211" s="14" t="s">
        <v>20</v>
      </c>
      <c r="E211" s="29" t="s">
        <v>48</v>
      </c>
      <c r="F211" s="14">
        <v>100.16</v>
      </c>
      <c r="G211" s="14">
        <v>12.6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3</v>
      </c>
      <c r="N211" s="14">
        <v>1</v>
      </c>
      <c r="O211" s="14">
        <v>0</v>
      </c>
      <c r="P211" s="14">
        <v>0</v>
      </c>
      <c r="Q211" s="14">
        <v>0</v>
      </c>
      <c r="R211" s="14">
        <v>1</v>
      </c>
      <c r="S211" s="14">
        <v>0</v>
      </c>
      <c r="T211" s="14">
        <v>0</v>
      </c>
      <c r="U211" s="14">
        <v>0</v>
      </c>
      <c r="V211" s="14">
        <v>1</v>
      </c>
      <c r="W211" s="14">
        <v>0</v>
      </c>
      <c r="X211" s="14">
        <v>0</v>
      </c>
      <c r="Y211" s="14">
        <v>0</v>
      </c>
      <c r="Z211" s="14">
        <v>0</v>
      </c>
      <c r="AA211" s="14">
        <v>0</v>
      </c>
      <c r="AB211" s="14">
        <v>0</v>
      </c>
      <c r="AC211" s="14">
        <v>0</v>
      </c>
      <c r="AD211" s="25">
        <v>0</v>
      </c>
      <c r="AE211" s="25">
        <v>0</v>
      </c>
      <c r="AF211" s="25">
        <v>0</v>
      </c>
      <c r="AG211" s="25">
        <v>0.375</v>
      </c>
      <c r="AH211" s="25">
        <v>0.35714285699999998</v>
      </c>
      <c r="AI211" s="14" t="s">
        <v>958</v>
      </c>
      <c r="AJ211" s="14" t="s">
        <v>33</v>
      </c>
    </row>
    <row r="212" spans="1:36" ht="15" customHeight="1" x14ac:dyDescent="0.25">
      <c r="A212" s="1">
        <v>101</v>
      </c>
      <c r="B212" s="14" t="s">
        <v>1881</v>
      </c>
      <c r="C212" s="14" t="s">
        <v>1528</v>
      </c>
      <c r="D212" s="14" t="s">
        <v>13</v>
      </c>
      <c r="E212" s="29" t="s">
        <v>1882</v>
      </c>
      <c r="F212" s="14">
        <v>134.21199999999999</v>
      </c>
      <c r="G212" s="14">
        <v>12.9</v>
      </c>
      <c r="H212" s="14">
        <v>6</v>
      </c>
      <c r="I212" s="14">
        <v>0</v>
      </c>
      <c r="J212" s="14">
        <v>6</v>
      </c>
      <c r="K212" s="14">
        <v>3</v>
      </c>
      <c r="L212" s="14">
        <v>0</v>
      </c>
      <c r="M212" s="14">
        <v>1</v>
      </c>
      <c r="N212" s="14">
        <v>3</v>
      </c>
      <c r="O212" s="14">
        <v>0</v>
      </c>
      <c r="P212" s="14">
        <v>0</v>
      </c>
      <c r="Q212" s="14">
        <v>0</v>
      </c>
      <c r="R212" s="14">
        <v>0</v>
      </c>
      <c r="S212" s="14">
        <v>0</v>
      </c>
      <c r="T212" s="14">
        <v>0</v>
      </c>
      <c r="U212" s="14">
        <v>0</v>
      </c>
      <c r="V212" s="14">
        <v>0</v>
      </c>
      <c r="W212" s="14">
        <v>0</v>
      </c>
      <c r="X212" s="14">
        <v>5</v>
      </c>
      <c r="Y212" s="14">
        <v>0</v>
      </c>
      <c r="Z212" s="14">
        <v>0</v>
      </c>
      <c r="AA212" s="14">
        <v>0</v>
      </c>
      <c r="AB212" s="14">
        <v>0</v>
      </c>
      <c r="AC212" s="14">
        <v>0</v>
      </c>
      <c r="AD212" s="25">
        <v>0</v>
      </c>
      <c r="AE212" s="25">
        <v>0</v>
      </c>
      <c r="AF212" s="25">
        <v>0</v>
      </c>
      <c r="AG212" s="25">
        <v>0.42602040800000002</v>
      </c>
      <c r="AH212" s="25">
        <v>0.35207100600000002</v>
      </c>
      <c r="AI212" s="14" t="s">
        <v>1571</v>
      </c>
      <c r="AJ212" s="14" t="s">
        <v>33</v>
      </c>
    </row>
    <row r="213" spans="1:36" ht="15" customHeight="1" x14ac:dyDescent="0.25">
      <c r="A213" s="1">
        <v>102</v>
      </c>
      <c r="B213" s="14" t="s">
        <v>589</v>
      </c>
      <c r="C213" s="14" t="s">
        <v>513</v>
      </c>
      <c r="D213" s="14" t="s">
        <v>19</v>
      </c>
      <c r="E213" s="29" t="s">
        <v>85</v>
      </c>
      <c r="F213" s="14">
        <v>100.2</v>
      </c>
      <c r="G213" s="14">
        <v>12.9</v>
      </c>
      <c r="H213" s="14">
        <v>0</v>
      </c>
      <c r="I213" s="14">
        <v>0</v>
      </c>
      <c r="J213" s="14">
        <v>0</v>
      </c>
      <c r="K213" s="14">
        <v>0</v>
      </c>
      <c r="L213" s="14">
        <v>1</v>
      </c>
      <c r="M213" s="14">
        <v>5</v>
      </c>
      <c r="N213" s="14">
        <v>0</v>
      </c>
      <c r="O213" s="14">
        <v>0</v>
      </c>
      <c r="P213" s="14">
        <v>0</v>
      </c>
      <c r="Q213" s="14">
        <v>0</v>
      </c>
      <c r="R213" s="14">
        <v>0</v>
      </c>
      <c r="S213" s="14">
        <v>0</v>
      </c>
      <c r="T213" s="14">
        <v>0</v>
      </c>
      <c r="U213" s="14">
        <v>0</v>
      </c>
      <c r="V213" s="14">
        <v>1</v>
      </c>
      <c r="W213" s="14">
        <v>0</v>
      </c>
      <c r="X213" s="14">
        <v>0</v>
      </c>
      <c r="Y213" s="14">
        <v>0</v>
      </c>
      <c r="Z213" s="14">
        <v>0</v>
      </c>
      <c r="AA213" s="14">
        <v>0</v>
      </c>
      <c r="AB213" s="14">
        <v>0</v>
      </c>
      <c r="AC213" s="14">
        <v>0</v>
      </c>
      <c r="AD213" s="25">
        <v>0</v>
      </c>
      <c r="AE213" s="25">
        <v>0</v>
      </c>
      <c r="AF213" s="25">
        <v>0</v>
      </c>
      <c r="AG213" s="25">
        <v>0.375</v>
      </c>
      <c r="AH213" s="25">
        <v>0.31944444399999999</v>
      </c>
      <c r="AI213" s="14" t="s">
        <v>1208</v>
      </c>
      <c r="AJ213" s="14" t="s">
        <v>33</v>
      </c>
    </row>
    <row r="214" spans="1:36" ht="15" customHeight="1" x14ac:dyDescent="0.25">
      <c r="A214" s="1">
        <v>103</v>
      </c>
      <c r="B214" s="14" t="s">
        <v>601</v>
      </c>
      <c r="C214" s="14" t="s">
        <v>309</v>
      </c>
      <c r="D214" s="14" t="s">
        <v>21</v>
      </c>
      <c r="E214" s="29" t="s">
        <v>114</v>
      </c>
      <c r="F214" s="14">
        <v>154.25</v>
      </c>
      <c r="G214" s="14">
        <v>12.9</v>
      </c>
      <c r="H214" s="14">
        <v>0</v>
      </c>
      <c r="I214" s="14">
        <v>2</v>
      </c>
      <c r="J214" s="14">
        <v>0</v>
      </c>
      <c r="K214" s="14">
        <v>2</v>
      </c>
      <c r="L214" s="14">
        <v>0</v>
      </c>
      <c r="M214" s="14">
        <v>3</v>
      </c>
      <c r="N214" s="14">
        <v>2</v>
      </c>
      <c r="O214" s="14">
        <v>1</v>
      </c>
      <c r="P214" s="14">
        <v>0</v>
      </c>
      <c r="Q214" s="14">
        <v>0</v>
      </c>
      <c r="R214" s="14">
        <v>0</v>
      </c>
      <c r="S214" s="14">
        <v>0</v>
      </c>
      <c r="T214" s="14">
        <v>0</v>
      </c>
      <c r="U214" s="14">
        <v>0</v>
      </c>
      <c r="V214" s="14">
        <v>0</v>
      </c>
      <c r="W214" s="14">
        <v>2</v>
      </c>
      <c r="X214" s="14">
        <v>0</v>
      </c>
      <c r="Y214" s="14">
        <v>1</v>
      </c>
      <c r="Z214" s="14">
        <v>0</v>
      </c>
      <c r="AA214" s="14">
        <v>0</v>
      </c>
      <c r="AB214" s="14">
        <v>0</v>
      </c>
      <c r="AC214" s="14">
        <v>0</v>
      </c>
      <c r="AD214" s="25">
        <v>1</v>
      </c>
      <c r="AE214" s="25">
        <v>0</v>
      </c>
      <c r="AF214" s="25">
        <v>0</v>
      </c>
      <c r="AG214" s="25">
        <v>0.451530612</v>
      </c>
      <c r="AH214" s="25">
        <v>0.47569444399999999</v>
      </c>
      <c r="AI214" s="14" t="s">
        <v>1000</v>
      </c>
      <c r="AJ214" s="14" t="s">
        <v>33</v>
      </c>
    </row>
    <row r="215" spans="1:36" ht="15" customHeight="1" x14ac:dyDescent="0.25">
      <c r="A215" s="1">
        <v>104</v>
      </c>
      <c r="B215" s="14" t="s">
        <v>631</v>
      </c>
      <c r="C215" s="14" t="s">
        <v>416</v>
      </c>
      <c r="D215" s="14" t="s">
        <v>12</v>
      </c>
      <c r="E215" s="29" t="s">
        <v>178</v>
      </c>
      <c r="F215" s="14">
        <v>68.12</v>
      </c>
      <c r="G215" s="14">
        <v>13</v>
      </c>
      <c r="H215" s="14">
        <v>0</v>
      </c>
      <c r="I215" s="14">
        <v>2</v>
      </c>
      <c r="J215" s="14">
        <v>0</v>
      </c>
      <c r="K215" s="14">
        <v>2</v>
      </c>
      <c r="L215" s="14">
        <v>0</v>
      </c>
      <c r="M215" s="14">
        <v>1</v>
      </c>
      <c r="N215" s="14">
        <v>0</v>
      </c>
      <c r="O215" s="14">
        <v>0</v>
      </c>
      <c r="P215" s="14">
        <v>0</v>
      </c>
      <c r="Q215" s="14">
        <v>0</v>
      </c>
      <c r="R215" s="14">
        <v>0</v>
      </c>
      <c r="S215" s="14">
        <v>0</v>
      </c>
      <c r="T215" s="14">
        <v>0</v>
      </c>
      <c r="U215" s="14">
        <v>0</v>
      </c>
      <c r="V215" s="14">
        <v>0</v>
      </c>
      <c r="W215" s="14">
        <v>1</v>
      </c>
      <c r="X215" s="14">
        <v>0</v>
      </c>
      <c r="Y215" s="14">
        <v>2</v>
      </c>
      <c r="Z215" s="14">
        <v>0</v>
      </c>
      <c r="AA215" s="14">
        <v>0</v>
      </c>
      <c r="AB215" s="14">
        <v>0</v>
      </c>
      <c r="AC215" s="14">
        <v>0</v>
      </c>
      <c r="AD215" s="25">
        <v>0</v>
      </c>
      <c r="AE215" s="25">
        <v>0</v>
      </c>
      <c r="AF215" s="25">
        <v>0</v>
      </c>
      <c r="AG215" s="25">
        <v>0.33500000000000002</v>
      </c>
      <c r="AH215" s="25">
        <v>0.31944444399999999</v>
      </c>
      <c r="AI215" s="14" t="s">
        <v>1113</v>
      </c>
      <c r="AJ215" s="14" t="s">
        <v>33</v>
      </c>
    </row>
    <row r="216" spans="1:36" ht="15" customHeight="1" x14ac:dyDescent="0.25">
      <c r="A216" s="1">
        <v>105</v>
      </c>
      <c r="B216" s="14" t="s">
        <v>881</v>
      </c>
      <c r="C216" s="14" t="s">
        <v>324</v>
      </c>
      <c r="D216" s="14" t="s">
        <v>13</v>
      </c>
      <c r="E216" s="29" t="s">
        <v>56</v>
      </c>
      <c r="F216" s="14">
        <v>132.19999999999999</v>
      </c>
      <c r="G216" s="14">
        <v>13</v>
      </c>
      <c r="H216" s="14">
        <v>6</v>
      </c>
      <c r="I216" s="14">
        <v>0</v>
      </c>
      <c r="J216" s="14">
        <v>6</v>
      </c>
      <c r="K216" s="14">
        <v>3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4">
        <v>0</v>
      </c>
      <c r="S216" s="14">
        <v>0</v>
      </c>
      <c r="T216" s="14">
        <v>0</v>
      </c>
      <c r="U216" s="14">
        <v>0</v>
      </c>
      <c r="V216" s="14">
        <v>0</v>
      </c>
      <c r="W216" s="14">
        <v>0</v>
      </c>
      <c r="X216" s="14">
        <v>4</v>
      </c>
      <c r="Y216" s="14">
        <v>0</v>
      </c>
      <c r="Z216" s="14">
        <v>0</v>
      </c>
      <c r="AA216" s="14">
        <v>4</v>
      </c>
      <c r="AB216" s="14">
        <v>0</v>
      </c>
      <c r="AC216" s="14">
        <v>0</v>
      </c>
      <c r="AD216" s="25">
        <v>0</v>
      </c>
      <c r="AE216" s="25">
        <v>0</v>
      </c>
      <c r="AF216" s="25">
        <v>0</v>
      </c>
      <c r="AG216" s="25">
        <v>0.25180785100000003</v>
      </c>
      <c r="AH216" s="25">
        <v>0.303571429</v>
      </c>
      <c r="AI216" s="14" t="s">
        <v>1016</v>
      </c>
      <c r="AJ216" s="14" t="s">
        <v>33</v>
      </c>
    </row>
    <row r="217" spans="1:36" ht="15" customHeight="1" x14ac:dyDescent="0.25">
      <c r="A217" s="1">
        <v>106</v>
      </c>
      <c r="B217" s="14" t="s">
        <v>871</v>
      </c>
      <c r="C217" s="14" t="s">
        <v>358</v>
      </c>
      <c r="D217" s="14" t="s">
        <v>13</v>
      </c>
      <c r="E217" s="29" t="s">
        <v>60</v>
      </c>
      <c r="F217" s="14">
        <v>282.45999999999998</v>
      </c>
      <c r="G217" s="14">
        <v>13</v>
      </c>
      <c r="H217" s="14">
        <v>10</v>
      </c>
      <c r="I217" s="14">
        <v>0</v>
      </c>
      <c r="J217" s="14">
        <v>10</v>
      </c>
      <c r="K217" s="14">
        <v>5</v>
      </c>
      <c r="L217" s="14">
        <v>1</v>
      </c>
      <c r="M217" s="14">
        <v>3</v>
      </c>
      <c r="N217" s="14">
        <v>7</v>
      </c>
      <c r="O217" s="14">
        <v>0</v>
      </c>
      <c r="P217" s="14">
        <v>0</v>
      </c>
      <c r="Q217" s="14">
        <v>0</v>
      </c>
      <c r="R217" s="14">
        <v>0</v>
      </c>
      <c r="S217" s="14">
        <v>0</v>
      </c>
      <c r="T217" s="14">
        <v>0</v>
      </c>
      <c r="U217" s="14">
        <v>0</v>
      </c>
      <c r="V217" s="14">
        <v>0</v>
      </c>
      <c r="W217" s="14">
        <v>0</v>
      </c>
      <c r="X217" s="14">
        <v>7</v>
      </c>
      <c r="Y217" s="14">
        <v>0</v>
      </c>
      <c r="Z217" s="14">
        <v>0</v>
      </c>
      <c r="AA217" s="14">
        <v>0</v>
      </c>
      <c r="AB217" s="14">
        <v>0</v>
      </c>
      <c r="AC217" s="14">
        <v>0</v>
      </c>
      <c r="AD217" s="25">
        <v>0</v>
      </c>
      <c r="AE217" s="25">
        <v>0</v>
      </c>
      <c r="AF217" s="25">
        <v>0</v>
      </c>
      <c r="AG217" s="25">
        <v>0.50178359100000003</v>
      </c>
      <c r="AH217" s="25">
        <v>0.54347107400000005</v>
      </c>
      <c r="AI217" s="14" t="s">
        <v>1051</v>
      </c>
      <c r="AJ217" s="14" t="s">
        <v>33</v>
      </c>
    </row>
    <row r="218" spans="1:36" ht="15" customHeight="1" x14ac:dyDescent="0.25">
      <c r="A218" s="1">
        <v>107</v>
      </c>
      <c r="B218" s="14" t="s">
        <v>701</v>
      </c>
      <c r="C218" s="14" t="s">
        <v>434</v>
      </c>
      <c r="D218" s="14" t="s">
        <v>17</v>
      </c>
      <c r="E218" s="29" t="s">
        <v>186</v>
      </c>
      <c r="F218" s="14">
        <v>218.2</v>
      </c>
      <c r="G218" s="14">
        <v>13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3</v>
      </c>
      <c r="N218" s="14">
        <v>2</v>
      </c>
      <c r="O218" s="14">
        <v>0</v>
      </c>
      <c r="P218" s="14">
        <v>0</v>
      </c>
      <c r="Q218" s="14">
        <v>0</v>
      </c>
      <c r="R218" s="14">
        <v>0</v>
      </c>
      <c r="S218" s="14">
        <v>0</v>
      </c>
      <c r="T218" s="14">
        <v>0</v>
      </c>
      <c r="U218" s="14">
        <v>3</v>
      </c>
      <c r="V218" s="14">
        <v>1</v>
      </c>
      <c r="W218" s="14">
        <v>0</v>
      </c>
      <c r="X218" s="14">
        <v>0</v>
      </c>
      <c r="Y218" s="14">
        <v>0</v>
      </c>
      <c r="Z218" s="14">
        <v>0</v>
      </c>
      <c r="AA218" s="14">
        <v>0</v>
      </c>
      <c r="AB218" s="14">
        <v>0</v>
      </c>
      <c r="AC218" s="14">
        <v>0</v>
      </c>
      <c r="AD218" s="25">
        <v>0</v>
      </c>
      <c r="AE218" s="25">
        <v>0</v>
      </c>
      <c r="AF218" s="25">
        <v>0</v>
      </c>
      <c r="AG218" s="25">
        <v>0.52908587299999998</v>
      </c>
      <c r="AH218" s="25">
        <v>0.56401384099999996</v>
      </c>
      <c r="AI218" s="14" t="s">
        <v>1130</v>
      </c>
      <c r="AJ218" s="14" t="s">
        <v>33</v>
      </c>
    </row>
    <row r="219" spans="1:36" ht="15" customHeight="1" x14ac:dyDescent="0.25">
      <c r="A219" s="1">
        <v>108</v>
      </c>
      <c r="B219" s="14" t="s">
        <v>1908</v>
      </c>
      <c r="C219" s="14" t="s">
        <v>2006</v>
      </c>
      <c r="D219" s="14" t="s">
        <v>1929</v>
      </c>
      <c r="E219" s="29" t="s">
        <v>95</v>
      </c>
      <c r="F219" s="14">
        <v>230.29599999999999</v>
      </c>
      <c r="G219" s="14">
        <v>13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2</v>
      </c>
      <c r="N219" s="14">
        <v>8</v>
      </c>
      <c r="O219" s="14">
        <v>0</v>
      </c>
      <c r="P219" s="14">
        <v>0</v>
      </c>
      <c r="Q219" s="14">
        <v>0</v>
      </c>
      <c r="R219" s="14">
        <v>0</v>
      </c>
      <c r="S219" s="14">
        <v>0</v>
      </c>
      <c r="T219" s="14">
        <v>0</v>
      </c>
      <c r="U219" s="14">
        <v>2</v>
      </c>
      <c r="V219" s="14">
        <v>0</v>
      </c>
      <c r="W219" s="14">
        <v>0</v>
      </c>
      <c r="X219" s="14">
        <v>0</v>
      </c>
      <c r="Y219" s="14">
        <v>0</v>
      </c>
      <c r="Z219" s="14">
        <v>0</v>
      </c>
      <c r="AA219" s="14">
        <v>0</v>
      </c>
      <c r="AB219" s="14">
        <v>0</v>
      </c>
      <c r="AC219" s="14">
        <v>0</v>
      </c>
      <c r="AD219" s="25">
        <v>0</v>
      </c>
      <c r="AE219" s="25">
        <v>0</v>
      </c>
      <c r="AF219" s="25">
        <v>0</v>
      </c>
      <c r="AG219" s="25">
        <v>0.54783950599999998</v>
      </c>
      <c r="AH219" s="25">
        <v>0.57266435999999998</v>
      </c>
      <c r="AI219" s="14" t="s">
        <v>1571</v>
      </c>
      <c r="AJ219" s="14" t="s">
        <v>33</v>
      </c>
    </row>
    <row r="220" spans="1:36" ht="15" customHeight="1" x14ac:dyDescent="0.25">
      <c r="A220" s="1">
        <v>109</v>
      </c>
      <c r="B220" s="14" t="s">
        <v>1690</v>
      </c>
      <c r="C220" s="14" t="s">
        <v>1431</v>
      </c>
      <c r="D220" s="14" t="s">
        <v>10</v>
      </c>
      <c r="E220" s="29" t="s">
        <v>71</v>
      </c>
      <c r="F220" s="14">
        <v>88.146000000000001</v>
      </c>
      <c r="G220" s="14">
        <v>13.1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2</v>
      </c>
      <c r="N220" s="14">
        <v>2</v>
      </c>
      <c r="O220" s="14">
        <v>1</v>
      </c>
      <c r="P220" s="14">
        <v>0</v>
      </c>
      <c r="Q220" s="14">
        <v>0</v>
      </c>
      <c r="R220" s="14">
        <v>0</v>
      </c>
      <c r="S220" s="14">
        <v>0</v>
      </c>
      <c r="T220" s="14">
        <v>0</v>
      </c>
      <c r="U220" s="14">
        <v>0</v>
      </c>
      <c r="V220" s="14">
        <v>1</v>
      </c>
      <c r="W220" s="14">
        <v>0</v>
      </c>
      <c r="X220" s="14">
        <v>0</v>
      </c>
      <c r="Y220" s="14">
        <v>0</v>
      </c>
      <c r="Z220" s="14">
        <v>0</v>
      </c>
      <c r="AA220" s="14">
        <v>0</v>
      </c>
      <c r="AB220" s="14">
        <v>1</v>
      </c>
      <c r="AC220" s="14">
        <v>0</v>
      </c>
      <c r="AD220" s="25">
        <v>0</v>
      </c>
      <c r="AE220" s="25">
        <v>0</v>
      </c>
      <c r="AF220" s="25">
        <v>0</v>
      </c>
      <c r="AG220" s="25">
        <v>0.3</v>
      </c>
      <c r="AH220" s="25">
        <v>0.3</v>
      </c>
      <c r="AI220" s="14" t="s">
        <v>1571</v>
      </c>
      <c r="AJ220" s="14" t="s">
        <v>33</v>
      </c>
    </row>
    <row r="221" spans="1:36" ht="15" customHeight="1" x14ac:dyDescent="0.25">
      <c r="A221" s="1">
        <v>110</v>
      </c>
      <c r="B221" s="14" t="s">
        <v>786</v>
      </c>
      <c r="C221" s="14" t="s">
        <v>463</v>
      </c>
      <c r="D221" s="14" t="s">
        <v>21</v>
      </c>
      <c r="E221" s="29" t="s">
        <v>110</v>
      </c>
      <c r="F221" s="14">
        <v>128.21</v>
      </c>
      <c r="G221" s="14">
        <v>13.1</v>
      </c>
      <c r="H221" s="14">
        <v>5</v>
      </c>
      <c r="I221" s="14">
        <v>0</v>
      </c>
      <c r="J221" s="14">
        <v>4</v>
      </c>
      <c r="K221" s="14">
        <v>2</v>
      </c>
      <c r="L221" s="14">
        <v>0</v>
      </c>
      <c r="M221" s="14">
        <v>1</v>
      </c>
      <c r="N221" s="14">
        <v>3</v>
      </c>
      <c r="O221" s="14">
        <v>0</v>
      </c>
      <c r="P221" s="14">
        <v>0</v>
      </c>
      <c r="Q221" s="14">
        <v>1</v>
      </c>
      <c r="R221" s="14">
        <v>0</v>
      </c>
      <c r="S221" s="14">
        <v>0</v>
      </c>
      <c r="T221" s="14">
        <v>0</v>
      </c>
      <c r="U221" s="14">
        <v>0</v>
      </c>
      <c r="V221" s="14">
        <v>0</v>
      </c>
      <c r="W221" s="14">
        <v>0</v>
      </c>
      <c r="X221" s="14">
        <v>3</v>
      </c>
      <c r="Y221" s="14">
        <v>0</v>
      </c>
      <c r="Z221" s="14">
        <v>0</v>
      </c>
      <c r="AA221" s="14">
        <v>0</v>
      </c>
      <c r="AB221" s="14">
        <v>0</v>
      </c>
      <c r="AC221" s="14">
        <v>0</v>
      </c>
      <c r="AD221" s="25">
        <v>0</v>
      </c>
      <c r="AE221" s="25">
        <v>0</v>
      </c>
      <c r="AF221" s="25">
        <v>0</v>
      </c>
      <c r="AG221" s="25">
        <v>0.340071344</v>
      </c>
      <c r="AH221" s="25">
        <v>0.33648393199999999</v>
      </c>
      <c r="AI221" s="14" t="s">
        <v>2007</v>
      </c>
      <c r="AJ221" s="14" t="s">
        <v>33</v>
      </c>
    </row>
    <row r="222" spans="1:36" ht="15" customHeight="1" x14ac:dyDescent="0.25">
      <c r="A222" s="1">
        <v>114</v>
      </c>
      <c r="B222" s="14" t="s">
        <v>1683</v>
      </c>
      <c r="C222" s="14" t="s">
        <v>2008</v>
      </c>
      <c r="D222" s="14" t="s">
        <v>10</v>
      </c>
      <c r="E222" s="29" t="s">
        <v>1684</v>
      </c>
      <c r="F222" s="14">
        <v>88.103999999999999</v>
      </c>
      <c r="G222" s="14">
        <v>14</v>
      </c>
      <c r="H222" s="14">
        <v>0</v>
      </c>
      <c r="I222" s="14">
        <v>1</v>
      </c>
      <c r="J222" s="14">
        <v>0</v>
      </c>
      <c r="K222" s="14">
        <v>1</v>
      </c>
      <c r="L222" s="14">
        <v>0</v>
      </c>
      <c r="M222" s="14">
        <v>0</v>
      </c>
      <c r="N222" s="14">
        <v>2</v>
      </c>
      <c r="O222" s="14">
        <v>1</v>
      </c>
      <c r="P222" s="14">
        <v>1</v>
      </c>
      <c r="Q222" s="14">
        <v>0</v>
      </c>
      <c r="R222" s="14">
        <v>0</v>
      </c>
      <c r="S222" s="14">
        <v>0</v>
      </c>
      <c r="T222" s="14">
        <v>0</v>
      </c>
      <c r="U222" s="14">
        <v>0</v>
      </c>
      <c r="V222" s="14">
        <v>0</v>
      </c>
      <c r="W222" s="14">
        <v>1</v>
      </c>
      <c r="X222" s="14">
        <v>0</v>
      </c>
      <c r="Y222" s="14">
        <v>1</v>
      </c>
      <c r="Z222" s="14">
        <v>0</v>
      </c>
      <c r="AA222" s="14">
        <v>0</v>
      </c>
      <c r="AB222" s="14">
        <v>1</v>
      </c>
      <c r="AC222" s="14">
        <v>0</v>
      </c>
      <c r="AD222" s="25">
        <v>0</v>
      </c>
      <c r="AE222" s="25">
        <v>0</v>
      </c>
      <c r="AF222" s="25">
        <v>0</v>
      </c>
      <c r="AG222" s="25">
        <v>0.31944444399999999</v>
      </c>
      <c r="AH222" s="25">
        <v>0.31944444399999999</v>
      </c>
      <c r="AI222" s="14" t="s">
        <v>1571</v>
      </c>
      <c r="AJ222" s="14" t="s">
        <v>33</v>
      </c>
    </row>
    <row r="223" spans="1:36" ht="15" customHeight="1" x14ac:dyDescent="0.25">
      <c r="A223" s="1">
        <v>115</v>
      </c>
      <c r="B223" s="14" t="s">
        <v>1582</v>
      </c>
      <c r="C223" s="14" t="s">
        <v>2009</v>
      </c>
      <c r="D223" s="14" t="s">
        <v>19</v>
      </c>
      <c r="E223" s="29" t="s">
        <v>90</v>
      </c>
      <c r="F223" s="14">
        <v>114.224</v>
      </c>
      <c r="G223" s="14">
        <v>14</v>
      </c>
      <c r="H223" s="14">
        <v>0</v>
      </c>
      <c r="I223" s="14">
        <v>0</v>
      </c>
      <c r="J223" s="14">
        <v>0</v>
      </c>
      <c r="K223" s="14">
        <v>0</v>
      </c>
      <c r="L223" s="14">
        <v>1</v>
      </c>
      <c r="M223" s="14">
        <v>5</v>
      </c>
      <c r="N223" s="14">
        <v>1</v>
      </c>
      <c r="O223" s="14">
        <v>0</v>
      </c>
      <c r="P223" s="14">
        <v>0</v>
      </c>
      <c r="Q223" s="14">
        <v>0</v>
      </c>
      <c r="R223" s="14">
        <v>0</v>
      </c>
      <c r="S223" s="14">
        <v>0</v>
      </c>
      <c r="T223" s="14">
        <v>0</v>
      </c>
      <c r="U223" s="14">
        <v>0</v>
      </c>
      <c r="V223" s="14">
        <v>1</v>
      </c>
      <c r="W223" s="14">
        <v>0</v>
      </c>
      <c r="X223" s="14">
        <v>0</v>
      </c>
      <c r="Y223" s="14">
        <v>0</v>
      </c>
      <c r="Z223" s="14">
        <v>0</v>
      </c>
      <c r="AA223" s="14">
        <v>0</v>
      </c>
      <c r="AB223" s="14">
        <v>0</v>
      </c>
      <c r="AC223" s="14">
        <v>0</v>
      </c>
      <c r="AD223" s="25">
        <v>0</v>
      </c>
      <c r="AE223" s="25">
        <v>0</v>
      </c>
      <c r="AF223" s="25">
        <v>0</v>
      </c>
      <c r="AG223" s="25">
        <v>0.375</v>
      </c>
      <c r="AH223" s="25">
        <v>0.35714285699999998</v>
      </c>
      <c r="AI223" s="14" t="s">
        <v>1571</v>
      </c>
      <c r="AJ223" s="14" t="s">
        <v>33</v>
      </c>
    </row>
    <row r="224" spans="1:36" ht="15" customHeight="1" x14ac:dyDescent="0.25">
      <c r="A224" s="1">
        <v>116</v>
      </c>
      <c r="B224" s="14" t="s">
        <v>1584</v>
      </c>
      <c r="C224" s="14" t="s">
        <v>1376</v>
      </c>
      <c r="D224" s="14" t="s">
        <v>19</v>
      </c>
      <c r="E224" s="29" t="s">
        <v>90</v>
      </c>
      <c r="F224" s="14">
        <v>114.224</v>
      </c>
      <c r="G224" s="14">
        <v>14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5</v>
      </c>
      <c r="N224" s="14">
        <v>0</v>
      </c>
      <c r="O224" s="14">
        <v>0</v>
      </c>
      <c r="P224" s="14">
        <v>0</v>
      </c>
      <c r="Q224" s="14">
        <v>0</v>
      </c>
      <c r="R224" s="14">
        <v>0</v>
      </c>
      <c r="S224" s="14">
        <v>0</v>
      </c>
      <c r="T224" s="14">
        <v>0</v>
      </c>
      <c r="U224" s="14">
        <v>0</v>
      </c>
      <c r="V224" s="14">
        <v>3</v>
      </c>
      <c r="W224" s="14">
        <v>0</v>
      </c>
      <c r="X224" s="14">
        <v>0</v>
      </c>
      <c r="Y224" s="14">
        <v>0</v>
      </c>
      <c r="Z224" s="14">
        <v>0</v>
      </c>
      <c r="AA224" s="14">
        <v>0</v>
      </c>
      <c r="AB224" s="14">
        <v>0</v>
      </c>
      <c r="AC224" s="14">
        <v>0</v>
      </c>
      <c r="AD224" s="25">
        <v>0</v>
      </c>
      <c r="AE224" s="25">
        <v>0</v>
      </c>
      <c r="AF224" s="25">
        <v>0</v>
      </c>
      <c r="AG224" s="25">
        <v>0.3671875</v>
      </c>
      <c r="AH224" s="25">
        <v>0.37755102000000001</v>
      </c>
      <c r="AI224" s="14" t="s">
        <v>1571</v>
      </c>
      <c r="AJ224" s="14" t="s">
        <v>33</v>
      </c>
    </row>
    <row r="225" spans="1:36" ht="15" customHeight="1" x14ac:dyDescent="0.25">
      <c r="A225" s="1">
        <v>117</v>
      </c>
      <c r="B225" s="14" t="s">
        <v>800</v>
      </c>
      <c r="C225" s="14" t="s">
        <v>552</v>
      </c>
      <c r="D225" s="14" t="s">
        <v>21</v>
      </c>
      <c r="E225" s="29" t="s">
        <v>232</v>
      </c>
      <c r="F225" s="14">
        <v>88.1</v>
      </c>
      <c r="G225" s="14">
        <v>14</v>
      </c>
      <c r="H225" s="14">
        <v>0</v>
      </c>
      <c r="I225" s="14">
        <v>1</v>
      </c>
      <c r="J225" s="14">
        <v>0</v>
      </c>
      <c r="K225" s="14">
        <v>1</v>
      </c>
      <c r="L225" s="14">
        <v>0</v>
      </c>
      <c r="M225" s="14">
        <v>0</v>
      </c>
      <c r="N225" s="14">
        <v>2</v>
      </c>
      <c r="O225" s="14">
        <v>1</v>
      </c>
      <c r="P225" s="14">
        <v>1</v>
      </c>
      <c r="Q225" s="14">
        <v>0</v>
      </c>
      <c r="R225" s="14">
        <v>0</v>
      </c>
      <c r="S225" s="14">
        <v>0</v>
      </c>
      <c r="T225" s="14">
        <v>0</v>
      </c>
      <c r="U225" s="14">
        <v>0</v>
      </c>
      <c r="V225" s="14">
        <v>0</v>
      </c>
      <c r="W225" s="14">
        <v>1</v>
      </c>
      <c r="X225" s="14">
        <v>0</v>
      </c>
      <c r="Y225" s="14">
        <v>1</v>
      </c>
      <c r="Z225" s="14">
        <v>0</v>
      </c>
      <c r="AA225" s="14">
        <v>0</v>
      </c>
      <c r="AB225" s="14">
        <v>1</v>
      </c>
      <c r="AC225" s="14">
        <v>0</v>
      </c>
      <c r="AD225" s="25">
        <v>0</v>
      </c>
      <c r="AE225" s="25">
        <v>0</v>
      </c>
      <c r="AF225" s="25">
        <v>0</v>
      </c>
      <c r="AG225" s="25">
        <v>0.31944444399999999</v>
      </c>
      <c r="AH225" s="25">
        <v>0.31944444399999999</v>
      </c>
      <c r="AI225" s="14" t="s">
        <v>1246</v>
      </c>
      <c r="AJ225" s="14" t="s">
        <v>33</v>
      </c>
    </row>
    <row r="226" spans="1:36" ht="15" customHeight="1" x14ac:dyDescent="0.25">
      <c r="A226" s="1">
        <v>119</v>
      </c>
      <c r="B226" s="14" t="s">
        <v>855</v>
      </c>
      <c r="C226" s="14" t="s">
        <v>316</v>
      </c>
      <c r="D226" s="14" t="s">
        <v>21</v>
      </c>
      <c r="E226" s="29" t="s">
        <v>120</v>
      </c>
      <c r="F226" s="14">
        <v>172.22</v>
      </c>
      <c r="G226" s="14">
        <v>14.4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2</v>
      </c>
      <c r="N226" s="14">
        <v>5</v>
      </c>
      <c r="O226" s="14">
        <v>0</v>
      </c>
      <c r="P226" s="14">
        <v>0</v>
      </c>
      <c r="Q226" s="14">
        <v>0</v>
      </c>
      <c r="R226" s="14">
        <v>1</v>
      </c>
      <c r="S226" s="14">
        <v>0</v>
      </c>
      <c r="T226" s="14">
        <v>0</v>
      </c>
      <c r="U226" s="14">
        <v>1</v>
      </c>
      <c r="V226" s="14">
        <v>0</v>
      </c>
      <c r="W226" s="14">
        <v>0</v>
      </c>
      <c r="X226" s="14">
        <v>0</v>
      </c>
      <c r="Y226" s="14">
        <v>0</v>
      </c>
      <c r="Z226" s="14">
        <v>0</v>
      </c>
      <c r="AA226" s="14">
        <v>0</v>
      </c>
      <c r="AB226" s="14">
        <v>0</v>
      </c>
      <c r="AC226" s="14">
        <v>0</v>
      </c>
      <c r="AD226" s="25">
        <v>0</v>
      </c>
      <c r="AE226" s="25">
        <v>0</v>
      </c>
      <c r="AF226" s="25">
        <v>0</v>
      </c>
      <c r="AG226" s="25">
        <v>0.47777777799999999</v>
      </c>
      <c r="AH226" s="25">
        <v>0.51183431999999995</v>
      </c>
      <c r="AI226" s="14" t="s">
        <v>1007</v>
      </c>
      <c r="AJ226" s="14" t="s">
        <v>33</v>
      </c>
    </row>
    <row r="227" spans="1:36" ht="15" customHeight="1" x14ac:dyDescent="0.25">
      <c r="A227" s="1">
        <v>120</v>
      </c>
      <c r="B227" s="14" t="s">
        <v>877</v>
      </c>
      <c r="C227" s="14" t="s">
        <v>363</v>
      </c>
      <c r="D227" s="14" t="s">
        <v>13</v>
      </c>
      <c r="E227" s="29" t="s">
        <v>129</v>
      </c>
      <c r="F227" s="14">
        <v>120.19</v>
      </c>
      <c r="G227" s="14">
        <v>15</v>
      </c>
      <c r="H227" s="14">
        <v>6</v>
      </c>
      <c r="I227" s="14">
        <v>0</v>
      </c>
      <c r="J227" s="14">
        <v>6</v>
      </c>
      <c r="K227" s="14">
        <v>3</v>
      </c>
      <c r="L227" s="14">
        <v>0</v>
      </c>
      <c r="M227" s="14">
        <v>2</v>
      </c>
      <c r="N227" s="14">
        <v>0</v>
      </c>
      <c r="O227" s="14">
        <v>0</v>
      </c>
      <c r="P227" s="14">
        <v>0</v>
      </c>
      <c r="Q227" s="14">
        <v>0</v>
      </c>
      <c r="R227" s="14">
        <v>0</v>
      </c>
      <c r="S227" s="14">
        <v>0</v>
      </c>
      <c r="T227" s="14">
        <v>0</v>
      </c>
      <c r="U227" s="14">
        <v>0</v>
      </c>
      <c r="V227" s="14">
        <v>1</v>
      </c>
      <c r="W227" s="14">
        <v>0</v>
      </c>
      <c r="X227" s="14">
        <v>5</v>
      </c>
      <c r="Y227" s="14">
        <v>0</v>
      </c>
      <c r="Z227" s="14">
        <v>0</v>
      </c>
      <c r="AA227" s="14">
        <v>0</v>
      </c>
      <c r="AB227" s="14">
        <v>0</v>
      </c>
      <c r="AC227" s="14">
        <v>0</v>
      </c>
      <c r="AD227" s="25">
        <v>0</v>
      </c>
      <c r="AE227" s="25">
        <v>0</v>
      </c>
      <c r="AF227" s="25">
        <v>0</v>
      </c>
      <c r="AG227" s="25">
        <v>0.436945266</v>
      </c>
      <c r="AH227" s="25">
        <v>0.28819444399999999</v>
      </c>
      <c r="AI227" s="14" t="s">
        <v>1057</v>
      </c>
      <c r="AJ227" s="14" t="s">
        <v>33</v>
      </c>
    </row>
    <row r="228" spans="1:36" ht="15" customHeight="1" x14ac:dyDescent="0.25">
      <c r="A228" s="1">
        <v>121</v>
      </c>
      <c r="B228" s="14" t="s">
        <v>681</v>
      </c>
      <c r="C228" s="14" t="s">
        <v>259</v>
      </c>
      <c r="D228" s="14" t="s">
        <v>16</v>
      </c>
      <c r="E228" s="29" t="s">
        <v>67</v>
      </c>
      <c r="F228" s="14">
        <v>84.16</v>
      </c>
      <c r="G228" s="14">
        <v>15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4">
        <v>0</v>
      </c>
      <c r="S228" s="14">
        <v>0</v>
      </c>
      <c r="T228" s="14">
        <v>0</v>
      </c>
      <c r="U228" s="14">
        <v>0</v>
      </c>
      <c r="V228" s="14">
        <v>0</v>
      </c>
      <c r="W228" s="14">
        <v>0</v>
      </c>
      <c r="X228" s="14">
        <v>0</v>
      </c>
      <c r="Y228" s="14">
        <v>0</v>
      </c>
      <c r="Z228" s="14">
        <v>0</v>
      </c>
      <c r="AA228" s="14">
        <v>6</v>
      </c>
      <c r="AB228" s="14">
        <v>0</v>
      </c>
      <c r="AC228" s="14">
        <v>0</v>
      </c>
      <c r="AD228" s="25">
        <v>0</v>
      </c>
      <c r="AE228" s="25">
        <v>0</v>
      </c>
      <c r="AF228" s="25">
        <v>0</v>
      </c>
      <c r="AG228" s="25">
        <v>0.16666666699999999</v>
      </c>
      <c r="AH228" s="25">
        <v>0.16666666699999999</v>
      </c>
      <c r="AI228" s="14" t="s">
        <v>945</v>
      </c>
      <c r="AJ228" s="14" t="s">
        <v>33</v>
      </c>
    </row>
    <row r="229" spans="1:36" ht="15" customHeight="1" x14ac:dyDescent="0.25">
      <c r="A229" s="1">
        <v>122</v>
      </c>
      <c r="B229" s="14" t="s">
        <v>1897</v>
      </c>
      <c r="C229" s="14" t="s">
        <v>2010</v>
      </c>
      <c r="D229" s="14" t="s">
        <v>1929</v>
      </c>
      <c r="E229" s="29" t="s">
        <v>1898</v>
      </c>
      <c r="F229" s="14">
        <v>132.114</v>
      </c>
      <c r="G229" s="14">
        <v>15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2</v>
      </c>
      <c r="N229" s="14">
        <v>1</v>
      </c>
      <c r="O229" s="14">
        <v>0</v>
      </c>
      <c r="P229" s="14">
        <v>0</v>
      </c>
      <c r="Q229" s="14">
        <v>0</v>
      </c>
      <c r="R229" s="14">
        <v>0</v>
      </c>
      <c r="S229" s="14">
        <v>0</v>
      </c>
      <c r="T229" s="14">
        <v>0</v>
      </c>
      <c r="U229" s="14">
        <v>2</v>
      </c>
      <c r="V229" s="14">
        <v>0</v>
      </c>
      <c r="W229" s="14">
        <v>0</v>
      </c>
      <c r="X229" s="14">
        <v>0</v>
      </c>
      <c r="Y229" s="14">
        <v>0</v>
      </c>
      <c r="Z229" s="14">
        <v>0</v>
      </c>
      <c r="AA229" s="14">
        <v>0</v>
      </c>
      <c r="AB229" s="14">
        <v>0</v>
      </c>
      <c r="AC229" s="14">
        <v>0</v>
      </c>
      <c r="AD229" s="25">
        <v>0</v>
      </c>
      <c r="AE229" s="25">
        <v>0</v>
      </c>
      <c r="AF229" s="25">
        <v>0</v>
      </c>
      <c r="AG229" s="25">
        <v>0.41499999999999998</v>
      </c>
      <c r="AH229" s="25">
        <v>0.41499999999999998</v>
      </c>
      <c r="AI229" s="14" t="s">
        <v>1571</v>
      </c>
      <c r="AJ229" s="14" t="s">
        <v>33</v>
      </c>
    </row>
    <row r="230" spans="1:36" ht="15" customHeight="1" x14ac:dyDescent="0.25">
      <c r="A230" s="1">
        <v>125</v>
      </c>
      <c r="B230" s="14" t="s">
        <v>591</v>
      </c>
      <c r="C230" s="14" t="s">
        <v>536</v>
      </c>
      <c r="D230" s="14" t="s">
        <v>19</v>
      </c>
      <c r="E230" s="29" t="s">
        <v>90</v>
      </c>
      <c r="F230" s="14">
        <v>114.23</v>
      </c>
      <c r="G230" s="14">
        <v>15</v>
      </c>
      <c r="H230" s="14">
        <v>0</v>
      </c>
      <c r="I230" s="14">
        <v>0</v>
      </c>
      <c r="J230" s="14">
        <v>0</v>
      </c>
      <c r="K230" s="14">
        <v>0</v>
      </c>
      <c r="L230" s="14">
        <v>1</v>
      </c>
      <c r="M230" s="14">
        <v>5</v>
      </c>
      <c r="N230" s="14">
        <v>1</v>
      </c>
      <c r="O230" s="14">
        <v>0</v>
      </c>
      <c r="P230" s="14">
        <v>0</v>
      </c>
      <c r="Q230" s="14">
        <v>0</v>
      </c>
      <c r="R230" s="14">
        <v>0</v>
      </c>
      <c r="S230" s="14">
        <v>0</v>
      </c>
      <c r="T230" s="14">
        <v>0</v>
      </c>
      <c r="U230" s="14">
        <v>0</v>
      </c>
      <c r="V230" s="14">
        <v>1</v>
      </c>
      <c r="W230" s="14">
        <v>0</v>
      </c>
      <c r="X230" s="14">
        <v>0</v>
      </c>
      <c r="Y230" s="14">
        <v>0</v>
      </c>
      <c r="Z230" s="14">
        <v>0</v>
      </c>
      <c r="AA230" s="14">
        <v>0</v>
      </c>
      <c r="AB230" s="14">
        <v>0</v>
      </c>
      <c r="AC230" s="14">
        <v>0</v>
      </c>
      <c r="AD230" s="25">
        <v>0</v>
      </c>
      <c r="AE230" s="25">
        <v>0</v>
      </c>
      <c r="AF230" s="25">
        <v>0</v>
      </c>
      <c r="AG230" s="25">
        <v>0.375</v>
      </c>
      <c r="AH230" s="25">
        <v>0.35714285699999998</v>
      </c>
      <c r="AI230" s="14" t="s">
        <v>1231</v>
      </c>
      <c r="AJ230" s="14" t="s">
        <v>33</v>
      </c>
    </row>
    <row r="231" spans="1:36" ht="15" customHeight="1" x14ac:dyDescent="0.25">
      <c r="A231" s="1">
        <v>126</v>
      </c>
      <c r="B231" s="14" t="s">
        <v>1329</v>
      </c>
      <c r="C231" s="14" t="s">
        <v>2011</v>
      </c>
      <c r="D231" s="14" t="s">
        <v>7</v>
      </c>
      <c r="E231" s="29" t="s">
        <v>132</v>
      </c>
      <c r="F231" s="14">
        <v>226.44175999999999</v>
      </c>
      <c r="G231" s="14">
        <v>15</v>
      </c>
      <c r="H231" s="14">
        <v>0</v>
      </c>
      <c r="I231" s="14">
        <v>0</v>
      </c>
      <c r="J231" s="14">
        <v>0</v>
      </c>
      <c r="K231" s="14">
        <v>0</v>
      </c>
      <c r="L231" s="14">
        <v>3</v>
      </c>
      <c r="M231" s="14">
        <v>9</v>
      </c>
      <c r="N231" s="14">
        <v>3</v>
      </c>
      <c r="O231" s="14">
        <v>0</v>
      </c>
      <c r="P231" s="14">
        <v>0</v>
      </c>
      <c r="Q231" s="14">
        <v>0</v>
      </c>
      <c r="R231" s="14">
        <v>0</v>
      </c>
      <c r="S231" s="14">
        <v>0</v>
      </c>
      <c r="T231" s="14">
        <v>0</v>
      </c>
      <c r="U231" s="14">
        <v>0</v>
      </c>
      <c r="V231" s="14">
        <v>1</v>
      </c>
      <c r="W231" s="14">
        <v>0</v>
      </c>
      <c r="X231" s="14">
        <v>0</v>
      </c>
      <c r="Y231" s="14">
        <v>0</v>
      </c>
      <c r="Z231" s="14">
        <v>0</v>
      </c>
      <c r="AA231" s="14">
        <v>0</v>
      </c>
      <c r="AB231" s="14">
        <v>0</v>
      </c>
      <c r="AC231" s="14">
        <v>0</v>
      </c>
      <c r="AD231" s="25">
        <v>0</v>
      </c>
      <c r="AE231" s="25">
        <v>0</v>
      </c>
      <c r="AF231" s="25">
        <v>0</v>
      </c>
      <c r="AG231" s="25">
        <v>0.529296875</v>
      </c>
      <c r="AH231" s="25">
        <v>0.54888888899999999</v>
      </c>
      <c r="AI231" s="14" t="s">
        <v>1306</v>
      </c>
      <c r="AJ231" s="14" t="s">
        <v>33</v>
      </c>
    </row>
    <row r="232" spans="1:36" ht="15" customHeight="1" x14ac:dyDescent="0.25">
      <c r="A232" s="1">
        <v>127</v>
      </c>
      <c r="B232" s="14" t="s">
        <v>1330</v>
      </c>
      <c r="C232" s="14" t="s">
        <v>2012</v>
      </c>
      <c r="D232" s="14" t="s">
        <v>7</v>
      </c>
      <c r="E232" s="29" t="s">
        <v>132</v>
      </c>
      <c r="F232" s="14">
        <v>226.44175999999999</v>
      </c>
      <c r="G232" s="14">
        <v>15</v>
      </c>
      <c r="H232" s="14">
        <v>0</v>
      </c>
      <c r="I232" s="14">
        <v>0</v>
      </c>
      <c r="J232" s="14">
        <v>0</v>
      </c>
      <c r="K232" s="14">
        <v>0</v>
      </c>
      <c r="L232" s="14">
        <v>3</v>
      </c>
      <c r="M232" s="14">
        <v>9</v>
      </c>
      <c r="N232" s="14">
        <v>3</v>
      </c>
      <c r="O232" s="14">
        <v>0</v>
      </c>
      <c r="P232" s="14">
        <v>0</v>
      </c>
      <c r="Q232" s="14">
        <v>0</v>
      </c>
      <c r="R232" s="14">
        <v>0</v>
      </c>
      <c r="S232" s="14">
        <v>0</v>
      </c>
      <c r="T232" s="14">
        <v>0</v>
      </c>
      <c r="U232" s="14">
        <v>0</v>
      </c>
      <c r="V232" s="14">
        <v>1</v>
      </c>
      <c r="W232" s="14">
        <v>0</v>
      </c>
      <c r="X232" s="14">
        <v>0</v>
      </c>
      <c r="Y232" s="14">
        <v>0</v>
      </c>
      <c r="Z232" s="14">
        <v>0</v>
      </c>
      <c r="AA232" s="14">
        <v>0</v>
      </c>
      <c r="AB232" s="14">
        <v>0</v>
      </c>
      <c r="AC232" s="14">
        <v>0</v>
      </c>
      <c r="AD232" s="25">
        <v>0</v>
      </c>
      <c r="AE232" s="25">
        <v>0</v>
      </c>
      <c r="AF232" s="25">
        <v>0</v>
      </c>
      <c r="AG232" s="25">
        <v>0.529296875</v>
      </c>
      <c r="AH232" s="25">
        <v>0.54444444400000003</v>
      </c>
      <c r="AI232" s="14" t="s">
        <v>1306</v>
      </c>
      <c r="AJ232" s="14" t="s">
        <v>33</v>
      </c>
    </row>
    <row r="233" spans="1:36" ht="15" customHeight="1" x14ac:dyDescent="0.25">
      <c r="A233" s="1">
        <v>129</v>
      </c>
      <c r="B233" s="14" t="s">
        <v>811</v>
      </c>
      <c r="C233" s="14" t="s">
        <v>475</v>
      </c>
      <c r="D233" s="14" t="s">
        <v>21</v>
      </c>
      <c r="E233" s="29" t="s">
        <v>207</v>
      </c>
      <c r="F233" s="14">
        <v>76.09</v>
      </c>
      <c r="G233" s="14">
        <v>15.5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1</v>
      </c>
      <c r="N233" s="14">
        <v>2</v>
      </c>
      <c r="O233" s="14">
        <v>1</v>
      </c>
      <c r="P233" s="14">
        <v>1</v>
      </c>
      <c r="Q233" s="14">
        <v>0</v>
      </c>
      <c r="R233" s="14">
        <v>0</v>
      </c>
      <c r="S233" s="14">
        <v>0</v>
      </c>
      <c r="T233" s="14">
        <v>0</v>
      </c>
      <c r="U233" s="14">
        <v>0</v>
      </c>
      <c r="V233" s="14">
        <v>0</v>
      </c>
      <c r="W233" s="14">
        <v>0</v>
      </c>
      <c r="X233" s="14">
        <v>0</v>
      </c>
      <c r="Y233" s="14">
        <v>0</v>
      </c>
      <c r="Z233" s="14">
        <v>0</v>
      </c>
      <c r="AA233" s="14">
        <v>0</v>
      </c>
      <c r="AB233" s="14">
        <v>1</v>
      </c>
      <c r="AC233" s="14">
        <v>0</v>
      </c>
      <c r="AD233" s="25">
        <v>0</v>
      </c>
      <c r="AE233" s="25">
        <v>0</v>
      </c>
      <c r="AF233" s="25">
        <v>0</v>
      </c>
      <c r="AG233" s="25">
        <v>0.255102041</v>
      </c>
      <c r="AH233" s="25">
        <v>0.21875</v>
      </c>
      <c r="AI233" s="14" t="s">
        <v>1170</v>
      </c>
      <c r="AJ233" s="14" t="s">
        <v>33</v>
      </c>
    </row>
    <row r="234" spans="1:36" ht="15" customHeight="1" x14ac:dyDescent="0.25">
      <c r="A234" s="1">
        <v>130</v>
      </c>
      <c r="B234" s="14" t="s">
        <v>852</v>
      </c>
      <c r="C234" s="14" t="s">
        <v>320</v>
      </c>
      <c r="D234" s="14" t="s">
        <v>21</v>
      </c>
      <c r="E234" s="29" t="s">
        <v>124</v>
      </c>
      <c r="F234" s="14">
        <v>70.09</v>
      </c>
      <c r="G234" s="14">
        <v>15.6</v>
      </c>
      <c r="H234" s="14">
        <v>0</v>
      </c>
      <c r="I234" s="14">
        <v>1</v>
      </c>
      <c r="J234" s="14">
        <v>0</v>
      </c>
      <c r="K234" s="14">
        <v>1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4">
        <v>1</v>
      </c>
      <c r="R234" s="14">
        <v>0</v>
      </c>
      <c r="S234" s="14">
        <v>0</v>
      </c>
      <c r="T234" s="14">
        <v>0</v>
      </c>
      <c r="U234" s="14">
        <v>0</v>
      </c>
      <c r="V234" s="14">
        <v>0</v>
      </c>
      <c r="W234" s="14">
        <v>0</v>
      </c>
      <c r="X234" s="14">
        <v>2</v>
      </c>
      <c r="Y234" s="14">
        <v>0</v>
      </c>
      <c r="Z234" s="14">
        <v>0</v>
      </c>
      <c r="AA234" s="14">
        <v>2</v>
      </c>
      <c r="AB234" s="14">
        <v>0</v>
      </c>
      <c r="AC234" s="14">
        <v>0</v>
      </c>
      <c r="AD234" s="25">
        <v>0</v>
      </c>
      <c r="AE234" s="25">
        <v>0</v>
      </c>
      <c r="AF234" s="25">
        <v>0</v>
      </c>
      <c r="AG234" s="25">
        <v>0.17499999999999999</v>
      </c>
      <c r="AH234" s="25">
        <v>0.16666666699999999</v>
      </c>
      <c r="AI234" s="14" t="s">
        <v>1012</v>
      </c>
      <c r="AJ234" s="14" t="s">
        <v>33</v>
      </c>
    </row>
    <row r="235" spans="1:36" ht="15" customHeight="1" x14ac:dyDescent="0.25">
      <c r="A235" s="1">
        <v>132</v>
      </c>
      <c r="B235" s="14" t="s">
        <v>1746</v>
      </c>
      <c r="C235" s="14" t="s">
        <v>1462</v>
      </c>
      <c r="D235" s="14" t="s">
        <v>20</v>
      </c>
      <c r="E235" s="29" t="s">
        <v>190</v>
      </c>
      <c r="F235" s="14">
        <v>114.182</v>
      </c>
      <c r="G235" s="14">
        <v>15.8</v>
      </c>
      <c r="H235" s="14">
        <v>0</v>
      </c>
      <c r="I235" s="14">
        <v>0</v>
      </c>
      <c r="J235" s="14">
        <v>0</v>
      </c>
      <c r="K235" s="14">
        <v>0</v>
      </c>
      <c r="L235" s="14">
        <v>0</v>
      </c>
      <c r="M235" s="14">
        <v>4</v>
      </c>
      <c r="N235" s="14">
        <v>0</v>
      </c>
      <c r="O235" s="14">
        <v>0</v>
      </c>
      <c r="P235" s="14">
        <v>0</v>
      </c>
      <c r="Q235" s="14">
        <v>0</v>
      </c>
      <c r="R235" s="14">
        <v>1</v>
      </c>
      <c r="S235" s="14">
        <v>0</v>
      </c>
      <c r="T235" s="14">
        <v>0</v>
      </c>
      <c r="U235" s="14">
        <v>0</v>
      </c>
      <c r="V235" s="14">
        <v>2</v>
      </c>
      <c r="W235" s="14">
        <v>0</v>
      </c>
      <c r="X235" s="14">
        <v>0</v>
      </c>
      <c r="Y235" s="14">
        <v>0</v>
      </c>
      <c r="Z235" s="14">
        <v>0</v>
      </c>
      <c r="AA235" s="14">
        <v>0</v>
      </c>
      <c r="AB235" s="14">
        <v>0</v>
      </c>
      <c r="AC235" s="14">
        <v>0</v>
      </c>
      <c r="AD235" s="25">
        <v>0</v>
      </c>
      <c r="AE235" s="25">
        <v>0</v>
      </c>
      <c r="AF235" s="25">
        <v>0</v>
      </c>
      <c r="AG235" s="25">
        <v>0.40123456800000001</v>
      </c>
      <c r="AH235" s="25">
        <v>0.4140625</v>
      </c>
      <c r="AI235" s="14" t="s">
        <v>1571</v>
      </c>
      <c r="AJ235" s="14" t="s">
        <v>33</v>
      </c>
    </row>
    <row r="236" spans="1:36" ht="15" customHeight="1" x14ac:dyDescent="0.25">
      <c r="A236" s="1">
        <v>134</v>
      </c>
      <c r="B236" s="14" t="s">
        <v>1612</v>
      </c>
      <c r="C236" s="14" t="s">
        <v>2013</v>
      </c>
      <c r="D236" s="14" t="s">
        <v>16</v>
      </c>
      <c r="E236" s="29" t="s">
        <v>54</v>
      </c>
      <c r="F236" s="14">
        <v>112.208</v>
      </c>
      <c r="G236" s="14">
        <v>16</v>
      </c>
      <c r="H236" s="14">
        <v>0</v>
      </c>
      <c r="I236" s="14">
        <v>0</v>
      </c>
      <c r="J236" s="14">
        <v>0</v>
      </c>
      <c r="K236" s="14">
        <v>0</v>
      </c>
      <c r="L236" s="14">
        <v>1</v>
      </c>
      <c r="M236" s="14">
        <v>3</v>
      </c>
      <c r="N236" s="14">
        <v>0</v>
      </c>
      <c r="O236" s="14">
        <v>0</v>
      </c>
      <c r="P236" s="14">
        <v>0</v>
      </c>
      <c r="Q236" s="14">
        <v>0</v>
      </c>
      <c r="R236" s="14">
        <v>0</v>
      </c>
      <c r="S236" s="14">
        <v>0</v>
      </c>
      <c r="T236" s="14">
        <v>0</v>
      </c>
      <c r="U236" s="14">
        <v>0</v>
      </c>
      <c r="V236" s="14">
        <v>0</v>
      </c>
      <c r="W236" s="14">
        <v>0</v>
      </c>
      <c r="X236" s="14">
        <v>0</v>
      </c>
      <c r="Y236" s="14">
        <v>0</v>
      </c>
      <c r="Z236" s="14">
        <v>1</v>
      </c>
      <c r="AA236" s="14">
        <v>3</v>
      </c>
      <c r="AB236" s="14">
        <v>0</v>
      </c>
      <c r="AC236" s="14">
        <v>0</v>
      </c>
      <c r="AD236" s="25">
        <v>0</v>
      </c>
      <c r="AE236" s="25">
        <v>0</v>
      </c>
      <c r="AF236" s="25">
        <v>0</v>
      </c>
      <c r="AG236" s="25">
        <v>0.28125</v>
      </c>
      <c r="AH236" s="25">
        <v>0.28125</v>
      </c>
      <c r="AI236" s="14" t="s">
        <v>1571</v>
      </c>
      <c r="AJ236" s="14" t="s">
        <v>33</v>
      </c>
    </row>
    <row r="237" spans="1:36" ht="15" customHeight="1" x14ac:dyDescent="0.25">
      <c r="A237" s="1">
        <v>135</v>
      </c>
      <c r="B237" s="14" t="s">
        <v>620</v>
      </c>
      <c r="C237" s="14" t="s">
        <v>538</v>
      </c>
      <c r="D237" s="14" t="s">
        <v>10</v>
      </c>
      <c r="E237" s="29" t="s">
        <v>48</v>
      </c>
      <c r="F237" s="14">
        <v>100.16</v>
      </c>
      <c r="G237" s="14">
        <v>16.3</v>
      </c>
      <c r="H237" s="14">
        <v>0</v>
      </c>
      <c r="I237" s="14">
        <v>0</v>
      </c>
      <c r="J237" s="14">
        <v>0</v>
      </c>
      <c r="K237" s="14">
        <v>0</v>
      </c>
      <c r="L237" s="14">
        <v>0</v>
      </c>
      <c r="M237" s="14">
        <v>0</v>
      </c>
      <c r="N237" s="14">
        <v>0</v>
      </c>
      <c r="O237" s="14">
        <v>1</v>
      </c>
      <c r="P237" s="14">
        <v>0</v>
      </c>
      <c r="Q237" s="14">
        <v>0</v>
      </c>
      <c r="R237" s="14">
        <v>0</v>
      </c>
      <c r="S237" s="14">
        <v>0</v>
      </c>
      <c r="T237" s="14">
        <v>0</v>
      </c>
      <c r="U237" s="14">
        <v>0</v>
      </c>
      <c r="V237" s="14">
        <v>0</v>
      </c>
      <c r="W237" s="14">
        <v>0</v>
      </c>
      <c r="X237" s="14">
        <v>0</v>
      </c>
      <c r="Y237" s="14">
        <v>0</v>
      </c>
      <c r="Z237" s="14">
        <v>1</v>
      </c>
      <c r="AA237" s="14">
        <v>5</v>
      </c>
      <c r="AB237" s="14">
        <v>0</v>
      </c>
      <c r="AC237" s="14">
        <v>1</v>
      </c>
      <c r="AD237" s="25">
        <v>0</v>
      </c>
      <c r="AE237" s="25">
        <v>0</v>
      </c>
      <c r="AF237" s="25">
        <v>0</v>
      </c>
      <c r="AG237" s="25">
        <v>0.22448979599999999</v>
      </c>
      <c r="AH237" s="25">
        <v>0.22448979599999999</v>
      </c>
      <c r="AI237" s="14" t="s">
        <v>1233</v>
      </c>
      <c r="AJ237" s="14" t="s">
        <v>33</v>
      </c>
    </row>
    <row r="238" spans="1:36" ht="15" customHeight="1" x14ac:dyDescent="0.25">
      <c r="A238" s="1">
        <v>137</v>
      </c>
      <c r="B238" s="14" t="s">
        <v>854</v>
      </c>
      <c r="C238" s="14" t="s">
        <v>315</v>
      </c>
      <c r="D238" s="14" t="s">
        <v>21</v>
      </c>
      <c r="E238" s="29" t="s">
        <v>114</v>
      </c>
      <c r="F238" s="14">
        <v>154.25</v>
      </c>
      <c r="G238" s="14">
        <v>16.5</v>
      </c>
      <c r="H238" s="14">
        <v>0</v>
      </c>
      <c r="I238" s="14">
        <v>2</v>
      </c>
      <c r="J238" s="14">
        <v>0</v>
      </c>
      <c r="K238" s="14">
        <v>2</v>
      </c>
      <c r="L238" s="14">
        <v>0</v>
      </c>
      <c r="M238" s="14">
        <v>3</v>
      </c>
      <c r="N238" s="14">
        <v>3</v>
      </c>
      <c r="O238" s="14">
        <v>1</v>
      </c>
      <c r="P238" s="14">
        <v>0</v>
      </c>
      <c r="Q238" s="14">
        <v>0</v>
      </c>
      <c r="R238" s="14">
        <v>0</v>
      </c>
      <c r="S238" s="14">
        <v>0</v>
      </c>
      <c r="T238" s="14">
        <v>0</v>
      </c>
      <c r="U238" s="14">
        <v>0</v>
      </c>
      <c r="V238" s="14">
        <v>0</v>
      </c>
      <c r="W238" s="14">
        <v>2</v>
      </c>
      <c r="X238" s="14">
        <v>0</v>
      </c>
      <c r="Y238" s="14">
        <v>0</v>
      </c>
      <c r="Z238" s="14">
        <v>0</v>
      </c>
      <c r="AA238" s="14">
        <v>0</v>
      </c>
      <c r="AB238" s="14">
        <v>1</v>
      </c>
      <c r="AC238" s="14">
        <v>0</v>
      </c>
      <c r="AD238" s="25">
        <v>0</v>
      </c>
      <c r="AE238" s="25">
        <v>0</v>
      </c>
      <c r="AF238" s="25">
        <v>0</v>
      </c>
      <c r="AG238" s="25">
        <v>0.43622449000000002</v>
      </c>
      <c r="AH238" s="25">
        <v>0.45486111099999998</v>
      </c>
      <c r="AI238" s="14" t="s">
        <v>1006</v>
      </c>
      <c r="AJ238" s="14" t="s">
        <v>33</v>
      </c>
    </row>
    <row r="239" spans="1:36" ht="15" customHeight="1" x14ac:dyDescent="0.25">
      <c r="A239" s="1">
        <v>138</v>
      </c>
      <c r="B239" s="14" t="s">
        <v>563</v>
      </c>
      <c r="C239" s="14" t="s">
        <v>251</v>
      </c>
      <c r="D239" s="14" t="s">
        <v>10</v>
      </c>
      <c r="E239" s="29" t="s">
        <v>58</v>
      </c>
      <c r="F239" s="14">
        <v>74.12</v>
      </c>
      <c r="G239" s="14">
        <v>17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1</v>
      </c>
      <c r="N239" s="14">
        <v>3</v>
      </c>
      <c r="O239" s="14">
        <v>1</v>
      </c>
      <c r="P239" s="14">
        <v>0</v>
      </c>
      <c r="Q239" s="14">
        <v>0</v>
      </c>
      <c r="R239" s="14">
        <v>0</v>
      </c>
      <c r="S239" s="14">
        <v>0</v>
      </c>
      <c r="T239" s="14">
        <v>0</v>
      </c>
      <c r="U239" s="14">
        <v>0</v>
      </c>
      <c r="V239" s="14">
        <v>0</v>
      </c>
      <c r="W239" s="14">
        <v>0</v>
      </c>
      <c r="X239" s="14">
        <v>0</v>
      </c>
      <c r="Y239" s="14">
        <v>0</v>
      </c>
      <c r="Z239" s="14">
        <v>0</v>
      </c>
      <c r="AA239" s="14">
        <v>0</v>
      </c>
      <c r="AB239" s="14">
        <v>1</v>
      </c>
      <c r="AC239" s="14">
        <v>0</v>
      </c>
      <c r="AD239" s="25">
        <v>0</v>
      </c>
      <c r="AE239" s="25">
        <v>0</v>
      </c>
      <c r="AF239" s="25">
        <v>0</v>
      </c>
      <c r="AG239" s="25">
        <v>0.255102041</v>
      </c>
      <c r="AH239" s="25">
        <v>0.21875</v>
      </c>
      <c r="AI239" s="14" t="s">
        <v>934</v>
      </c>
      <c r="AJ239" s="14" t="s">
        <v>33</v>
      </c>
    </row>
    <row r="240" spans="1:36" ht="15" customHeight="1" x14ac:dyDescent="0.25">
      <c r="A240" s="1">
        <v>139</v>
      </c>
      <c r="B240" s="14" t="s">
        <v>867</v>
      </c>
      <c r="C240" s="14" t="s">
        <v>354</v>
      </c>
      <c r="D240" s="14" t="s">
        <v>13</v>
      </c>
      <c r="E240" s="29" t="s">
        <v>145</v>
      </c>
      <c r="F240" s="14">
        <v>134.22</v>
      </c>
      <c r="G240" s="14">
        <v>17</v>
      </c>
      <c r="H240" s="14">
        <v>6</v>
      </c>
      <c r="I240" s="14">
        <v>0</v>
      </c>
      <c r="J240" s="14">
        <v>6</v>
      </c>
      <c r="K240" s="14">
        <v>3</v>
      </c>
      <c r="L240" s="14">
        <v>0</v>
      </c>
      <c r="M240" s="14">
        <v>4</v>
      </c>
      <c r="N240" s="14">
        <v>0</v>
      </c>
      <c r="O240" s="14">
        <v>0</v>
      </c>
      <c r="P240" s="14">
        <v>0</v>
      </c>
      <c r="Q240" s="14">
        <v>0</v>
      </c>
      <c r="R240" s="14">
        <v>0</v>
      </c>
      <c r="S240" s="14">
        <v>0</v>
      </c>
      <c r="T240" s="14">
        <v>0</v>
      </c>
      <c r="U240" s="14">
        <v>0</v>
      </c>
      <c r="V240" s="14">
        <v>0</v>
      </c>
      <c r="W240" s="14">
        <v>0</v>
      </c>
      <c r="X240" s="14">
        <v>2</v>
      </c>
      <c r="Y240" s="14">
        <v>0</v>
      </c>
      <c r="Z240" s="14">
        <v>0</v>
      </c>
      <c r="AA240" s="14">
        <v>0</v>
      </c>
      <c r="AB240" s="14">
        <v>0</v>
      </c>
      <c r="AC240" s="14">
        <v>0</v>
      </c>
      <c r="AD240" s="25">
        <v>0</v>
      </c>
      <c r="AE240" s="25">
        <v>0</v>
      </c>
      <c r="AF240" s="25">
        <v>0</v>
      </c>
      <c r="AG240" s="25">
        <v>0.29814880700000002</v>
      </c>
      <c r="AH240" s="25">
        <v>0.31656804700000002</v>
      </c>
      <c r="AI240" s="14" t="s">
        <v>1047</v>
      </c>
      <c r="AJ240" s="14" t="s">
        <v>33</v>
      </c>
    </row>
    <row r="241" spans="1:36" ht="15" customHeight="1" x14ac:dyDescent="0.25">
      <c r="A241" s="1">
        <v>141</v>
      </c>
      <c r="B241" s="14" t="s">
        <v>1606</v>
      </c>
      <c r="C241" s="14" t="s">
        <v>2014</v>
      </c>
      <c r="D241" s="14" t="s">
        <v>16</v>
      </c>
      <c r="E241" s="29" t="s">
        <v>67</v>
      </c>
      <c r="F241" s="14">
        <v>84.156000000000006</v>
      </c>
      <c r="G241" s="14">
        <v>17</v>
      </c>
      <c r="H241" s="14">
        <v>0</v>
      </c>
      <c r="I241" s="14">
        <v>0</v>
      </c>
      <c r="J241" s="14">
        <v>0</v>
      </c>
      <c r="K241" s="14">
        <v>0</v>
      </c>
      <c r="L241" s="14">
        <v>1</v>
      </c>
      <c r="M241" s="14">
        <v>3</v>
      </c>
      <c r="N241" s="14">
        <v>0</v>
      </c>
      <c r="O241" s="14">
        <v>0</v>
      </c>
      <c r="P241" s="14">
        <v>0</v>
      </c>
      <c r="Q241" s="14">
        <v>0</v>
      </c>
      <c r="R241" s="14">
        <v>0</v>
      </c>
      <c r="S241" s="14">
        <v>0</v>
      </c>
      <c r="T241" s="14">
        <v>0</v>
      </c>
      <c r="U241" s="14">
        <v>0</v>
      </c>
      <c r="V241" s="14">
        <v>0</v>
      </c>
      <c r="W241" s="14">
        <v>0</v>
      </c>
      <c r="X241" s="14">
        <v>0</v>
      </c>
      <c r="Y241" s="14">
        <v>0</v>
      </c>
      <c r="Z241" s="14">
        <v>1</v>
      </c>
      <c r="AA241" s="14">
        <v>1</v>
      </c>
      <c r="AB241" s="14">
        <v>0</v>
      </c>
      <c r="AC241" s="14">
        <v>0</v>
      </c>
      <c r="AD241" s="25">
        <v>0</v>
      </c>
      <c r="AE241" s="25">
        <v>0</v>
      </c>
      <c r="AF241" s="25">
        <v>0</v>
      </c>
      <c r="AG241" s="25">
        <v>0.1171875</v>
      </c>
      <c r="AH241" s="25">
        <v>0.16666666699999999</v>
      </c>
      <c r="AI241" s="14" t="s">
        <v>1571</v>
      </c>
      <c r="AJ241" s="14" t="s">
        <v>33</v>
      </c>
    </row>
    <row r="242" spans="1:36" ht="15" customHeight="1" x14ac:dyDescent="0.25">
      <c r="A242" s="1">
        <v>143</v>
      </c>
      <c r="B242" s="14" t="s">
        <v>1596</v>
      </c>
      <c r="C242" s="14" t="s">
        <v>2015</v>
      </c>
      <c r="D242" s="14" t="s">
        <v>19</v>
      </c>
      <c r="E242" s="29" t="s">
        <v>171</v>
      </c>
      <c r="F242" s="14">
        <v>128.25</v>
      </c>
      <c r="G242" s="14">
        <v>17</v>
      </c>
      <c r="H242" s="14">
        <v>0</v>
      </c>
      <c r="I242" s="14">
        <v>0</v>
      </c>
      <c r="J242" s="14">
        <v>0</v>
      </c>
      <c r="K242" s="14">
        <v>0</v>
      </c>
      <c r="L242" s="14">
        <v>1</v>
      </c>
      <c r="M242" s="14">
        <v>4</v>
      </c>
      <c r="N242" s="14">
        <v>4</v>
      </c>
      <c r="O242" s="14">
        <v>0</v>
      </c>
      <c r="P242" s="14">
        <v>0</v>
      </c>
      <c r="Q242" s="14">
        <v>0</v>
      </c>
      <c r="R242" s="14">
        <v>0</v>
      </c>
      <c r="S242" s="14">
        <v>0</v>
      </c>
      <c r="T242" s="14">
        <v>0</v>
      </c>
      <c r="U242" s="14">
        <v>0</v>
      </c>
      <c r="V242" s="14">
        <v>0</v>
      </c>
      <c r="W242" s="14">
        <v>0</v>
      </c>
      <c r="X242" s="14">
        <v>0</v>
      </c>
      <c r="Y242" s="14">
        <v>0</v>
      </c>
      <c r="Z242" s="14">
        <v>0</v>
      </c>
      <c r="AA242" s="14">
        <v>0</v>
      </c>
      <c r="AB242" s="14">
        <v>0</v>
      </c>
      <c r="AC242" s="14">
        <v>0</v>
      </c>
      <c r="AD242" s="25">
        <v>0</v>
      </c>
      <c r="AE242" s="25">
        <v>0</v>
      </c>
      <c r="AF242" s="25">
        <v>0</v>
      </c>
      <c r="AG242" s="25">
        <v>0.32098765400000001</v>
      </c>
      <c r="AH242" s="25">
        <v>0.328125</v>
      </c>
      <c r="AI242" s="14" t="s">
        <v>1571</v>
      </c>
      <c r="AJ242" s="14" t="s">
        <v>33</v>
      </c>
    </row>
    <row r="243" spans="1:36" ht="15" customHeight="1" x14ac:dyDescent="0.25">
      <c r="A243" s="1">
        <v>144</v>
      </c>
      <c r="B243" s="14" t="s">
        <v>679</v>
      </c>
      <c r="C243" s="14" t="s">
        <v>431</v>
      </c>
      <c r="D243" s="14" t="s">
        <v>16</v>
      </c>
      <c r="E243" s="29" t="s">
        <v>67</v>
      </c>
      <c r="F243" s="14">
        <v>84.16</v>
      </c>
      <c r="G243" s="14">
        <v>17.2</v>
      </c>
      <c r="H243" s="14">
        <v>0</v>
      </c>
      <c r="I243" s="14">
        <v>0</v>
      </c>
      <c r="J243" s="14">
        <v>0</v>
      </c>
      <c r="K243" s="14">
        <v>0</v>
      </c>
      <c r="L243" s="14">
        <v>0</v>
      </c>
      <c r="M243" s="14">
        <v>1</v>
      </c>
      <c r="N243" s="14">
        <v>0</v>
      </c>
      <c r="O243" s="14">
        <v>0</v>
      </c>
      <c r="P243" s="14">
        <v>0</v>
      </c>
      <c r="Q243" s="14">
        <v>0</v>
      </c>
      <c r="R243" s="14">
        <v>0</v>
      </c>
      <c r="S243" s="14">
        <v>0</v>
      </c>
      <c r="T243" s="14">
        <v>0</v>
      </c>
      <c r="U243" s="14">
        <v>0</v>
      </c>
      <c r="V243" s="14">
        <v>0</v>
      </c>
      <c r="W243" s="14">
        <v>0</v>
      </c>
      <c r="X243" s="14">
        <v>0</v>
      </c>
      <c r="Y243" s="14">
        <v>0</v>
      </c>
      <c r="Z243" s="14">
        <v>1</v>
      </c>
      <c r="AA243" s="14">
        <v>4</v>
      </c>
      <c r="AB243" s="14">
        <v>0</v>
      </c>
      <c r="AC243" s="14">
        <v>0</v>
      </c>
      <c r="AD243" s="25">
        <v>0</v>
      </c>
      <c r="AE243" s="25">
        <v>0</v>
      </c>
      <c r="AF243" s="25">
        <v>0</v>
      </c>
      <c r="AG243" s="25">
        <v>0.16666666699999999</v>
      </c>
      <c r="AH243" s="25">
        <v>0.16666666699999999</v>
      </c>
      <c r="AI243" s="14" t="s">
        <v>1127</v>
      </c>
      <c r="AJ243" s="14" t="s">
        <v>33</v>
      </c>
    </row>
    <row r="244" spans="1:36" ht="15" customHeight="1" x14ac:dyDescent="0.25">
      <c r="A244" s="1">
        <v>145</v>
      </c>
      <c r="B244" s="14" t="s">
        <v>693</v>
      </c>
      <c r="C244" s="14" t="s">
        <v>370</v>
      </c>
      <c r="D244" s="14" t="s">
        <v>17</v>
      </c>
      <c r="E244" s="29" t="s">
        <v>75</v>
      </c>
      <c r="F244" s="14">
        <v>144.21</v>
      </c>
      <c r="G244" s="14">
        <v>17.8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2</v>
      </c>
      <c r="N244" s="14">
        <v>5</v>
      </c>
      <c r="O244" s="14">
        <v>0</v>
      </c>
      <c r="P244" s="14">
        <v>0</v>
      </c>
      <c r="Q244" s="14">
        <v>0</v>
      </c>
      <c r="R244" s="14">
        <v>0</v>
      </c>
      <c r="S244" s="14">
        <v>0</v>
      </c>
      <c r="T244" s="14">
        <v>0</v>
      </c>
      <c r="U244" s="14">
        <v>1</v>
      </c>
      <c r="V244" s="14">
        <v>0</v>
      </c>
      <c r="W244" s="14">
        <v>0</v>
      </c>
      <c r="X244" s="14">
        <v>0</v>
      </c>
      <c r="Y244" s="14">
        <v>0</v>
      </c>
      <c r="Z244" s="14">
        <v>0</v>
      </c>
      <c r="AA244" s="14">
        <v>0</v>
      </c>
      <c r="AB244" s="14">
        <v>0</v>
      </c>
      <c r="AC244" s="14">
        <v>0</v>
      </c>
      <c r="AD244" s="25">
        <v>0</v>
      </c>
      <c r="AE244" s="25">
        <v>0</v>
      </c>
      <c r="AF244" s="25">
        <v>0</v>
      </c>
      <c r="AG244" s="25">
        <v>0.44500000000000001</v>
      </c>
      <c r="AH244" s="25">
        <v>0.44500000000000001</v>
      </c>
      <c r="AI244" s="14" t="s">
        <v>1066</v>
      </c>
      <c r="AJ244" s="14" t="s">
        <v>33</v>
      </c>
    </row>
    <row r="245" spans="1:36" ht="15" customHeight="1" x14ac:dyDescent="0.25">
      <c r="A245" s="1">
        <v>147</v>
      </c>
      <c r="B245" s="14" t="s">
        <v>870</v>
      </c>
      <c r="C245" s="14" t="s">
        <v>253</v>
      </c>
      <c r="D245" s="14" t="s">
        <v>13</v>
      </c>
      <c r="E245" s="29" t="s">
        <v>60</v>
      </c>
      <c r="F245" s="14">
        <v>282.45999999999998</v>
      </c>
      <c r="G245" s="14">
        <v>18</v>
      </c>
      <c r="H245" s="14">
        <v>10</v>
      </c>
      <c r="I245" s="14">
        <v>0</v>
      </c>
      <c r="J245" s="14">
        <v>10</v>
      </c>
      <c r="K245" s="14">
        <v>5</v>
      </c>
      <c r="L245" s="14">
        <v>1</v>
      </c>
      <c r="M245" s="14">
        <v>3</v>
      </c>
      <c r="N245" s="14">
        <v>7</v>
      </c>
      <c r="O245" s="14">
        <v>0</v>
      </c>
      <c r="P245" s="14">
        <v>0</v>
      </c>
      <c r="Q245" s="14">
        <v>0</v>
      </c>
      <c r="R245" s="14">
        <v>0</v>
      </c>
      <c r="S245" s="14">
        <v>0</v>
      </c>
      <c r="T245" s="14">
        <v>0</v>
      </c>
      <c r="U245" s="14">
        <v>0</v>
      </c>
      <c r="V245" s="14">
        <v>0</v>
      </c>
      <c r="W245" s="14">
        <v>0</v>
      </c>
      <c r="X245" s="14">
        <v>7</v>
      </c>
      <c r="Y245" s="14">
        <v>0</v>
      </c>
      <c r="Z245" s="14">
        <v>0</v>
      </c>
      <c r="AA245" s="14">
        <v>0</v>
      </c>
      <c r="AB245" s="14">
        <v>0</v>
      </c>
      <c r="AC245" s="14">
        <v>0</v>
      </c>
      <c r="AD245" s="25">
        <v>0</v>
      </c>
      <c r="AE245" s="25">
        <v>0</v>
      </c>
      <c r="AF245" s="25">
        <v>0</v>
      </c>
      <c r="AG245" s="25">
        <v>0.51914839999999995</v>
      </c>
      <c r="AH245" s="25">
        <v>0.54347107400000005</v>
      </c>
      <c r="AI245" s="14" t="s">
        <v>936</v>
      </c>
      <c r="AJ245" s="14" t="s">
        <v>33</v>
      </c>
    </row>
    <row r="246" spans="1:36" ht="15" customHeight="1" x14ac:dyDescent="0.25">
      <c r="A246" s="1">
        <v>149</v>
      </c>
      <c r="B246" s="14" t="s">
        <v>661</v>
      </c>
      <c r="C246" s="14" t="s">
        <v>265</v>
      </c>
      <c r="D246" s="14" t="s">
        <v>13</v>
      </c>
      <c r="E246" s="29" t="s">
        <v>46</v>
      </c>
      <c r="F246" s="14">
        <v>302.54000000000002</v>
      </c>
      <c r="G246" s="14">
        <v>18</v>
      </c>
      <c r="H246" s="14">
        <v>6</v>
      </c>
      <c r="I246" s="14">
        <v>0</v>
      </c>
      <c r="J246" s="14">
        <v>6</v>
      </c>
      <c r="K246" s="14">
        <v>3</v>
      </c>
      <c r="L246" s="14">
        <v>1</v>
      </c>
      <c r="M246" s="14">
        <v>5</v>
      </c>
      <c r="N246" s="14">
        <v>8</v>
      </c>
      <c r="O246" s="14">
        <v>0</v>
      </c>
      <c r="P246" s="14">
        <v>0</v>
      </c>
      <c r="Q246" s="14">
        <v>0</v>
      </c>
      <c r="R246" s="14">
        <v>0</v>
      </c>
      <c r="S246" s="14">
        <v>0</v>
      </c>
      <c r="T246" s="14">
        <v>0</v>
      </c>
      <c r="U246" s="14">
        <v>0</v>
      </c>
      <c r="V246" s="14">
        <v>2</v>
      </c>
      <c r="W246" s="14">
        <v>0</v>
      </c>
      <c r="X246" s="14">
        <v>5</v>
      </c>
      <c r="Y246" s="14">
        <v>0</v>
      </c>
      <c r="Z246" s="14">
        <v>0</v>
      </c>
      <c r="AA246" s="14">
        <v>0</v>
      </c>
      <c r="AB246" s="14">
        <v>0</v>
      </c>
      <c r="AC246" s="14">
        <v>0</v>
      </c>
      <c r="AD246" s="25">
        <v>0</v>
      </c>
      <c r="AE246" s="25">
        <v>0</v>
      </c>
      <c r="AF246" s="25">
        <v>0</v>
      </c>
      <c r="AG246" s="25">
        <v>0.60449218800000004</v>
      </c>
      <c r="AH246" s="25">
        <v>0.6</v>
      </c>
      <c r="AI246" s="14" t="s">
        <v>952</v>
      </c>
      <c r="AJ246" s="14" t="s">
        <v>33</v>
      </c>
    </row>
    <row r="247" spans="1:36" ht="15" customHeight="1" x14ac:dyDescent="0.25">
      <c r="A247" s="1">
        <v>150</v>
      </c>
      <c r="B247" s="14" t="s">
        <v>572</v>
      </c>
      <c r="C247" s="14" t="s">
        <v>283</v>
      </c>
      <c r="D247" s="14" t="s">
        <v>13</v>
      </c>
      <c r="E247" s="29" t="s">
        <v>91</v>
      </c>
      <c r="F247" s="14">
        <v>240.38</v>
      </c>
      <c r="G247" s="14">
        <v>18</v>
      </c>
      <c r="H247" s="14">
        <v>10</v>
      </c>
      <c r="I247" s="14">
        <v>0</v>
      </c>
      <c r="J247" s="14">
        <v>10</v>
      </c>
      <c r="K247" s="14">
        <v>5</v>
      </c>
      <c r="L247" s="14">
        <v>0</v>
      </c>
      <c r="M247" s="14">
        <v>1</v>
      </c>
      <c r="N247" s="14">
        <v>7</v>
      </c>
      <c r="O247" s="14">
        <v>0</v>
      </c>
      <c r="P247" s="14">
        <v>0</v>
      </c>
      <c r="Q247" s="14">
        <v>0</v>
      </c>
      <c r="R247" s="14">
        <v>0</v>
      </c>
      <c r="S247" s="14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7</v>
      </c>
      <c r="Y247" s="14">
        <v>0</v>
      </c>
      <c r="Z247" s="14">
        <v>0</v>
      </c>
      <c r="AA247" s="14">
        <v>0</v>
      </c>
      <c r="AB247" s="14">
        <v>0</v>
      </c>
      <c r="AC247" s="14">
        <v>0</v>
      </c>
      <c r="AD247" s="25">
        <v>0</v>
      </c>
      <c r="AE247" s="25">
        <v>0</v>
      </c>
      <c r="AF247" s="25">
        <v>0</v>
      </c>
      <c r="AG247" s="25">
        <v>0.47008264500000002</v>
      </c>
      <c r="AH247" s="25">
        <v>0.49479383599999999</v>
      </c>
      <c r="AI247" s="14" t="s">
        <v>972</v>
      </c>
      <c r="AJ247" s="14" t="s">
        <v>33</v>
      </c>
    </row>
    <row r="248" spans="1:36" x14ac:dyDescent="0.25">
      <c r="A248" s="1">
        <v>151</v>
      </c>
      <c r="B248" s="14" t="s">
        <v>866</v>
      </c>
      <c r="C248" s="14" t="s">
        <v>2016</v>
      </c>
      <c r="D248" s="14" t="s">
        <v>13</v>
      </c>
      <c r="E248" s="29" t="s">
        <v>144</v>
      </c>
      <c r="F248" s="14">
        <v>254.41</v>
      </c>
      <c r="G248" s="14">
        <v>18</v>
      </c>
      <c r="H248" s="14">
        <v>10</v>
      </c>
      <c r="I248" s="14">
        <v>0</v>
      </c>
      <c r="J248" s="14">
        <v>10</v>
      </c>
      <c r="K248" s="14">
        <v>5</v>
      </c>
      <c r="L248" s="14">
        <v>1</v>
      </c>
      <c r="M248" s="14">
        <v>4</v>
      </c>
      <c r="N248" s="14">
        <v>3</v>
      </c>
      <c r="O248" s="14">
        <v>0</v>
      </c>
      <c r="P248" s="14">
        <v>0</v>
      </c>
      <c r="Q248" s="14">
        <v>0</v>
      </c>
      <c r="R248" s="14">
        <v>0</v>
      </c>
      <c r="S248" s="14">
        <v>0</v>
      </c>
      <c r="T248" s="14">
        <v>0</v>
      </c>
      <c r="U248" s="14">
        <v>0</v>
      </c>
      <c r="V248" s="14">
        <v>1</v>
      </c>
      <c r="W248" s="14">
        <v>0</v>
      </c>
      <c r="X248" s="14">
        <v>7</v>
      </c>
      <c r="Y248" s="14">
        <v>0</v>
      </c>
      <c r="Z248" s="14">
        <v>0</v>
      </c>
      <c r="AA248" s="14">
        <v>0</v>
      </c>
      <c r="AB248" s="14">
        <v>0</v>
      </c>
      <c r="AC248" s="14">
        <v>0</v>
      </c>
      <c r="AD248" s="25">
        <v>0</v>
      </c>
      <c r="AE248" s="25">
        <v>0</v>
      </c>
      <c r="AF248" s="25">
        <v>0</v>
      </c>
      <c r="AG248" s="25">
        <v>0.46569824199999998</v>
      </c>
      <c r="AH248" s="25">
        <v>0.51364859699999998</v>
      </c>
      <c r="AI248" s="14" t="s">
        <v>1046</v>
      </c>
      <c r="AJ248" s="14" t="s">
        <v>33</v>
      </c>
    </row>
    <row r="249" spans="1:36" x14ac:dyDescent="0.25">
      <c r="A249" s="1">
        <v>155</v>
      </c>
      <c r="B249" s="14" t="s">
        <v>1270</v>
      </c>
      <c r="C249" s="14" t="s">
        <v>2017</v>
      </c>
      <c r="D249" s="14" t="s">
        <v>13</v>
      </c>
      <c r="E249" s="29" t="s">
        <v>144</v>
      </c>
      <c r="F249" s="14">
        <v>254.41044160000001</v>
      </c>
      <c r="G249" s="14">
        <v>18</v>
      </c>
      <c r="H249" s="14">
        <v>10</v>
      </c>
      <c r="I249" s="14">
        <v>0</v>
      </c>
      <c r="J249" s="14">
        <v>10</v>
      </c>
      <c r="K249" s="14">
        <v>5</v>
      </c>
      <c r="L249" s="14">
        <v>1</v>
      </c>
      <c r="M249" s="14">
        <v>4</v>
      </c>
      <c r="N249" s="14">
        <v>3</v>
      </c>
      <c r="O249" s="14">
        <v>0</v>
      </c>
      <c r="P249" s="14">
        <v>0</v>
      </c>
      <c r="Q249" s="14">
        <v>0</v>
      </c>
      <c r="R249" s="14">
        <v>0</v>
      </c>
      <c r="S249" s="14">
        <v>0</v>
      </c>
      <c r="T249" s="14">
        <v>0</v>
      </c>
      <c r="U249" s="14">
        <v>0</v>
      </c>
      <c r="V249" s="14">
        <v>1</v>
      </c>
      <c r="W249" s="14">
        <v>0</v>
      </c>
      <c r="X249" s="14">
        <v>7</v>
      </c>
      <c r="Y249" s="14">
        <v>0</v>
      </c>
      <c r="Z249" s="14">
        <v>0</v>
      </c>
      <c r="AA249" s="14">
        <v>0</v>
      </c>
      <c r="AB249" s="14">
        <v>0</v>
      </c>
      <c r="AC249" s="14">
        <v>0</v>
      </c>
      <c r="AD249" s="25">
        <v>0</v>
      </c>
      <c r="AE249" s="25">
        <v>0</v>
      </c>
      <c r="AF249" s="25">
        <v>0</v>
      </c>
      <c r="AG249" s="25">
        <v>0.46569824199999998</v>
      </c>
      <c r="AH249" s="25">
        <v>0.50672818100000006</v>
      </c>
      <c r="AI249" s="14" t="s">
        <v>1306</v>
      </c>
      <c r="AJ249" s="14" t="s">
        <v>33</v>
      </c>
    </row>
    <row r="250" spans="1:36" x14ac:dyDescent="0.25">
      <c r="A250" s="1">
        <v>156</v>
      </c>
      <c r="B250" s="14" t="s">
        <v>1271</v>
      </c>
      <c r="C250" s="14" t="s">
        <v>2018</v>
      </c>
      <c r="D250" s="14" t="s">
        <v>13</v>
      </c>
      <c r="E250" s="29" t="s">
        <v>144</v>
      </c>
      <c r="F250" s="14">
        <v>254.41044160000001</v>
      </c>
      <c r="G250" s="14">
        <v>18</v>
      </c>
      <c r="H250" s="14">
        <v>10</v>
      </c>
      <c r="I250" s="14">
        <v>0</v>
      </c>
      <c r="J250" s="14">
        <v>10</v>
      </c>
      <c r="K250" s="14">
        <v>5</v>
      </c>
      <c r="L250" s="14">
        <v>1</v>
      </c>
      <c r="M250" s="14">
        <v>4</v>
      </c>
      <c r="N250" s="14">
        <v>3</v>
      </c>
      <c r="O250" s="14">
        <v>0</v>
      </c>
      <c r="P250" s="14">
        <v>0</v>
      </c>
      <c r="Q250" s="14">
        <v>0</v>
      </c>
      <c r="R250" s="14">
        <v>0</v>
      </c>
      <c r="S250" s="14">
        <v>0</v>
      </c>
      <c r="T250" s="14">
        <v>0</v>
      </c>
      <c r="U250" s="14">
        <v>0</v>
      </c>
      <c r="V250" s="14">
        <v>1</v>
      </c>
      <c r="W250" s="14">
        <v>0</v>
      </c>
      <c r="X250" s="14">
        <v>7</v>
      </c>
      <c r="Y250" s="14">
        <v>0</v>
      </c>
      <c r="Z250" s="14">
        <v>0</v>
      </c>
      <c r="AA250" s="14">
        <v>0</v>
      </c>
      <c r="AB250" s="14">
        <v>0</v>
      </c>
      <c r="AC250" s="14">
        <v>0</v>
      </c>
      <c r="AD250" s="25">
        <v>0</v>
      </c>
      <c r="AE250" s="25">
        <v>0</v>
      </c>
      <c r="AF250" s="25">
        <v>0</v>
      </c>
      <c r="AG250" s="25">
        <v>0.46569824199999998</v>
      </c>
      <c r="AH250" s="25">
        <v>0.50672818100000006</v>
      </c>
      <c r="AI250" s="14" t="s">
        <v>1306</v>
      </c>
      <c r="AJ250" s="14" t="s">
        <v>33</v>
      </c>
    </row>
    <row r="251" spans="1:36" x14ac:dyDescent="0.25">
      <c r="A251" s="1">
        <v>158</v>
      </c>
      <c r="B251" s="14" t="s">
        <v>1743</v>
      </c>
      <c r="C251" s="14" t="s">
        <v>1459</v>
      </c>
      <c r="D251" s="14" t="s">
        <v>1932</v>
      </c>
      <c r="E251" s="29" t="s">
        <v>1744</v>
      </c>
      <c r="F251" s="14">
        <v>166.21199999999999</v>
      </c>
      <c r="G251" s="14">
        <v>18</v>
      </c>
      <c r="H251" s="14">
        <v>6</v>
      </c>
      <c r="I251" s="14">
        <v>0</v>
      </c>
      <c r="J251" s="14">
        <v>6</v>
      </c>
      <c r="K251" s="14">
        <v>3</v>
      </c>
      <c r="L251" s="14">
        <v>0</v>
      </c>
      <c r="M251" s="14">
        <v>2</v>
      </c>
      <c r="N251" s="14">
        <v>2</v>
      </c>
      <c r="O251" s="14">
        <v>1</v>
      </c>
      <c r="P251" s="14">
        <v>1</v>
      </c>
      <c r="Q251" s="14">
        <v>0</v>
      </c>
      <c r="R251" s="14">
        <v>0</v>
      </c>
      <c r="S251" s="14">
        <v>0</v>
      </c>
      <c r="T251" s="14">
        <v>0</v>
      </c>
      <c r="U251" s="14">
        <v>0</v>
      </c>
      <c r="V251" s="14">
        <v>0</v>
      </c>
      <c r="W251" s="14">
        <v>0</v>
      </c>
      <c r="X251" s="14">
        <v>3</v>
      </c>
      <c r="Y251" s="14">
        <v>0</v>
      </c>
      <c r="Z251" s="14">
        <v>0</v>
      </c>
      <c r="AA251" s="14">
        <v>0</v>
      </c>
      <c r="AB251" s="14">
        <v>0</v>
      </c>
      <c r="AC251" s="14">
        <v>0</v>
      </c>
      <c r="AD251" s="25">
        <v>0</v>
      </c>
      <c r="AE251" s="25">
        <v>1</v>
      </c>
      <c r="AF251" s="25">
        <v>0</v>
      </c>
      <c r="AG251" s="25">
        <v>0.54308389999999995</v>
      </c>
      <c r="AH251" s="25">
        <v>0.368888889</v>
      </c>
      <c r="AI251" s="14" t="s">
        <v>1571</v>
      </c>
      <c r="AJ251" s="14" t="s">
        <v>33</v>
      </c>
    </row>
    <row r="252" spans="1:36" x14ac:dyDescent="0.25">
      <c r="A252" s="1">
        <v>159</v>
      </c>
      <c r="B252" s="14" t="s">
        <v>896</v>
      </c>
      <c r="C252" s="14" t="s">
        <v>2019</v>
      </c>
      <c r="D252" s="14" t="s">
        <v>16</v>
      </c>
      <c r="E252" s="29" t="s">
        <v>163</v>
      </c>
      <c r="F252" s="14">
        <v>278.51</v>
      </c>
      <c r="G252" s="14">
        <v>18</v>
      </c>
      <c r="H252" s="14">
        <v>0</v>
      </c>
      <c r="I252" s="14">
        <v>0</v>
      </c>
      <c r="J252" s="14">
        <v>0</v>
      </c>
      <c r="K252" s="14">
        <v>0</v>
      </c>
      <c r="L252" s="14">
        <v>1</v>
      </c>
      <c r="M252" s="14">
        <v>3</v>
      </c>
      <c r="N252" s="14">
        <v>6</v>
      </c>
      <c r="O252" s="14">
        <v>0</v>
      </c>
      <c r="P252" s="14">
        <v>0</v>
      </c>
      <c r="Q252" s="14">
        <v>0</v>
      </c>
      <c r="R252" s="14">
        <v>0</v>
      </c>
      <c r="S252" s="14">
        <v>0</v>
      </c>
      <c r="T252" s="14">
        <v>0</v>
      </c>
      <c r="U252" s="14">
        <v>0</v>
      </c>
      <c r="V252" s="14">
        <v>0</v>
      </c>
      <c r="W252" s="14">
        <v>0</v>
      </c>
      <c r="X252" s="14">
        <v>0</v>
      </c>
      <c r="Y252" s="14">
        <v>0</v>
      </c>
      <c r="Z252" s="14">
        <v>3</v>
      </c>
      <c r="AA252" s="14">
        <v>7</v>
      </c>
      <c r="AB252" s="14">
        <v>0</v>
      </c>
      <c r="AC252" s="14">
        <v>0</v>
      </c>
      <c r="AD252" s="25">
        <v>0</v>
      </c>
      <c r="AE252" s="25">
        <v>0</v>
      </c>
      <c r="AF252" s="25">
        <v>0</v>
      </c>
      <c r="AG252" s="25">
        <v>0.51512287300000004</v>
      </c>
      <c r="AH252" s="25">
        <v>0.54988662099999996</v>
      </c>
      <c r="AI252" s="14" t="s">
        <v>1082</v>
      </c>
      <c r="AJ252" s="14" t="s">
        <v>33</v>
      </c>
    </row>
    <row r="253" spans="1:36" x14ac:dyDescent="0.25">
      <c r="A253" s="1">
        <v>160</v>
      </c>
      <c r="B253" s="14" t="s">
        <v>1307</v>
      </c>
      <c r="C253" s="14" t="s">
        <v>2020</v>
      </c>
      <c r="D253" s="14" t="s">
        <v>21</v>
      </c>
      <c r="E253" s="29" t="s">
        <v>163</v>
      </c>
      <c r="F253" s="14">
        <v>278.5164666</v>
      </c>
      <c r="G253" s="14">
        <v>18</v>
      </c>
      <c r="H253" s="14">
        <v>0</v>
      </c>
      <c r="I253" s="14">
        <v>0</v>
      </c>
      <c r="J253" s="14">
        <v>0</v>
      </c>
      <c r="K253" s="14">
        <v>0</v>
      </c>
      <c r="L253" s="14">
        <v>1</v>
      </c>
      <c r="M253" s="14">
        <v>3</v>
      </c>
      <c r="N253" s="14">
        <v>6</v>
      </c>
      <c r="O253" s="14">
        <v>0</v>
      </c>
      <c r="P253" s="14">
        <v>0</v>
      </c>
      <c r="Q253" s="14">
        <v>0</v>
      </c>
      <c r="R253" s="14">
        <v>0</v>
      </c>
      <c r="S253" s="14">
        <v>0</v>
      </c>
      <c r="T253" s="14">
        <v>0</v>
      </c>
      <c r="U253" s="14">
        <v>0</v>
      </c>
      <c r="V253" s="14">
        <v>0</v>
      </c>
      <c r="W253" s="14">
        <v>0</v>
      </c>
      <c r="X253" s="14">
        <v>0</v>
      </c>
      <c r="Y253" s="14">
        <v>0</v>
      </c>
      <c r="Z253" s="14">
        <v>3</v>
      </c>
      <c r="AA253" s="14">
        <v>7</v>
      </c>
      <c r="AB253" s="14">
        <v>0</v>
      </c>
      <c r="AC253" s="14">
        <v>0</v>
      </c>
      <c r="AD253" s="25">
        <v>0</v>
      </c>
      <c r="AE253" s="25">
        <v>0</v>
      </c>
      <c r="AF253" s="25">
        <v>0</v>
      </c>
      <c r="AG253" s="25">
        <v>0.51512287300000004</v>
      </c>
      <c r="AH253" s="25">
        <v>0.54988662099999996</v>
      </c>
      <c r="AI253" s="14" t="s">
        <v>1306</v>
      </c>
      <c r="AJ253" s="14" t="s">
        <v>33</v>
      </c>
    </row>
    <row r="254" spans="1:36" x14ac:dyDescent="0.25">
      <c r="A254" s="1">
        <v>161</v>
      </c>
      <c r="B254" s="14" t="s">
        <v>824</v>
      </c>
      <c r="C254" s="14" t="s">
        <v>503</v>
      </c>
      <c r="D254" s="14" t="s">
        <v>12</v>
      </c>
      <c r="E254" s="29" t="s">
        <v>213</v>
      </c>
      <c r="F254" s="14">
        <v>82.14</v>
      </c>
      <c r="G254" s="14">
        <v>18.100000000000001</v>
      </c>
      <c r="H254" s="14">
        <v>0</v>
      </c>
      <c r="I254" s="14">
        <v>1</v>
      </c>
      <c r="J254" s="14">
        <v>0</v>
      </c>
      <c r="K254" s="14">
        <v>1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4">
        <v>0</v>
      </c>
      <c r="S254" s="14">
        <v>0</v>
      </c>
      <c r="T254" s="14">
        <v>0</v>
      </c>
      <c r="U254" s="14">
        <v>0</v>
      </c>
      <c r="V254" s="14">
        <v>0</v>
      </c>
      <c r="W254" s="14">
        <v>0</v>
      </c>
      <c r="X254" s="14">
        <v>2</v>
      </c>
      <c r="Y254" s="14">
        <v>0</v>
      </c>
      <c r="Z254" s="14">
        <v>0</v>
      </c>
      <c r="AA254" s="14">
        <v>4</v>
      </c>
      <c r="AB254" s="14">
        <v>0</v>
      </c>
      <c r="AC254" s="14">
        <v>0</v>
      </c>
      <c r="AD254" s="25">
        <v>0</v>
      </c>
      <c r="AE254" s="25">
        <v>0</v>
      </c>
      <c r="AF254" s="25">
        <v>0</v>
      </c>
      <c r="AG254" s="25">
        <v>0.22448979599999999</v>
      </c>
      <c r="AH254" s="25">
        <v>0.22448979599999999</v>
      </c>
      <c r="AI254" s="14" t="s">
        <v>1197</v>
      </c>
      <c r="AJ254" s="14" t="s">
        <v>33</v>
      </c>
    </row>
    <row r="255" spans="1:36" x14ac:dyDescent="0.25">
      <c r="A255" s="1">
        <v>162</v>
      </c>
      <c r="B255" s="14" t="s">
        <v>1689</v>
      </c>
      <c r="C255" s="14" t="s">
        <v>1430</v>
      </c>
      <c r="D255" s="14" t="s">
        <v>10</v>
      </c>
      <c r="E255" s="29" t="s">
        <v>71</v>
      </c>
      <c r="F255" s="14">
        <v>88.146000000000001</v>
      </c>
      <c r="G255" s="14">
        <v>18.2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1</v>
      </c>
      <c r="N255" s="14">
        <v>4</v>
      </c>
      <c r="O255" s="14">
        <v>1</v>
      </c>
      <c r="P255" s="14">
        <v>0</v>
      </c>
      <c r="Q255" s="14">
        <v>0</v>
      </c>
      <c r="R255" s="14">
        <v>0</v>
      </c>
      <c r="S255" s="14">
        <v>0</v>
      </c>
      <c r="T255" s="14">
        <v>0</v>
      </c>
      <c r="U255" s="14">
        <v>0</v>
      </c>
      <c r="V255" s="14">
        <v>0</v>
      </c>
      <c r="W255" s="14">
        <v>0</v>
      </c>
      <c r="X255" s="14">
        <v>0</v>
      </c>
      <c r="Y255" s="14">
        <v>0</v>
      </c>
      <c r="Z255" s="14">
        <v>0</v>
      </c>
      <c r="AA255" s="14">
        <v>0</v>
      </c>
      <c r="AB255" s="14">
        <v>1</v>
      </c>
      <c r="AC255" s="14">
        <v>0</v>
      </c>
      <c r="AD255" s="25">
        <v>0</v>
      </c>
      <c r="AE255" s="25">
        <v>0</v>
      </c>
      <c r="AF255" s="25">
        <v>0</v>
      </c>
      <c r="AG255" s="25">
        <v>0.26</v>
      </c>
      <c r="AH255" s="25">
        <v>0.26</v>
      </c>
      <c r="AI255" s="14" t="s">
        <v>1571</v>
      </c>
      <c r="AJ255" s="14" t="s">
        <v>33</v>
      </c>
    </row>
    <row r="256" spans="1:36" x14ac:dyDescent="0.25">
      <c r="A256" s="1">
        <v>163</v>
      </c>
      <c r="B256" s="14" t="s">
        <v>860</v>
      </c>
      <c r="C256" s="14" t="s">
        <v>510</v>
      </c>
      <c r="D256" s="14" t="s">
        <v>21</v>
      </c>
      <c r="E256" s="29" t="s">
        <v>156</v>
      </c>
      <c r="F256" s="14">
        <v>144.16999999999999</v>
      </c>
      <c r="G256" s="14">
        <v>18.2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1</v>
      </c>
      <c r="N256" s="14">
        <v>1</v>
      </c>
      <c r="O256" s="14">
        <v>0</v>
      </c>
      <c r="P256" s="14">
        <v>0</v>
      </c>
      <c r="Q256" s="14">
        <v>1</v>
      </c>
      <c r="R256" s="14">
        <v>0</v>
      </c>
      <c r="S256" s="14">
        <v>0</v>
      </c>
      <c r="T256" s="14">
        <v>0</v>
      </c>
      <c r="U256" s="14">
        <v>1</v>
      </c>
      <c r="V256" s="14">
        <v>0</v>
      </c>
      <c r="W256" s="14">
        <v>0</v>
      </c>
      <c r="X256" s="14">
        <v>0</v>
      </c>
      <c r="Y256" s="14">
        <v>0</v>
      </c>
      <c r="Z256" s="14">
        <v>1</v>
      </c>
      <c r="AA256" s="14">
        <v>3</v>
      </c>
      <c r="AB256" s="14">
        <v>0</v>
      </c>
      <c r="AC256" s="14">
        <v>0</v>
      </c>
      <c r="AD256" s="25">
        <v>0</v>
      </c>
      <c r="AE256" s="25">
        <v>0</v>
      </c>
      <c r="AF256" s="25">
        <v>0</v>
      </c>
      <c r="AG256" s="25">
        <v>0.42970521499999997</v>
      </c>
      <c r="AH256" s="25">
        <v>0.433884298</v>
      </c>
      <c r="AI256" s="14" t="s">
        <v>1205</v>
      </c>
      <c r="AJ256" s="14" t="s">
        <v>33</v>
      </c>
    </row>
    <row r="257" spans="1:36" x14ac:dyDescent="0.25">
      <c r="A257" s="1">
        <v>164</v>
      </c>
      <c r="B257" s="14" t="s">
        <v>562</v>
      </c>
      <c r="C257" s="14" t="s">
        <v>515</v>
      </c>
      <c r="D257" s="14" t="s">
        <v>10</v>
      </c>
      <c r="E257" s="29" t="s">
        <v>71</v>
      </c>
      <c r="F257" s="14">
        <v>88.15</v>
      </c>
      <c r="G257" s="14">
        <v>18.399999999999999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2</v>
      </c>
      <c r="N257" s="14">
        <v>2</v>
      </c>
      <c r="O257" s="14">
        <v>1</v>
      </c>
      <c r="P257" s="14">
        <v>0</v>
      </c>
      <c r="Q257" s="14">
        <v>0</v>
      </c>
      <c r="R257" s="14">
        <v>0</v>
      </c>
      <c r="S257" s="14">
        <v>0</v>
      </c>
      <c r="T257" s="14">
        <v>0</v>
      </c>
      <c r="U257" s="14">
        <v>0</v>
      </c>
      <c r="V257" s="14">
        <v>1</v>
      </c>
      <c r="W257" s="14">
        <v>0</v>
      </c>
      <c r="X257" s="14">
        <v>0</v>
      </c>
      <c r="Y257" s="14">
        <v>0</v>
      </c>
      <c r="Z257" s="14">
        <v>0</v>
      </c>
      <c r="AA257" s="14">
        <v>0</v>
      </c>
      <c r="AB257" s="14">
        <v>1</v>
      </c>
      <c r="AC257" s="14">
        <v>0</v>
      </c>
      <c r="AD257" s="25">
        <v>0</v>
      </c>
      <c r="AE257" s="25">
        <v>0</v>
      </c>
      <c r="AF257" s="25">
        <v>0</v>
      </c>
      <c r="AG257" s="25">
        <v>0.3359375</v>
      </c>
      <c r="AH257" s="25">
        <v>0.3</v>
      </c>
      <c r="AI257" s="14" t="s">
        <v>1210</v>
      </c>
      <c r="AJ257" s="14" t="s">
        <v>33</v>
      </c>
    </row>
    <row r="258" spans="1:36" x14ac:dyDescent="0.25">
      <c r="A258" s="1">
        <v>165</v>
      </c>
      <c r="B258" s="14" t="s">
        <v>1856</v>
      </c>
      <c r="C258" s="14" t="s">
        <v>1514</v>
      </c>
      <c r="D258" s="14" t="s">
        <v>1509</v>
      </c>
      <c r="E258" s="29" t="s">
        <v>1812</v>
      </c>
      <c r="F258" s="14">
        <v>126.15</v>
      </c>
      <c r="G258" s="14">
        <v>18.399999999999999</v>
      </c>
      <c r="H258" s="14">
        <v>5</v>
      </c>
      <c r="I258" s="14">
        <v>0</v>
      </c>
      <c r="J258" s="14">
        <v>4</v>
      </c>
      <c r="K258" s="14">
        <v>2</v>
      </c>
      <c r="L258" s="14">
        <v>0</v>
      </c>
      <c r="M258" s="14">
        <v>1</v>
      </c>
      <c r="N258" s="14">
        <v>2</v>
      </c>
      <c r="O258" s="14">
        <v>0</v>
      </c>
      <c r="P258" s="14">
        <v>1</v>
      </c>
      <c r="Q258" s="14">
        <v>1</v>
      </c>
      <c r="R258" s="14">
        <v>0</v>
      </c>
      <c r="S258" s="14">
        <v>0</v>
      </c>
      <c r="T258" s="14">
        <v>0</v>
      </c>
      <c r="U258" s="14">
        <v>0</v>
      </c>
      <c r="V258" s="14">
        <v>0</v>
      </c>
      <c r="W258" s="14">
        <v>0</v>
      </c>
      <c r="X258" s="14">
        <v>3</v>
      </c>
      <c r="Y258" s="14">
        <v>0</v>
      </c>
      <c r="Z258" s="14">
        <v>0</v>
      </c>
      <c r="AA258" s="14">
        <v>0</v>
      </c>
      <c r="AB258" s="14">
        <v>0</v>
      </c>
      <c r="AC258" s="14">
        <v>0</v>
      </c>
      <c r="AD258" s="25">
        <v>0</v>
      </c>
      <c r="AE258" s="25">
        <v>0</v>
      </c>
      <c r="AF258" s="25">
        <v>0</v>
      </c>
      <c r="AG258" s="25">
        <v>0.38541666699999999</v>
      </c>
      <c r="AH258" s="25">
        <v>0.33648393199999999</v>
      </c>
      <c r="AI258" s="14" t="s">
        <v>1571</v>
      </c>
      <c r="AJ258" s="14" t="s">
        <v>33</v>
      </c>
    </row>
    <row r="259" spans="1:36" x14ac:dyDescent="0.25">
      <c r="A259" s="1">
        <v>166</v>
      </c>
      <c r="B259" s="14" t="s">
        <v>840</v>
      </c>
      <c r="C259" s="14" t="s">
        <v>486</v>
      </c>
      <c r="D259" s="14" t="s">
        <v>17</v>
      </c>
      <c r="E259" s="29" t="s">
        <v>92</v>
      </c>
      <c r="F259" s="14">
        <v>130.18</v>
      </c>
      <c r="G259" s="14">
        <v>18.600000000000001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2</v>
      </c>
      <c r="N259" s="14">
        <v>4</v>
      </c>
      <c r="O259" s="14">
        <v>0</v>
      </c>
      <c r="P259" s="14">
        <v>0</v>
      </c>
      <c r="Q259" s="14">
        <v>0</v>
      </c>
      <c r="R259" s="14">
        <v>0</v>
      </c>
      <c r="S259" s="14">
        <v>0</v>
      </c>
      <c r="T259" s="14">
        <v>0</v>
      </c>
      <c r="U259" s="14">
        <v>1</v>
      </c>
      <c r="V259" s="14">
        <v>0</v>
      </c>
      <c r="W259" s="14">
        <v>0</v>
      </c>
      <c r="X259" s="14">
        <v>0</v>
      </c>
      <c r="Y259" s="14">
        <v>0</v>
      </c>
      <c r="Z259" s="14">
        <v>0</v>
      </c>
      <c r="AA259" s="14">
        <v>0</v>
      </c>
      <c r="AB259" s="14">
        <v>0</v>
      </c>
      <c r="AC259" s="14">
        <v>0</v>
      </c>
      <c r="AD259" s="25">
        <v>0</v>
      </c>
      <c r="AE259" s="25">
        <v>0</v>
      </c>
      <c r="AF259" s="25">
        <v>0</v>
      </c>
      <c r="AG259" s="25">
        <v>0.43827160500000001</v>
      </c>
      <c r="AH259" s="25">
        <v>0.43827160500000001</v>
      </c>
      <c r="AI259" s="14" t="s">
        <v>1183</v>
      </c>
      <c r="AJ259" s="14" t="s">
        <v>33</v>
      </c>
    </row>
    <row r="260" spans="1:36" x14ac:dyDescent="0.25">
      <c r="A260" s="1">
        <v>168</v>
      </c>
      <c r="B260" s="14" t="s">
        <v>568</v>
      </c>
      <c r="C260" s="14" t="s">
        <v>301</v>
      </c>
      <c r="D260" s="14" t="s">
        <v>12</v>
      </c>
      <c r="E260" s="29" t="s">
        <v>72</v>
      </c>
      <c r="F260" s="14">
        <v>136.22999999999999</v>
      </c>
      <c r="G260" s="14">
        <v>18.899999999999999</v>
      </c>
      <c r="H260" s="14">
        <v>0</v>
      </c>
      <c r="I260" s="14">
        <v>2</v>
      </c>
      <c r="J260" s="14">
        <v>0</v>
      </c>
      <c r="K260" s="14">
        <v>2</v>
      </c>
      <c r="L260" s="14">
        <v>0</v>
      </c>
      <c r="M260" s="14">
        <v>2</v>
      </c>
      <c r="N260" s="14">
        <v>0</v>
      </c>
      <c r="O260" s="14">
        <v>0</v>
      </c>
      <c r="P260" s="14">
        <v>0</v>
      </c>
      <c r="Q260" s="14">
        <v>0</v>
      </c>
      <c r="R260" s="14">
        <v>0</v>
      </c>
      <c r="S260" s="14">
        <v>0</v>
      </c>
      <c r="T260" s="14">
        <v>0</v>
      </c>
      <c r="U260" s="14">
        <v>0</v>
      </c>
      <c r="V260" s="14">
        <v>0</v>
      </c>
      <c r="W260" s="14">
        <v>0</v>
      </c>
      <c r="X260" s="14">
        <v>1</v>
      </c>
      <c r="Y260" s="14">
        <v>1</v>
      </c>
      <c r="Z260" s="14">
        <v>1</v>
      </c>
      <c r="AA260" s="14">
        <v>3</v>
      </c>
      <c r="AB260" s="14">
        <v>0</v>
      </c>
      <c r="AC260" s="14">
        <v>0</v>
      </c>
      <c r="AD260" s="25">
        <v>0</v>
      </c>
      <c r="AE260" s="25">
        <v>0</v>
      </c>
      <c r="AF260" s="25">
        <v>0</v>
      </c>
      <c r="AG260" s="25">
        <v>0.40532544399999998</v>
      </c>
      <c r="AH260" s="25">
        <v>0.41319444399999999</v>
      </c>
      <c r="AI260" s="14" t="s">
        <v>992</v>
      </c>
      <c r="AJ260" s="14" t="s">
        <v>33</v>
      </c>
    </row>
    <row r="261" spans="1:36" x14ac:dyDescent="0.25">
      <c r="A261" s="1">
        <v>169</v>
      </c>
      <c r="B261" s="14" t="s">
        <v>1633</v>
      </c>
      <c r="C261" s="14" t="s">
        <v>1398</v>
      </c>
      <c r="D261" s="14" t="s">
        <v>16</v>
      </c>
      <c r="E261" s="29" t="s">
        <v>1629</v>
      </c>
      <c r="F261" s="14">
        <v>136.22800000000001</v>
      </c>
      <c r="G261" s="14">
        <v>18.899999999999999</v>
      </c>
      <c r="H261" s="14">
        <v>0</v>
      </c>
      <c r="I261" s="14">
        <v>2</v>
      </c>
      <c r="J261" s="14">
        <v>0</v>
      </c>
      <c r="K261" s="14">
        <v>2</v>
      </c>
      <c r="L261" s="14">
        <v>0</v>
      </c>
      <c r="M261" s="14">
        <v>2</v>
      </c>
      <c r="N261" s="14">
        <v>0</v>
      </c>
      <c r="O261" s="14">
        <v>0</v>
      </c>
      <c r="P261" s="14">
        <v>0</v>
      </c>
      <c r="Q261" s="14">
        <v>0</v>
      </c>
      <c r="R261" s="14">
        <v>0</v>
      </c>
      <c r="S261" s="14">
        <v>0</v>
      </c>
      <c r="T261" s="14">
        <v>0</v>
      </c>
      <c r="U261" s="14">
        <v>0</v>
      </c>
      <c r="V261" s="14">
        <v>0</v>
      </c>
      <c r="W261" s="14">
        <v>0</v>
      </c>
      <c r="X261" s="14">
        <v>1</v>
      </c>
      <c r="Y261" s="14">
        <v>1</v>
      </c>
      <c r="Z261" s="14">
        <v>1</v>
      </c>
      <c r="AA261" s="14">
        <v>3</v>
      </c>
      <c r="AB261" s="14">
        <v>0</v>
      </c>
      <c r="AC261" s="14">
        <v>0</v>
      </c>
      <c r="AD261" s="25">
        <v>0</v>
      </c>
      <c r="AE261" s="25">
        <v>0</v>
      </c>
      <c r="AF261" s="25">
        <v>0</v>
      </c>
      <c r="AG261" s="25">
        <v>0.40532544399999998</v>
      </c>
      <c r="AH261" s="25">
        <v>0.41319444399999999</v>
      </c>
      <c r="AI261" s="14" t="s">
        <v>1571</v>
      </c>
      <c r="AJ261" s="14" t="s">
        <v>33</v>
      </c>
    </row>
    <row r="262" spans="1:36" x14ac:dyDescent="0.25">
      <c r="A262" s="1">
        <v>170</v>
      </c>
      <c r="B262" s="14" t="s">
        <v>636</v>
      </c>
      <c r="C262" s="14" t="s">
        <v>1399</v>
      </c>
      <c r="D262" s="14" t="s">
        <v>16</v>
      </c>
      <c r="E262" s="29" t="s">
        <v>1629</v>
      </c>
      <c r="F262" s="14">
        <v>136.22800000000001</v>
      </c>
      <c r="G262" s="14">
        <v>18.899999999999999</v>
      </c>
      <c r="H262" s="14">
        <v>0</v>
      </c>
      <c r="I262" s="14">
        <v>1</v>
      </c>
      <c r="J262" s="14">
        <v>0</v>
      </c>
      <c r="K262" s="14">
        <v>1</v>
      </c>
      <c r="L262" s="14">
        <v>1</v>
      </c>
      <c r="M262" s="14">
        <v>3</v>
      </c>
      <c r="N262" s="14">
        <v>0</v>
      </c>
      <c r="O262" s="14">
        <v>0</v>
      </c>
      <c r="P262" s="14">
        <v>0</v>
      </c>
      <c r="Q262" s="14">
        <v>0</v>
      </c>
      <c r="R262" s="14">
        <v>0</v>
      </c>
      <c r="S262" s="14">
        <v>0</v>
      </c>
      <c r="T262" s="14">
        <v>0</v>
      </c>
      <c r="U262" s="14">
        <v>0</v>
      </c>
      <c r="V262" s="14">
        <v>0</v>
      </c>
      <c r="W262" s="14">
        <v>0</v>
      </c>
      <c r="X262" s="14">
        <v>1</v>
      </c>
      <c r="Y262" s="14">
        <v>0</v>
      </c>
      <c r="Z262" s="14">
        <v>2</v>
      </c>
      <c r="AA262" s="14">
        <v>2</v>
      </c>
      <c r="AB262" s="14">
        <v>0</v>
      </c>
      <c r="AC262" s="14">
        <v>0</v>
      </c>
      <c r="AD262" s="25">
        <v>0</v>
      </c>
      <c r="AE262" s="25">
        <v>0</v>
      </c>
      <c r="AF262" s="25">
        <v>0</v>
      </c>
      <c r="AG262" s="25">
        <v>0.32291666699999999</v>
      </c>
      <c r="AH262" s="25">
        <v>0.32291666699999999</v>
      </c>
      <c r="AI262" s="14" t="s">
        <v>1571</v>
      </c>
      <c r="AJ262" s="14" t="s">
        <v>33</v>
      </c>
    </row>
    <row r="263" spans="1:36" x14ac:dyDescent="0.25">
      <c r="A263" s="1">
        <v>171</v>
      </c>
      <c r="B263" s="14" t="s">
        <v>1613</v>
      </c>
      <c r="C263" s="14" t="s">
        <v>2021</v>
      </c>
      <c r="D263" s="14" t="s">
        <v>16</v>
      </c>
      <c r="E263" s="29" t="s">
        <v>54</v>
      </c>
      <c r="F263" s="14">
        <v>112.208</v>
      </c>
      <c r="G263" s="14">
        <v>19</v>
      </c>
      <c r="H263" s="14">
        <v>0</v>
      </c>
      <c r="I263" s="14">
        <v>0</v>
      </c>
      <c r="J263" s="14">
        <v>0</v>
      </c>
      <c r="K263" s="14">
        <v>0</v>
      </c>
      <c r="L263" s="14">
        <v>0</v>
      </c>
      <c r="M263" s="14">
        <v>3</v>
      </c>
      <c r="N263" s="14">
        <v>0</v>
      </c>
      <c r="O263" s="14">
        <v>0</v>
      </c>
      <c r="P263" s="14">
        <v>0</v>
      </c>
      <c r="Q263" s="14">
        <v>0</v>
      </c>
      <c r="R263" s="14">
        <v>0</v>
      </c>
      <c r="S263" s="14">
        <v>0</v>
      </c>
      <c r="T263" s="14">
        <v>0</v>
      </c>
      <c r="U263" s="14">
        <v>0</v>
      </c>
      <c r="V263" s="14">
        <v>0</v>
      </c>
      <c r="W263" s="14">
        <v>0</v>
      </c>
      <c r="X263" s="14">
        <v>0</v>
      </c>
      <c r="Y263" s="14">
        <v>0</v>
      </c>
      <c r="Z263" s="14">
        <v>3</v>
      </c>
      <c r="AA263" s="14">
        <v>2</v>
      </c>
      <c r="AB263" s="14">
        <v>0</v>
      </c>
      <c r="AC263" s="14">
        <v>0</v>
      </c>
      <c r="AD263" s="25">
        <v>0</v>
      </c>
      <c r="AE263" s="25">
        <v>0</v>
      </c>
      <c r="AF263" s="25">
        <v>0</v>
      </c>
      <c r="AG263" s="25">
        <v>0.28892733599999998</v>
      </c>
      <c r="AH263" s="25">
        <v>0.28125</v>
      </c>
      <c r="AI263" s="14" t="s">
        <v>1571</v>
      </c>
      <c r="AJ263" s="14" t="s">
        <v>33</v>
      </c>
    </row>
    <row r="264" spans="1:36" x14ac:dyDescent="0.25">
      <c r="A264" s="1">
        <v>173</v>
      </c>
      <c r="B264" s="14" t="s">
        <v>1903</v>
      </c>
      <c r="C264" s="14" t="s">
        <v>2022</v>
      </c>
      <c r="D264" s="14" t="s">
        <v>1929</v>
      </c>
      <c r="E264" s="29" t="s">
        <v>1904</v>
      </c>
      <c r="F264" s="14">
        <v>194.18</v>
      </c>
      <c r="G264" s="14">
        <v>19</v>
      </c>
      <c r="H264" s="14">
        <v>6</v>
      </c>
      <c r="I264" s="14">
        <v>0</v>
      </c>
      <c r="J264" s="14">
        <v>6</v>
      </c>
      <c r="K264" s="14">
        <v>3</v>
      </c>
      <c r="L264" s="14">
        <v>0</v>
      </c>
      <c r="M264" s="14">
        <v>2</v>
      </c>
      <c r="N264" s="14">
        <v>0</v>
      </c>
      <c r="O264" s="14">
        <v>0</v>
      </c>
      <c r="P264" s="14">
        <v>0</v>
      </c>
      <c r="Q264" s="14">
        <v>0</v>
      </c>
      <c r="R264" s="14">
        <v>0</v>
      </c>
      <c r="S264" s="14">
        <v>0</v>
      </c>
      <c r="T264" s="14">
        <v>0</v>
      </c>
      <c r="U264" s="14">
        <v>2</v>
      </c>
      <c r="V264" s="14">
        <v>0</v>
      </c>
      <c r="W264" s="14">
        <v>0</v>
      </c>
      <c r="X264" s="14">
        <v>4</v>
      </c>
      <c r="Y264" s="14">
        <v>0</v>
      </c>
      <c r="Z264" s="14">
        <v>0</v>
      </c>
      <c r="AA264" s="14">
        <v>0</v>
      </c>
      <c r="AB264" s="14">
        <v>0</v>
      </c>
      <c r="AC264" s="14">
        <v>0</v>
      </c>
      <c r="AD264" s="25">
        <v>0</v>
      </c>
      <c r="AE264" s="25">
        <v>0</v>
      </c>
      <c r="AF264" s="25">
        <v>0</v>
      </c>
      <c r="AG264" s="25">
        <v>0.57716049400000002</v>
      </c>
      <c r="AH264" s="25">
        <v>0.50554016599999996</v>
      </c>
      <c r="AI264" s="14" t="s">
        <v>1571</v>
      </c>
      <c r="AJ264" s="14" t="s">
        <v>33</v>
      </c>
    </row>
    <row r="265" spans="1:36" x14ac:dyDescent="0.25">
      <c r="A265" s="1">
        <v>175</v>
      </c>
      <c r="B265" s="14" t="s">
        <v>1866</v>
      </c>
      <c r="C265" s="14" t="s">
        <v>1520</v>
      </c>
      <c r="D265" s="14" t="s">
        <v>13</v>
      </c>
      <c r="E265" s="29" t="s">
        <v>1867</v>
      </c>
      <c r="F265" s="14">
        <v>132.154</v>
      </c>
      <c r="G265" s="14">
        <v>19.100000000000001</v>
      </c>
      <c r="H265" s="14">
        <v>6</v>
      </c>
      <c r="I265" s="14">
        <v>1</v>
      </c>
      <c r="J265" s="14">
        <v>6</v>
      </c>
      <c r="K265" s="14">
        <v>4</v>
      </c>
      <c r="L265" s="14">
        <v>0</v>
      </c>
      <c r="M265" s="14">
        <v>1</v>
      </c>
      <c r="N265" s="14">
        <v>0</v>
      </c>
      <c r="O265" s="14">
        <v>0</v>
      </c>
      <c r="P265" s="14">
        <v>0</v>
      </c>
      <c r="Q265" s="14">
        <v>0</v>
      </c>
      <c r="R265" s="14">
        <v>0</v>
      </c>
      <c r="S265" s="14">
        <v>0</v>
      </c>
      <c r="T265" s="14">
        <v>1</v>
      </c>
      <c r="U265" s="14">
        <v>0</v>
      </c>
      <c r="V265" s="14">
        <v>0</v>
      </c>
      <c r="W265" s="14">
        <v>1</v>
      </c>
      <c r="X265" s="14">
        <v>5</v>
      </c>
      <c r="Y265" s="14">
        <v>0</v>
      </c>
      <c r="Z265" s="14">
        <v>0</v>
      </c>
      <c r="AA265" s="14">
        <v>0</v>
      </c>
      <c r="AB265" s="14">
        <v>0</v>
      </c>
      <c r="AC265" s="14">
        <v>0</v>
      </c>
      <c r="AD265" s="25">
        <v>0</v>
      </c>
      <c r="AE265" s="25">
        <v>0</v>
      </c>
      <c r="AF265" s="25">
        <v>0</v>
      </c>
      <c r="AG265" s="25">
        <v>0.44907407399999999</v>
      </c>
      <c r="AH265" s="25">
        <v>0.435546875</v>
      </c>
      <c r="AI265" s="14" t="s">
        <v>1571</v>
      </c>
      <c r="AJ265" s="14" t="s">
        <v>33</v>
      </c>
    </row>
    <row r="266" spans="1:36" x14ac:dyDescent="0.25">
      <c r="A266" s="1">
        <v>176</v>
      </c>
      <c r="B266" s="14" t="s">
        <v>1866</v>
      </c>
      <c r="C266" s="14" t="s">
        <v>1525</v>
      </c>
      <c r="D266" s="14" t="s">
        <v>13</v>
      </c>
      <c r="E266" s="29" t="s">
        <v>1876</v>
      </c>
      <c r="F266" s="14">
        <v>146.18</v>
      </c>
      <c r="G266" s="14">
        <v>19.100000000000001</v>
      </c>
      <c r="H266" s="14">
        <v>6</v>
      </c>
      <c r="I266" s="14">
        <v>1</v>
      </c>
      <c r="J266" s="14">
        <v>6</v>
      </c>
      <c r="K266" s="14">
        <v>4</v>
      </c>
      <c r="L266" s="14">
        <v>0</v>
      </c>
      <c r="M266" s="14">
        <v>1</v>
      </c>
      <c r="N266" s="14">
        <v>0</v>
      </c>
      <c r="O266" s="14">
        <v>0</v>
      </c>
      <c r="P266" s="14">
        <v>0</v>
      </c>
      <c r="Q266" s="14">
        <v>0</v>
      </c>
      <c r="R266" s="14">
        <v>0</v>
      </c>
      <c r="S266" s="14">
        <v>0</v>
      </c>
      <c r="T266" s="14">
        <v>1</v>
      </c>
      <c r="U266" s="14">
        <v>0</v>
      </c>
      <c r="V266" s="14">
        <v>0</v>
      </c>
      <c r="W266" s="14">
        <v>1</v>
      </c>
      <c r="X266" s="14">
        <v>5</v>
      </c>
      <c r="Y266" s="14">
        <v>0</v>
      </c>
      <c r="Z266" s="14">
        <v>0</v>
      </c>
      <c r="AA266" s="14">
        <v>0</v>
      </c>
      <c r="AB266" s="14">
        <v>0</v>
      </c>
      <c r="AC266" s="14">
        <v>0</v>
      </c>
      <c r="AD266" s="25">
        <v>0</v>
      </c>
      <c r="AE266" s="25">
        <v>0</v>
      </c>
      <c r="AF266" s="25">
        <v>0</v>
      </c>
      <c r="AG266" s="25">
        <v>0.44907407399999999</v>
      </c>
      <c r="AH266" s="25">
        <v>0.435546875</v>
      </c>
      <c r="AI266" s="14" t="s">
        <v>1571</v>
      </c>
      <c r="AJ266" s="14" t="s">
        <v>33</v>
      </c>
    </row>
    <row r="267" spans="1:36" x14ac:dyDescent="0.25">
      <c r="A267" s="1">
        <v>178</v>
      </c>
      <c r="B267" s="14" t="s">
        <v>1729</v>
      </c>
      <c r="C267" s="14" t="s">
        <v>1452</v>
      </c>
      <c r="D267" s="14" t="s">
        <v>1932</v>
      </c>
      <c r="E267" s="29" t="s">
        <v>1730</v>
      </c>
      <c r="F267" s="14">
        <v>124.134</v>
      </c>
      <c r="G267" s="14">
        <v>19.3</v>
      </c>
      <c r="H267" s="14">
        <v>6</v>
      </c>
      <c r="I267" s="14">
        <v>0</v>
      </c>
      <c r="J267" s="14">
        <v>6</v>
      </c>
      <c r="K267" s="14">
        <v>3</v>
      </c>
      <c r="L267" s="14">
        <v>0</v>
      </c>
      <c r="M267" s="14">
        <v>1</v>
      </c>
      <c r="N267" s="14">
        <v>0</v>
      </c>
      <c r="O267" s="14">
        <v>1</v>
      </c>
      <c r="P267" s="14">
        <v>1</v>
      </c>
      <c r="Q267" s="14">
        <v>0</v>
      </c>
      <c r="R267" s="14">
        <v>0</v>
      </c>
      <c r="S267" s="14">
        <v>0</v>
      </c>
      <c r="T267" s="14">
        <v>0</v>
      </c>
      <c r="U267" s="14">
        <v>0</v>
      </c>
      <c r="V267" s="14">
        <v>0</v>
      </c>
      <c r="W267" s="14">
        <v>0</v>
      </c>
      <c r="X267" s="14">
        <v>4</v>
      </c>
      <c r="Y267" s="14">
        <v>0</v>
      </c>
      <c r="Z267" s="14">
        <v>0</v>
      </c>
      <c r="AA267" s="14">
        <v>0</v>
      </c>
      <c r="AB267" s="14">
        <v>0</v>
      </c>
      <c r="AC267" s="14">
        <v>0</v>
      </c>
      <c r="AD267" s="25">
        <v>0</v>
      </c>
      <c r="AE267" s="25">
        <v>1</v>
      </c>
      <c r="AF267" s="25">
        <v>0</v>
      </c>
      <c r="AG267" s="25">
        <v>0.39349112400000003</v>
      </c>
      <c r="AH267" s="25">
        <v>0.28819444399999999</v>
      </c>
      <c r="AI267" s="14" t="s">
        <v>1571</v>
      </c>
      <c r="AJ267" s="14" t="s">
        <v>33</v>
      </c>
    </row>
    <row r="268" spans="1:36" x14ac:dyDescent="0.25">
      <c r="A268" s="1">
        <v>179</v>
      </c>
      <c r="B268" s="14" t="s">
        <v>692</v>
      </c>
      <c r="C268" s="14" t="s">
        <v>267</v>
      </c>
      <c r="D268" s="14" t="s">
        <v>17</v>
      </c>
      <c r="E268" s="29" t="s">
        <v>74</v>
      </c>
      <c r="F268" s="14">
        <v>198.3</v>
      </c>
      <c r="G268" s="14">
        <v>19.5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4</v>
      </c>
      <c r="N268" s="14">
        <v>0</v>
      </c>
      <c r="O268" s="14">
        <v>0</v>
      </c>
      <c r="P268" s="14">
        <v>0</v>
      </c>
      <c r="Q268" s="14">
        <v>0</v>
      </c>
      <c r="R268" s="14">
        <v>0</v>
      </c>
      <c r="S268" s="14">
        <v>0</v>
      </c>
      <c r="T268" s="14">
        <v>0</v>
      </c>
      <c r="U268" s="14">
        <v>1</v>
      </c>
      <c r="V268" s="14">
        <v>1</v>
      </c>
      <c r="W268" s="14">
        <v>0</v>
      </c>
      <c r="X268" s="14">
        <v>0</v>
      </c>
      <c r="Y268" s="14">
        <v>0</v>
      </c>
      <c r="Z268" s="14">
        <v>3</v>
      </c>
      <c r="AA268" s="14">
        <v>3</v>
      </c>
      <c r="AB268" s="14">
        <v>0</v>
      </c>
      <c r="AC268" s="14">
        <v>0</v>
      </c>
      <c r="AD268" s="25">
        <v>0</v>
      </c>
      <c r="AE268" s="25">
        <v>0</v>
      </c>
      <c r="AF268" s="25">
        <v>0</v>
      </c>
      <c r="AG268" s="25">
        <v>0.47333333300000002</v>
      </c>
      <c r="AH268" s="25">
        <v>0.48222222199999998</v>
      </c>
      <c r="AI268" s="14" t="s">
        <v>954</v>
      </c>
      <c r="AJ268" s="14" t="s">
        <v>33</v>
      </c>
    </row>
    <row r="269" spans="1:36" x14ac:dyDescent="0.25">
      <c r="A269" s="1">
        <v>180</v>
      </c>
      <c r="B269" s="14" t="s">
        <v>1751</v>
      </c>
      <c r="C269" s="14" t="s">
        <v>1466</v>
      </c>
      <c r="D269" s="14" t="s">
        <v>1930</v>
      </c>
      <c r="E269" s="29" t="s">
        <v>1752</v>
      </c>
      <c r="F269" s="14">
        <v>74.078000000000003</v>
      </c>
      <c r="G269" s="14">
        <v>19.5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2</v>
      </c>
      <c r="N269" s="14">
        <v>0</v>
      </c>
      <c r="O269" s="14">
        <v>0</v>
      </c>
      <c r="P269" s="14">
        <v>0</v>
      </c>
      <c r="Q269" s="14">
        <v>0</v>
      </c>
      <c r="R269" s="14">
        <v>0</v>
      </c>
      <c r="S269" s="14">
        <v>0</v>
      </c>
      <c r="T269" s="14">
        <v>0</v>
      </c>
      <c r="U269" s="14">
        <v>1</v>
      </c>
      <c r="V269" s="14">
        <v>0</v>
      </c>
      <c r="W269" s="14">
        <v>0</v>
      </c>
      <c r="X269" s="14">
        <v>0</v>
      </c>
      <c r="Y269" s="14">
        <v>0</v>
      </c>
      <c r="Z269" s="14">
        <v>0</v>
      </c>
      <c r="AA269" s="14">
        <v>0</v>
      </c>
      <c r="AB269" s="14">
        <v>0</v>
      </c>
      <c r="AC269" s="14">
        <v>0</v>
      </c>
      <c r="AD269" s="25">
        <v>0</v>
      </c>
      <c r="AE269" s="25">
        <v>0</v>
      </c>
      <c r="AF269" s="25">
        <v>0</v>
      </c>
      <c r="AG269" s="25">
        <v>0.255102041</v>
      </c>
      <c r="AH269" s="25">
        <v>0.22</v>
      </c>
      <c r="AI269" s="14" t="s">
        <v>1571</v>
      </c>
      <c r="AJ269" s="14" t="s">
        <v>33</v>
      </c>
    </row>
    <row r="270" spans="1:36" x14ac:dyDescent="0.25">
      <c r="A270" s="1">
        <v>181</v>
      </c>
      <c r="B270" s="14" t="s">
        <v>753</v>
      </c>
      <c r="C270" s="14" t="s">
        <v>451</v>
      </c>
      <c r="D270" s="14" t="s">
        <v>20</v>
      </c>
      <c r="E270" s="29" t="s">
        <v>81</v>
      </c>
      <c r="F270" s="14">
        <v>86.13</v>
      </c>
      <c r="G270" s="14">
        <v>19.5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2</v>
      </c>
      <c r="N270" s="14">
        <v>2</v>
      </c>
      <c r="O270" s="14">
        <v>0</v>
      </c>
      <c r="P270" s="14">
        <v>0</v>
      </c>
      <c r="Q270" s="14">
        <v>0</v>
      </c>
      <c r="R270" s="14">
        <v>1</v>
      </c>
      <c r="S270" s="14">
        <v>0</v>
      </c>
      <c r="T270" s="14">
        <v>0</v>
      </c>
      <c r="U270" s="14">
        <v>0</v>
      </c>
      <c r="V270" s="14">
        <v>0</v>
      </c>
      <c r="W270" s="14">
        <v>0</v>
      </c>
      <c r="X270" s="14">
        <v>0</v>
      </c>
      <c r="Y270" s="14">
        <v>0</v>
      </c>
      <c r="Z270" s="14">
        <v>0</v>
      </c>
      <c r="AA270" s="14">
        <v>0</v>
      </c>
      <c r="AB270" s="14">
        <v>0</v>
      </c>
      <c r="AC270" s="14">
        <v>0</v>
      </c>
      <c r="AD270" s="25">
        <v>0</v>
      </c>
      <c r="AE270" s="25">
        <v>0</v>
      </c>
      <c r="AF270" s="25">
        <v>0</v>
      </c>
      <c r="AG270" s="25">
        <v>0.29166666699999999</v>
      </c>
      <c r="AH270" s="25">
        <v>0.29166666699999999</v>
      </c>
      <c r="AI270" s="14" t="s">
        <v>1147</v>
      </c>
      <c r="AJ270" s="14" t="s">
        <v>33</v>
      </c>
    </row>
    <row r="271" spans="1:36" x14ac:dyDescent="0.25">
      <c r="A271" s="1">
        <v>182</v>
      </c>
      <c r="B271" s="14" t="s">
        <v>1739</v>
      </c>
      <c r="C271" s="14" t="s">
        <v>1457</v>
      </c>
      <c r="D271" s="14" t="s">
        <v>1932</v>
      </c>
      <c r="E271" s="29" t="s">
        <v>1740</v>
      </c>
      <c r="F271" s="14">
        <v>152.18600000000001</v>
      </c>
      <c r="G271" s="14">
        <v>19.600000000000001</v>
      </c>
      <c r="H271" s="14">
        <v>6</v>
      </c>
      <c r="I271" s="14">
        <v>0</v>
      </c>
      <c r="J271" s="14">
        <v>6</v>
      </c>
      <c r="K271" s="14">
        <v>3</v>
      </c>
      <c r="L271" s="14">
        <v>0</v>
      </c>
      <c r="M271" s="14">
        <v>2</v>
      </c>
      <c r="N271" s="14">
        <v>1</v>
      </c>
      <c r="O271" s="14">
        <v>1</v>
      </c>
      <c r="P271" s="14">
        <v>1</v>
      </c>
      <c r="Q271" s="14">
        <v>0</v>
      </c>
      <c r="R271" s="14">
        <v>0</v>
      </c>
      <c r="S271" s="14">
        <v>0</v>
      </c>
      <c r="T271" s="14">
        <v>0</v>
      </c>
      <c r="U271" s="14">
        <v>0</v>
      </c>
      <c r="V271" s="14">
        <v>0</v>
      </c>
      <c r="W271" s="14">
        <v>0</v>
      </c>
      <c r="X271" s="14">
        <v>3</v>
      </c>
      <c r="Y271" s="14">
        <v>0</v>
      </c>
      <c r="Z271" s="14">
        <v>0</v>
      </c>
      <c r="AA271" s="14">
        <v>0</v>
      </c>
      <c r="AB271" s="14">
        <v>0</v>
      </c>
      <c r="AC271" s="14">
        <v>0</v>
      </c>
      <c r="AD271" s="25">
        <v>0</v>
      </c>
      <c r="AE271" s="25">
        <v>1</v>
      </c>
      <c r="AF271" s="25">
        <v>0</v>
      </c>
      <c r="AG271" s="25">
        <v>0.44082840200000001</v>
      </c>
      <c r="AH271" s="25">
        <v>0.321428571</v>
      </c>
      <c r="AI271" s="14" t="s">
        <v>1571</v>
      </c>
      <c r="AJ271" s="14" t="s">
        <v>33</v>
      </c>
    </row>
    <row r="272" spans="1:36" x14ac:dyDescent="0.25">
      <c r="A272" s="1">
        <v>184</v>
      </c>
      <c r="B272" s="14" t="s">
        <v>635</v>
      </c>
      <c r="C272" s="14" t="s">
        <v>417</v>
      </c>
      <c r="D272" s="14" t="s">
        <v>12</v>
      </c>
      <c r="E272" s="29" t="s">
        <v>169</v>
      </c>
      <c r="F272" s="14">
        <v>110.2</v>
      </c>
      <c r="G272" s="14">
        <v>19.899999999999999</v>
      </c>
      <c r="H272" s="14">
        <v>0</v>
      </c>
      <c r="I272" s="14">
        <v>2</v>
      </c>
      <c r="J272" s="14">
        <v>0</v>
      </c>
      <c r="K272" s="14">
        <v>2</v>
      </c>
      <c r="L272" s="14">
        <v>0</v>
      </c>
      <c r="M272" s="14">
        <v>4</v>
      </c>
      <c r="N272" s="14">
        <v>0</v>
      </c>
      <c r="O272" s="14">
        <v>0</v>
      </c>
      <c r="P272" s="14">
        <v>0</v>
      </c>
      <c r="Q272" s="14">
        <v>0</v>
      </c>
      <c r="R272" s="14">
        <v>0</v>
      </c>
      <c r="S272" s="14">
        <v>0</v>
      </c>
      <c r="T272" s="14">
        <v>0</v>
      </c>
      <c r="U272" s="14">
        <v>0</v>
      </c>
      <c r="V272" s="14">
        <v>0</v>
      </c>
      <c r="W272" s="14">
        <v>2</v>
      </c>
      <c r="X272" s="14">
        <v>0</v>
      </c>
      <c r="Y272" s="14">
        <v>0</v>
      </c>
      <c r="Z272" s="14">
        <v>0</v>
      </c>
      <c r="AA272" s="14">
        <v>0</v>
      </c>
      <c r="AB272" s="14">
        <v>0</v>
      </c>
      <c r="AC272" s="14">
        <v>0</v>
      </c>
      <c r="AD272" s="25">
        <v>0</v>
      </c>
      <c r="AE272" s="25">
        <v>0</v>
      </c>
      <c r="AF272" s="25">
        <v>0</v>
      </c>
      <c r="AG272" s="25">
        <v>0.38888888900000002</v>
      </c>
      <c r="AH272" s="25">
        <v>0.38888888900000002</v>
      </c>
      <c r="AI272" s="14" t="s">
        <v>1114</v>
      </c>
      <c r="AJ272" s="14" t="s">
        <v>33</v>
      </c>
    </row>
    <row r="273" spans="1:36" x14ac:dyDescent="0.25">
      <c r="A273" s="1">
        <v>185</v>
      </c>
      <c r="B273" s="14" t="s">
        <v>624</v>
      </c>
      <c r="C273" s="14" t="s">
        <v>524</v>
      </c>
      <c r="D273" s="14" t="s">
        <v>10</v>
      </c>
      <c r="E273" s="29" t="s">
        <v>71</v>
      </c>
      <c r="F273" s="14">
        <v>88.15</v>
      </c>
      <c r="G273" s="14">
        <v>20</v>
      </c>
      <c r="H273" s="14">
        <v>0</v>
      </c>
      <c r="I273" s="14">
        <v>0</v>
      </c>
      <c r="J273" s="14">
        <v>0</v>
      </c>
      <c r="K273" s="14">
        <v>0</v>
      </c>
      <c r="L273" s="14">
        <v>0</v>
      </c>
      <c r="M273" s="14">
        <v>1</v>
      </c>
      <c r="N273" s="14">
        <v>4</v>
      </c>
      <c r="O273" s="14">
        <v>1</v>
      </c>
      <c r="P273" s="14">
        <v>0</v>
      </c>
      <c r="Q273" s="14">
        <v>0</v>
      </c>
      <c r="R273" s="14">
        <v>0</v>
      </c>
      <c r="S273" s="14">
        <v>0</v>
      </c>
      <c r="T273" s="14">
        <v>0</v>
      </c>
      <c r="U273" s="14">
        <v>0</v>
      </c>
      <c r="V273" s="14">
        <v>0</v>
      </c>
      <c r="W273" s="14">
        <v>0</v>
      </c>
      <c r="X273" s="14">
        <v>0</v>
      </c>
      <c r="Y273" s="14">
        <v>0</v>
      </c>
      <c r="Z273" s="14">
        <v>0</v>
      </c>
      <c r="AA273" s="14">
        <v>0</v>
      </c>
      <c r="AB273" s="14">
        <v>1</v>
      </c>
      <c r="AC273" s="14">
        <v>0</v>
      </c>
      <c r="AD273" s="25">
        <v>0</v>
      </c>
      <c r="AE273" s="25">
        <v>0</v>
      </c>
      <c r="AF273" s="25">
        <v>0</v>
      </c>
      <c r="AG273" s="25">
        <v>0.26</v>
      </c>
      <c r="AH273" s="25">
        <v>0.26</v>
      </c>
      <c r="AI273" s="14" t="s">
        <v>1220</v>
      </c>
      <c r="AJ273" s="14" t="s">
        <v>33</v>
      </c>
    </row>
    <row r="274" spans="1:36" x14ac:dyDescent="0.25">
      <c r="A274" s="1">
        <v>186</v>
      </c>
      <c r="B274" s="14" t="s">
        <v>1648</v>
      </c>
      <c r="C274" s="14" t="s">
        <v>2023</v>
      </c>
      <c r="D274" s="14" t="s">
        <v>12</v>
      </c>
      <c r="E274" s="29" t="s">
        <v>94</v>
      </c>
      <c r="F274" s="14">
        <v>70.13</v>
      </c>
      <c r="G274" s="14">
        <v>20</v>
      </c>
      <c r="H274" s="14">
        <v>0</v>
      </c>
      <c r="I274" s="14">
        <v>1</v>
      </c>
      <c r="J274" s="14">
        <v>0</v>
      </c>
      <c r="K274" s="14">
        <v>1</v>
      </c>
      <c r="L274" s="14">
        <v>0</v>
      </c>
      <c r="M274" s="14">
        <v>1</v>
      </c>
      <c r="N274" s="14">
        <v>2</v>
      </c>
      <c r="O274" s="14">
        <v>0</v>
      </c>
      <c r="P274" s="14">
        <v>0</v>
      </c>
      <c r="Q274" s="14">
        <v>0</v>
      </c>
      <c r="R274" s="14">
        <v>0</v>
      </c>
      <c r="S274" s="14">
        <v>0</v>
      </c>
      <c r="T274" s="14">
        <v>0</v>
      </c>
      <c r="U274" s="14">
        <v>0</v>
      </c>
      <c r="V274" s="14">
        <v>0</v>
      </c>
      <c r="W274" s="14">
        <v>1</v>
      </c>
      <c r="X274" s="14">
        <v>0</v>
      </c>
      <c r="Y274" s="14">
        <v>1</v>
      </c>
      <c r="Z274" s="14">
        <v>0</v>
      </c>
      <c r="AA274" s="14">
        <v>0</v>
      </c>
      <c r="AB274" s="14">
        <v>0</v>
      </c>
      <c r="AC274" s="14">
        <v>0</v>
      </c>
      <c r="AD274" s="25">
        <v>0</v>
      </c>
      <c r="AE274" s="25">
        <v>0</v>
      </c>
      <c r="AF274" s="25">
        <v>0</v>
      </c>
      <c r="AG274" s="25">
        <v>0.3</v>
      </c>
      <c r="AH274" s="25">
        <v>0.3</v>
      </c>
      <c r="AI274" s="14" t="s">
        <v>1571</v>
      </c>
      <c r="AJ274" s="14" t="s">
        <v>33</v>
      </c>
    </row>
    <row r="275" spans="1:36" x14ac:dyDescent="0.25">
      <c r="A275" s="1">
        <v>187</v>
      </c>
      <c r="B275" s="14" t="s">
        <v>1649</v>
      </c>
      <c r="C275" s="14" t="s">
        <v>2024</v>
      </c>
      <c r="D275" s="14" t="s">
        <v>12</v>
      </c>
      <c r="E275" s="29" t="s">
        <v>94</v>
      </c>
      <c r="F275" s="14">
        <v>70.13</v>
      </c>
      <c r="G275" s="14">
        <v>20</v>
      </c>
      <c r="H275" s="14">
        <v>0</v>
      </c>
      <c r="I275" s="14">
        <v>1</v>
      </c>
      <c r="J275" s="14">
        <v>0</v>
      </c>
      <c r="K275" s="14">
        <v>1</v>
      </c>
      <c r="L275" s="14">
        <v>0</v>
      </c>
      <c r="M275" s="14">
        <v>2</v>
      </c>
      <c r="N275" s="14">
        <v>1</v>
      </c>
      <c r="O275" s="14">
        <v>0</v>
      </c>
      <c r="P275" s="14">
        <v>0</v>
      </c>
      <c r="Q275" s="14">
        <v>0</v>
      </c>
      <c r="R275" s="14">
        <v>0</v>
      </c>
      <c r="S275" s="14">
        <v>0</v>
      </c>
      <c r="T275" s="14">
        <v>0</v>
      </c>
      <c r="U275" s="14">
        <v>0</v>
      </c>
      <c r="V275" s="14">
        <v>0</v>
      </c>
      <c r="W275" s="14">
        <v>0</v>
      </c>
      <c r="X275" s="14">
        <v>0</v>
      </c>
      <c r="Y275" s="14">
        <v>1</v>
      </c>
      <c r="Z275" s="14">
        <v>0</v>
      </c>
      <c r="AA275" s="14">
        <v>0</v>
      </c>
      <c r="AB275" s="14">
        <v>0</v>
      </c>
      <c r="AC275" s="14">
        <v>0</v>
      </c>
      <c r="AD275" s="25">
        <v>0</v>
      </c>
      <c r="AE275" s="25">
        <v>0</v>
      </c>
      <c r="AF275" s="25">
        <v>0</v>
      </c>
      <c r="AG275" s="25">
        <v>0.26543209899999998</v>
      </c>
      <c r="AH275" s="25">
        <v>0.22</v>
      </c>
      <c r="AI275" s="14" t="s">
        <v>1571</v>
      </c>
      <c r="AJ275" s="14" t="s">
        <v>33</v>
      </c>
    </row>
    <row r="276" spans="1:36" x14ac:dyDescent="0.25">
      <c r="A276" s="1">
        <v>188</v>
      </c>
      <c r="B276" s="14" t="s">
        <v>1676</v>
      </c>
      <c r="C276" s="14" t="s">
        <v>1420</v>
      </c>
      <c r="D276" s="14" t="s">
        <v>12</v>
      </c>
      <c r="E276" s="29" t="s">
        <v>178</v>
      </c>
      <c r="F276" s="14">
        <v>68.114000000000004</v>
      </c>
      <c r="G276" s="14">
        <v>20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4">
        <v>0</v>
      </c>
      <c r="S276" s="14">
        <v>0</v>
      </c>
      <c r="T276" s="14">
        <v>0</v>
      </c>
      <c r="U276" s="14">
        <v>0</v>
      </c>
      <c r="V276" s="14">
        <v>0</v>
      </c>
      <c r="W276" s="14">
        <v>0</v>
      </c>
      <c r="X276" s="14">
        <v>2</v>
      </c>
      <c r="Y276" s="14">
        <v>0</v>
      </c>
      <c r="Z276" s="14">
        <v>0</v>
      </c>
      <c r="AA276" s="14">
        <v>3</v>
      </c>
      <c r="AB276" s="14">
        <v>0</v>
      </c>
      <c r="AC276" s="14">
        <v>0</v>
      </c>
      <c r="AD276" s="25">
        <v>0</v>
      </c>
      <c r="AE276" s="25">
        <v>0</v>
      </c>
      <c r="AF276" s="25">
        <v>0</v>
      </c>
      <c r="AG276" s="25">
        <v>0.1171875</v>
      </c>
      <c r="AH276" s="25">
        <v>0.16666666699999999</v>
      </c>
      <c r="AI276" s="14" t="s">
        <v>1571</v>
      </c>
      <c r="AJ276" s="14" t="s">
        <v>33</v>
      </c>
    </row>
    <row r="277" spans="1:36" x14ac:dyDescent="0.25">
      <c r="A277" s="1">
        <v>189</v>
      </c>
      <c r="B277" s="14" t="s">
        <v>1285</v>
      </c>
      <c r="C277" s="14" t="s">
        <v>1261</v>
      </c>
      <c r="D277" s="14" t="s">
        <v>13</v>
      </c>
      <c r="E277" s="29" t="s">
        <v>1560</v>
      </c>
      <c r="F277" s="14">
        <v>218.3782339</v>
      </c>
      <c r="G277" s="14">
        <v>20</v>
      </c>
      <c r="H277" s="14">
        <v>6</v>
      </c>
      <c r="I277" s="14">
        <v>0</v>
      </c>
      <c r="J277" s="14">
        <v>6</v>
      </c>
      <c r="K277" s="14">
        <v>3</v>
      </c>
      <c r="L277" s="14">
        <v>0</v>
      </c>
      <c r="M277" s="14">
        <v>3</v>
      </c>
      <c r="N277" s="14">
        <v>7</v>
      </c>
      <c r="O277" s="14">
        <v>0</v>
      </c>
      <c r="P277" s="14">
        <v>0</v>
      </c>
      <c r="Q277" s="14">
        <v>0</v>
      </c>
      <c r="R277" s="14">
        <v>0</v>
      </c>
      <c r="S277" s="14">
        <v>0</v>
      </c>
      <c r="T277" s="14">
        <v>0</v>
      </c>
      <c r="U277" s="14">
        <v>0</v>
      </c>
      <c r="V277" s="14">
        <v>0</v>
      </c>
      <c r="W277" s="14">
        <v>0</v>
      </c>
      <c r="X277" s="14">
        <v>3</v>
      </c>
      <c r="Y277" s="14">
        <v>0</v>
      </c>
      <c r="Z277" s="14">
        <v>0</v>
      </c>
      <c r="AA277" s="14">
        <v>0</v>
      </c>
      <c r="AB277" s="14">
        <v>0</v>
      </c>
      <c r="AC277" s="14">
        <v>0</v>
      </c>
      <c r="AD277" s="25">
        <v>0</v>
      </c>
      <c r="AE277" s="25">
        <v>0</v>
      </c>
      <c r="AF277" s="25">
        <v>0</v>
      </c>
      <c r="AG277" s="25">
        <v>0.41883232500000001</v>
      </c>
      <c r="AH277" s="25">
        <v>0.475069252</v>
      </c>
      <c r="AI277" s="14" t="s">
        <v>1306</v>
      </c>
      <c r="AJ277" s="14" t="s">
        <v>33</v>
      </c>
    </row>
    <row r="278" spans="1:36" x14ac:dyDescent="0.25">
      <c r="A278" s="1">
        <v>191</v>
      </c>
      <c r="B278" s="14" t="s">
        <v>592</v>
      </c>
      <c r="C278" s="14" t="s">
        <v>270</v>
      </c>
      <c r="D278" s="14" t="s">
        <v>19</v>
      </c>
      <c r="E278" s="29" t="s">
        <v>77</v>
      </c>
      <c r="F278" s="14">
        <v>170.33</v>
      </c>
      <c r="G278" s="14">
        <v>20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4</v>
      </c>
      <c r="N278" s="14">
        <v>6</v>
      </c>
      <c r="O278" s="14">
        <v>0</v>
      </c>
      <c r="P278" s="14">
        <v>0</v>
      </c>
      <c r="Q278" s="14">
        <v>0</v>
      </c>
      <c r="R278" s="14">
        <v>0</v>
      </c>
      <c r="S278" s="14">
        <v>0</v>
      </c>
      <c r="T278" s="14">
        <v>0</v>
      </c>
      <c r="U278" s="14">
        <v>0</v>
      </c>
      <c r="V278" s="14">
        <v>2</v>
      </c>
      <c r="W278" s="14">
        <v>0</v>
      </c>
      <c r="X278" s="14">
        <v>0</v>
      </c>
      <c r="Y278" s="14">
        <v>0</v>
      </c>
      <c r="Z278" s="14">
        <v>0</v>
      </c>
      <c r="AA278" s="14">
        <v>0</v>
      </c>
      <c r="AB278" s="14">
        <v>0</v>
      </c>
      <c r="AC278" s="14">
        <v>0</v>
      </c>
      <c r="AD278" s="25">
        <v>0</v>
      </c>
      <c r="AE278" s="25">
        <v>0</v>
      </c>
      <c r="AF278" s="25">
        <v>0</v>
      </c>
      <c r="AG278" s="25">
        <v>0.475778547</v>
      </c>
      <c r="AH278" s="25">
        <v>0.47520661199999997</v>
      </c>
      <c r="AI278" s="14" t="s">
        <v>957</v>
      </c>
      <c r="AJ278" s="14" t="s">
        <v>33</v>
      </c>
    </row>
    <row r="279" spans="1:36" x14ac:dyDescent="0.25">
      <c r="A279" s="1">
        <v>192</v>
      </c>
      <c r="B279" s="14" t="s">
        <v>1314</v>
      </c>
      <c r="C279" s="14" t="s">
        <v>2025</v>
      </c>
      <c r="D279" s="14" t="s">
        <v>7</v>
      </c>
      <c r="E279" s="29" t="s">
        <v>77</v>
      </c>
      <c r="F279" s="14">
        <v>170.33529039999999</v>
      </c>
      <c r="G279" s="14">
        <v>20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4</v>
      </c>
      <c r="N279" s="14">
        <v>6</v>
      </c>
      <c r="O279" s="14">
        <v>0</v>
      </c>
      <c r="P279" s="14">
        <v>0</v>
      </c>
      <c r="Q279" s="14">
        <v>0</v>
      </c>
      <c r="R279" s="14">
        <v>0</v>
      </c>
      <c r="S279" s="14">
        <v>0</v>
      </c>
      <c r="T279" s="14">
        <v>0</v>
      </c>
      <c r="U279" s="14">
        <v>0</v>
      </c>
      <c r="V279" s="14">
        <v>2</v>
      </c>
      <c r="W279" s="14">
        <v>0</v>
      </c>
      <c r="X279" s="14">
        <v>0</v>
      </c>
      <c r="Y279" s="14">
        <v>0</v>
      </c>
      <c r="Z279" s="14">
        <v>0</v>
      </c>
      <c r="AA279" s="14">
        <v>0</v>
      </c>
      <c r="AB279" s="14">
        <v>0</v>
      </c>
      <c r="AC279" s="14">
        <v>0</v>
      </c>
      <c r="AD279" s="25">
        <v>0</v>
      </c>
      <c r="AE279" s="25">
        <v>0</v>
      </c>
      <c r="AF279" s="25">
        <v>0</v>
      </c>
      <c r="AG279" s="25">
        <v>0.475778547</v>
      </c>
      <c r="AH279" s="25">
        <v>0.47520661199999997</v>
      </c>
      <c r="AI279" s="14" t="s">
        <v>1306</v>
      </c>
      <c r="AJ279" s="14" t="s">
        <v>33</v>
      </c>
    </row>
    <row r="280" spans="1:36" x14ac:dyDescent="0.25">
      <c r="A280" s="1">
        <v>193</v>
      </c>
      <c r="B280" s="14" t="s">
        <v>1315</v>
      </c>
      <c r="C280" s="14" t="s">
        <v>2026</v>
      </c>
      <c r="D280" s="14" t="s">
        <v>7</v>
      </c>
      <c r="E280" s="29" t="s">
        <v>77</v>
      </c>
      <c r="F280" s="14">
        <v>170.33529039999999</v>
      </c>
      <c r="G280" s="14">
        <v>20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4</v>
      </c>
      <c r="N280" s="14">
        <v>6</v>
      </c>
      <c r="O280" s="14">
        <v>0</v>
      </c>
      <c r="P280" s="14">
        <v>0</v>
      </c>
      <c r="Q280" s="14">
        <v>0</v>
      </c>
      <c r="R280" s="14">
        <v>0</v>
      </c>
      <c r="S280" s="14">
        <v>0</v>
      </c>
      <c r="T280" s="14">
        <v>0</v>
      </c>
      <c r="U280" s="14">
        <v>0</v>
      </c>
      <c r="V280" s="14">
        <v>2</v>
      </c>
      <c r="W280" s="14">
        <v>0</v>
      </c>
      <c r="X280" s="14">
        <v>0</v>
      </c>
      <c r="Y280" s="14">
        <v>0</v>
      </c>
      <c r="Z280" s="14">
        <v>0</v>
      </c>
      <c r="AA280" s="14">
        <v>0</v>
      </c>
      <c r="AB280" s="14">
        <v>0</v>
      </c>
      <c r="AC280" s="14">
        <v>0</v>
      </c>
      <c r="AD280" s="25">
        <v>0</v>
      </c>
      <c r="AE280" s="25">
        <v>0</v>
      </c>
      <c r="AF280" s="25">
        <v>0</v>
      </c>
      <c r="AG280" s="25">
        <v>0.475778547</v>
      </c>
      <c r="AH280" s="25">
        <v>0.47520661199999997</v>
      </c>
      <c r="AI280" s="14" t="s">
        <v>1306</v>
      </c>
      <c r="AJ280" s="14" t="s">
        <v>33</v>
      </c>
    </row>
    <row r="281" spans="1:36" x14ac:dyDescent="0.25">
      <c r="A281" s="1">
        <v>194</v>
      </c>
      <c r="B281" s="14" t="s">
        <v>1316</v>
      </c>
      <c r="C281" s="14" t="s">
        <v>2027</v>
      </c>
      <c r="D281" s="14" t="s">
        <v>7</v>
      </c>
      <c r="E281" s="29" t="s">
        <v>77</v>
      </c>
      <c r="F281" s="14">
        <v>170.33529039999999</v>
      </c>
      <c r="G281" s="14">
        <v>20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4</v>
      </c>
      <c r="N281" s="14">
        <v>6</v>
      </c>
      <c r="O281" s="14">
        <v>0</v>
      </c>
      <c r="P281" s="14">
        <v>0</v>
      </c>
      <c r="Q281" s="14">
        <v>0</v>
      </c>
      <c r="R281" s="14">
        <v>0</v>
      </c>
      <c r="S281" s="14">
        <v>0</v>
      </c>
      <c r="T281" s="14">
        <v>0</v>
      </c>
      <c r="U281" s="14">
        <v>0</v>
      </c>
      <c r="V281" s="14">
        <v>2</v>
      </c>
      <c r="W281" s="14">
        <v>0</v>
      </c>
      <c r="X281" s="14">
        <v>0</v>
      </c>
      <c r="Y281" s="14">
        <v>0</v>
      </c>
      <c r="Z281" s="14">
        <v>0</v>
      </c>
      <c r="AA281" s="14">
        <v>0</v>
      </c>
      <c r="AB281" s="14">
        <v>0</v>
      </c>
      <c r="AC281" s="14">
        <v>0</v>
      </c>
      <c r="AD281" s="25">
        <v>0</v>
      </c>
      <c r="AE281" s="25">
        <v>0</v>
      </c>
      <c r="AF281" s="25">
        <v>0</v>
      </c>
      <c r="AG281" s="25">
        <v>0.475778547</v>
      </c>
      <c r="AH281" s="25">
        <v>0.47520661199999997</v>
      </c>
      <c r="AI281" s="14" t="s">
        <v>1306</v>
      </c>
      <c r="AJ281" s="14" t="s">
        <v>33</v>
      </c>
    </row>
    <row r="282" spans="1:36" x14ac:dyDescent="0.25">
      <c r="A282" s="1">
        <v>198</v>
      </c>
      <c r="B282" s="14" t="s">
        <v>1628</v>
      </c>
      <c r="C282" s="14" t="s">
        <v>1395</v>
      </c>
      <c r="D282" s="14" t="s">
        <v>16</v>
      </c>
      <c r="E282" s="29" t="s">
        <v>1629</v>
      </c>
      <c r="F282" s="14">
        <v>136.22800000000001</v>
      </c>
      <c r="G282" s="14">
        <v>20.399999999999999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4">
        <v>0</v>
      </c>
      <c r="R282" s="14">
        <v>0</v>
      </c>
      <c r="S282" s="14">
        <v>0</v>
      </c>
      <c r="T282" s="14">
        <v>0</v>
      </c>
      <c r="U282" s="14">
        <v>0</v>
      </c>
      <c r="V282" s="14">
        <v>0</v>
      </c>
      <c r="W282" s="14">
        <v>0</v>
      </c>
      <c r="X282" s="14">
        <v>0</v>
      </c>
      <c r="Y282" s="14">
        <v>0</v>
      </c>
      <c r="Z282" s="14">
        <v>4</v>
      </c>
      <c r="AA282" s="14">
        <v>6</v>
      </c>
      <c r="AB282" s="14">
        <v>0</v>
      </c>
      <c r="AC282" s="14">
        <v>0</v>
      </c>
      <c r="AD282" s="25">
        <v>0</v>
      </c>
      <c r="AE282" s="25">
        <v>0</v>
      </c>
      <c r="AF282" s="25">
        <v>0</v>
      </c>
      <c r="AG282" s="25">
        <v>0.32561728400000001</v>
      </c>
      <c r="AH282" s="25">
        <v>0.33333333300000001</v>
      </c>
      <c r="AI282" s="14" t="s">
        <v>1571</v>
      </c>
      <c r="AJ282" s="14" t="s">
        <v>33</v>
      </c>
    </row>
    <row r="283" spans="1:36" x14ac:dyDescent="0.25">
      <c r="A283" s="1">
        <v>200</v>
      </c>
      <c r="B283" s="14" t="s">
        <v>606</v>
      </c>
      <c r="C283" s="14" t="s">
        <v>313</v>
      </c>
      <c r="D283" s="14" t="s">
        <v>21</v>
      </c>
      <c r="E283" s="29" t="s">
        <v>118</v>
      </c>
      <c r="F283" s="14">
        <v>278.43</v>
      </c>
      <c r="G283" s="14">
        <v>20.399999999999999</v>
      </c>
      <c r="H283" s="14">
        <v>0</v>
      </c>
      <c r="I283" s="14">
        <v>3</v>
      </c>
      <c r="J283" s="14">
        <v>0</v>
      </c>
      <c r="K283" s="14">
        <v>3</v>
      </c>
      <c r="L283" s="14">
        <v>0</v>
      </c>
      <c r="M283" s="14">
        <v>1</v>
      </c>
      <c r="N283" s="14">
        <v>10</v>
      </c>
      <c r="O283" s="14">
        <v>0</v>
      </c>
      <c r="P283" s="14">
        <v>0</v>
      </c>
      <c r="Q283" s="14">
        <v>0</v>
      </c>
      <c r="R283" s="14">
        <v>0</v>
      </c>
      <c r="S283" s="14">
        <v>0</v>
      </c>
      <c r="T283" s="14">
        <v>0</v>
      </c>
      <c r="U283" s="14">
        <v>0</v>
      </c>
      <c r="V283" s="14">
        <v>0</v>
      </c>
      <c r="W283" s="14">
        <v>6</v>
      </c>
      <c r="X283" s="14">
        <v>0</v>
      </c>
      <c r="Y283" s="14">
        <v>0</v>
      </c>
      <c r="Z283" s="14">
        <v>0</v>
      </c>
      <c r="AA283" s="14">
        <v>0</v>
      </c>
      <c r="AB283" s="14">
        <v>0</v>
      </c>
      <c r="AC283" s="14">
        <v>0</v>
      </c>
      <c r="AD283" s="25">
        <v>0</v>
      </c>
      <c r="AE283" s="25">
        <v>0</v>
      </c>
      <c r="AF283" s="25">
        <v>1</v>
      </c>
      <c r="AG283" s="25">
        <v>0.58844953200000005</v>
      </c>
      <c r="AH283" s="25">
        <v>0.624763705</v>
      </c>
      <c r="AI283" s="14" t="s">
        <v>1004</v>
      </c>
      <c r="AJ283" s="14" t="s">
        <v>33</v>
      </c>
    </row>
    <row r="284" spans="1:36" x14ac:dyDescent="0.25">
      <c r="A284" s="1">
        <v>201</v>
      </c>
      <c r="B284" s="14" t="s">
        <v>566</v>
      </c>
      <c r="C284" s="14" t="s">
        <v>1556</v>
      </c>
      <c r="D284" s="14" t="s">
        <v>12</v>
      </c>
      <c r="E284" s="29" t="s">
        <v>72</v>
      </c>
      <c r="F284" s="14">
        <v>136.22999999999999</v>
      </c>
      <c r="G284" s="14">
        <v>20.5</v>
      </c>
      <c r="H284" s="14">
        <v>0</v>
      </c>
      <c r="I284" s="14">
        <v>1</v>
      </c>
      <c r="J284" s="14">
        <v>0</v>
      </c>
      <c r="K284" s="14">
        <v>1</v>
      </c>
      <c r="L284" s="14">
        <v>1</v>
      </c>
      <c r="M284" s="14">
        <v>2</v>
      </c>
      <c r="N284" s="14">
        <v>0</v>
      </c>
      <c r="O284" s="14">
        <v>0</v>
      </c>
      <c r="P284" s="14">
        <v>0</v>
      </c>
      <c r="Q284" s="14">
        <v>0</v>
      </c>
      <c r="R284" s="14">
        <v>0</v>
      </c>
      <c r="S284" s="14">
        <v>0</v>
      </c>
      <c r="T284" s="14">
        <v>0</v>
      </c>
      <c r="U284" s="14">
        <v>0</v>
      </c>
      <c r="V284" s="14">
        <v>0</v>
      </c>
      <c r="W284" s="14">
        <v>0</v>
      </c>
      <c r="X284" s="14">
        <v>0</v>
      </c>
      <c r="Y284" s="14">
        <v>1</v>
      </c>
      <c r="Z284" s="14">
        <v>2</v>
      </c>
      <c r="AA284" s="14">
        <v>3</v>
      </c>
      <c r="AB284" s="14">
        <v>0</v>
      </c>
      <c r="AC284" s="14">
        <v>0</v>
      </c>
      <c r="AD284" s="25">
        <v>0</v>
      </c>
      <c r="AE284" s="25">
        <v>0</v>
      </c>
      <c r="AF284" s="25">
        <v>0</v>
      </c>
      <c r="AG284" s="25">
        <v>0.32986111099999998</v>
      </c>
      <c r="AH284" s="25">
        <v>0.32986111099999998</v>
      </c>
      <c r="AI284" s="14" t="s">
        <v>991</v>
      </c>
      <c r="AJ284" s="14" t="s">
        <v>33</v>
      </c>
    </row>
    <row r="285" spans="1:36" x14ac:dyDescent="0.25">
      <c r="A285" s="1">
        <v>202</v>
      </c>
      <c r="B285" s="14" t="s">
        <v>577</v>
      </c>
      <c r="C285" s="14" t="s">
        <v>305</v>
      </c>
      <c r="D285" s="14" t="s">
        <v>15</v>
      </c>
      <c r="E285" s="29" t="s">
        <v>111</v>
      </c>
      <c r="F285" s="14">
        <v>152.22999999999999</v>
      </c>
      <c r="G285" s="14">
        <v>20.6</v>
      </c>
      <c r="H285" s="14">
        <v>0</v>
      </c>
      <c r="I285" s="14">
        <v>0</v>
      </c>
      <c r="J285" s="14">
        <v>0</v>
      </c>
      <c r="K285" s="14">
        <v>0</v>
      </c>
      <c r="L285" s="14">
        <v>2</v>
      </c>
      <c r="M285" s="14">
        <v>3</v>
      </c>
      <c r="N285" s="14">
        <v>0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  <c r="T285" s="14">
        <v>0</v>
      </c>
      <c r="U285" s="14">
        <v>0</v>
      </c>
      <c r="V285" s="14">
        <v>0</v>
      </c>
      <c r="W285" s="14">
        <v>0</v>
      </c>
      <c r="X285" s="14">
        <v>0</v>
      </c>
      <c r="Y285" s="14">
        <v>0</v>
      </c>
      <c r="Z285" s="14">
        <v>1</v>
      </c>
      <c r="AA285" s="14">
        <v>3</v>
      </c>
      <c r="AB285" s="14">
        <v>0</v>
      </c>
      <c r="AC285" s="14">
        <v>0</v>
      </c>
      <c r="AD285" s="25">
        <v>0</v>
      </c>
      <c r="AE285" s="25">
        <v>0</v>
      </c>
      <c r="AF285" s="25">
        <v>0</v>
      </c>
      <c r="AG285" s="25">
        <v>0.35207100600000002</v>
      </c>
      <c r="AH285" s="25">
        <v>0.357988166</v>
      </c>
      <c r="AI285" s="14" t="s">
        <v>996</v>
      </c>
      <c r="AJ285" s="14" t="s">
        <v>33</v>
      </c>
    </row>
    <row r="286" spans="1:36" x14ac:dyDescent="0.25">
      <c r="A286" s="1">
        <v>205</v>
      </c>
      <c r="B286" s="14" t="s">
        <v>1760</v>
      </c>
      <c r="C286" s="14" t="s">
        <v>1470</v>
      </c>
      <c r="D286" s="1" t="s">
        <v>1930</v>
      </c>
      <c r="E286" s="29" t="s">
        <v>75</v>
      </c>
      <c r="F286" s="14">
        <v>144.208</v>
      </c>
      <c r="G286" s="14">
        <v>20.7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2</v>
      </c>
      <c r="N286" s="14">
        <v>5</v>
      </c>
      <c r="O286" s="14">
        <v>0</v>
      </c>
      <c r="P286" s="14">
        <v>0</v>
      </c>
      <c r="Q286" s="14">
        <v>0</v>
      </c>
      <c r="R286" s="14">
        <v>0</v>
      </c>
      <c r="S286" s="14">
        <v>0</v>
      </c>
      <c r="T286" s="14">
        <v>0</v>
      </c>
      <c r="U286" s="14">
        <v>1</v>
      </c>
      <c r="V286" s="14">
        <v>0</v>
      </c>
      <c r="W286" s="14">
        <v>0</v>
      </c>
      <c r="X286" s="14">
        <v>0</v>
      </c>
      <c r="Y286" s="14">
        <v>0</v>
      </c>
      <c r="Z286" s="14">
        <v>0</v>
      </c>
      <c r="AA286" s="14">
        <v>0</v>
      </c>
      <c r="AB286" s="14">
        <v>0</v>
      </c>
      <c r="AC286" s="14">
        <v>0</v>
      </c>
      <c r="AD286" s="25">
        <v>0</v>
      </c>
      <c r="AE286" s="25">
        <v>0</v>
      </c>
      <c r="AF286" s="25">
        <v>0</v>
      </c>
      <c r="AG286" s="25">
        <v>0.46500000000000002</v>
      </c>
      <c r="AH286" s="25">
        <v>0.46500000000000002</v>
      </c>
      <c r="AI286" s="14" t="s">
        <v>1571</v>
      </c>
      <c r="AJ286" s="14" t="s">
        <v>33</v>
      </c>
    </row>
    <row r="287" spans="1:36" x14ac:dyDescent="0.25">
      <c r="A287" s="1">
        <v>206</v>
      </c>
      <c r="B287" s="14" t="s">
        <v>1699</v>
      </c>
      <c r="C287" s="14" t="s">
        <v>1435</v>
      </c>
      <c r="D287" s="1" t="s">
        <v>10</v>
      </c>
      <c r="E287" s="29" t="s">
        <v>1700</v>
      </c>
      <c r="F287" s="14">
        <v>116.19799999999999</v>
      </c>
      <c r="G287" s="14">
        <v>21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2</v>
      </c>
      <c r="N287" s="14">
        <v>4</v>
      </c>
      <c r="O287" s="14">
        <v>1</v>
      </c>
      <c r="P287" s="14">
        <v>0</v>
      </c>
      <c r="Q287" s="14">
        <v>0</v>
      </c>
      <c r="R287" s="14">
        <v>0</v>
      </c>
      <c r="S287" s="14">
        <v>0</v>
      </c>
      <c r="T287" s="14">
        <v>0</v>
      </c>
      <c r="U287" s="14">
        <v>0</v>
      </c>
      <c r="V287" s="14">
        <v>1</v>
      </c>
      <c r="W287" s="14">
        <v>0</v>
      </c>
      <c r="X287" s="14">
        <v>0</v>
      </c>
      <c r="Y287" s="14">
        <v>0</v>
      </c>
      <c r="Z287" s="14">
        <v>0</v>
      </c>
      <c r="AA287" s="14">
        <v>0</v>
      </c>
      <c r="AB287" s="14">
        <v>0</v>
      </c>
      <c r="AC287" s="14">
        <v>1</v>
      </c>
      <c r="AD287" s="25">
        <v>0</v>
      </c>
      <c r="AE287" s="25">
        <v>0</v>
      </c>
      <c r="AF287" s="25">
        <v>0</v>
      </c>
      <c r="AG287" s="25">
        <v>0.37755102000000001</v>
      </c>
      <c r="AH287" s="25">
        <v>0.37755102000000001</v>
      </c>
      <c r="AI287" s="14" t="s">
        <v>1571</v>
      </c>
      <c r="AJ287" s="14" t="s">
        <v>33</v>
      </c>
    </row>
    <row r="288" spans="1:36" x14ac:dyDescent="0.25">
      <c r="A288" s="1">
        <v>207</v>
      </c>
      <c r="B288" s="14" t="s">
        <v>910</v>
      </c>
      <c r="C288" s="14" t="s">
        <v>489</v>
      </c>
      <c r="D288" s="1" t="s">
        <v>13</v>
      </c>
      <c r="E288" s="29" t="s">
        <v>165</v>
      </c>
      <c r="F288" s="14">
        <v>164.29</v>
      </c>
      <c r="G288" s="14">
        <v>21</v>
      </c>
      <c r="H288" s="14">
        <v>12</v>
      </c>
      <c r="I288" s="14">
        <v>0</v>
      </c>
      <c r="J288" s="14">
        <v>12</v>
      </c>
      <c r="K288" s="14">
        <v>6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4">
        <v>0</v>
      </c>
      <c r="R288" s="14">
        <v>0</v>
      </c>
      <c r="S288" s="14">
        <v>0</v>
      </c>
      <c r="T288" s="14">
        <v>0</v>
      </c>
      <c r="U288" s="14">
        <v>0</v>
      </c>
      <c r="V288" s="14">
        <v>0</v>
      </c>
      <c r="W288" s="14">
        <v>0</v>
      </c>
      <c r="X288" s="14">
        <v>10</v>
      </c>
      <c r="Y288" s="14">
        <v>0</v>
      </c>
      <c r="Z288" s="14">
        <v>0</v>
      </c>
      <c r="AA288" s="14">
        <v>0</v>
      </c>
      <c r="AB288" s="14">
        <v>0</v>
      </c>
      <c r="AC288" s="14">
        <v>0</v>
      </c>
      <c r="AD288" s="25">
        <v>0</v>
      </c>
      <c r="AE288" s="25">
        <v>0</v>
      </c>
      <c r="AF288" s="25">
        <v>0</v>
      </c>
      <c r="AG288" s="25">
        <v>0.37345678999999998</v>
      </c>
      <c r="AH288" s="25">
        <v>0.44736842100000002</v>
      </c>
      <c r="AI288" s="14" t="s">
        <v>2028</v>
      </c>
      <c r="AJ288" s="14" t="s">
        <v>33</v>
      </c>
    </row>
    <row r="289" spans="1:36" x14ac:dyDescent="0.25">
      <c r="A289" s="1">
        <v>208</v>
      </c>
      <c r="B289" s="14" t="s">
        <v>897</v>
      </c>
      <c r="C289" s="14" t="s">
        <v>385</v>
      </c>
      <c r="D289" s="1" t="s">
        <v>16</v>
      </c>
      <c r="E289" s="29" t="s">
        <v>164</v>
      </c>
      <c r="F289" s="14">
        <v>250.46</v>
      </c>
      <c r="G289" s="14">
        <v>21</v>
      </c>
      <c r="H289" s="14">
        <v>0</v>
      </c>
      <c r="I289" s="14">
        <v>0</v>
      </c>
      <c r="J289" s="14">
        <v>0</v>
      </c>
      <c r="K289" s="14">
        <v>0</v>
      </c>
      <c r="L289" s="14">
        <v>1</v>
      </c>
      <c r="M289" s="14">
        <v>3</v>
      </c>
      <c r="N289" s="14">
        <v>4</v>
      </c>
      <c r="O289" s="14">
        <v>0</v>
      </c>
      <c r="P289" s="14">
        <v>0</v>
      </c>
      <c r="Q289" s="14">
        <v>0</v>
      </c>
      <c r="R289" s="14">
        <v>0</v>
      </c>
      <c r="S289" s="14">
        <v>0</v>
      </c>
      <c r="T289" s="14">
        <v>0</v>
      </c>
      <c r="U289" s="14">
        <v>0</v>
      </c>
      <c r="V289" s="14">
        <v>0</v>
      </c>
      <c r="W289" s="14">
        <v>0</v>
      </c>
      <c r="X289" s="14">
        <v>0</v>
      </c>
      <c r="Y289" s="14">
        <v>0</v>
      </c>
      <c r="Z289" s="14">
        <v>3</v>
      </c>
      <c r="AA289" s="14">
        <v>7</v>
      </c>
      <c r="AB289" s="14">
        <v>0</v>
      </c>
      <c r="AC289" s="14">
        <v>0</v>
      </c>
      <c r="AD289" s="25">
        <v>0</v>
      </c>
      <c r="AE289" s="25">
        <v>0</v>
      </c>
      <c r="AF289" s="25">
        <v>0</v>
      </c>
      <c r="AG289" s="25">
        <v>0.47959183700000002</v>
      </c>
      <c r="AH289" s="25">
        <v>0.51108033200000003</v>
      </c>
      <c r="AI289" s="14" t="s">
        <v>1083</v>
      </c>
      <c r="AJ289" s="14" t="s">
        <v>33</v>
      </c>
    </row>
    <row r="290" spans="1:36" x14ac:dyDescent="0.25">
      <c r="A290" s="1">
        <v>209</v>
      </c>
      <c r="B290" s="14" t="s">
        <v>580</v>
      </c>
      <c r="C290" s="14" t="s">
        <v>389</v>
      </c>
      <c r="D290" s="1" t="s">
        <v>16</v>
      </c>
      <c r="E290" s="29" t="s">
        <v>167</v>
      </c>
      <c r="F290" s="14">
        <v>98.19</v>
      </c>
      <c r="G290" s="14">
        <v>21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1</v>
      </c>
      <c r="N290" s="14">
        <v>0</v>
      </c>
      <c r="O290" s="14">
        <v>0</v>
      </c>
      <c r="P290" s="14">
        <v>0</v>
      </c>
      <c r="Q290" s="14">
        <v>0</v>
      </c>
      <c r="R290" s="14">
        <v>0</v>
      </c>
      <c r="S290" s="14">
        <v>0</v>
      </c>
      <c r="T290" s="14">
        <v>0</v>
      </c>
      <c r="U290" s="14">
        <v>0</v>
      </c>
      <c r="V290" s="14">
        <v>0</v>
      </c>
      <c r="W290" s="14">
        <v>0</v>
      </c>
      <c r="X290" s="14">
        <v>0</v>
      </c>
      <c r="Y290" s="14">
        <v>0</v>
      </c>
      <c r="Z290" s="14">
        <v>1</v>
      </c>
      <c r="AA290" s="14">
        <v>5</v>
      </c>
      <c r="AB290" s="14">
        <v>0</v>
      </c>
      <c r="AC290" s="14">
        <v>0</v>
      </c>
      <c r="AD290" s="25">
        <v>0</v>
      </c>
      <c r="AE290" s="25">
        <v>0</v>
      </c>
      <c r="AF290" s="25">
        <v>0</v>
      </c>
      <c r="AG290" s="25">
        <v>0.24556212999999999</v>
      </c>
      <c r="AH290" s="25">
        <v>0.22448979599999999</v>
      </c>
      <c r="AI290" s="14" t="s">
        <v>1087</v>
      </c>
      <c r="AJ290" s="14" t="s">
        <v>33</v>
      </c>
    </row>
    <row r="291" spans="1:36" x14ac:dyDescent="0.25">
      <c r="A291" s="1">
        <v>210</v>
      </c>
      <c r="B291" s="14" t="s">
        <v>1611</v>
      </c>
      <c r="C291" s="14" t="s">
        <v>1389</v>
      </c>
      <c r="D291" s="1" t="s">
        <v>16</v>
      </c>
      <c r="E291" s="29" t="s">
        <v>54</v>
      </c>
      <c r="F291" s="14">
        <v>112.208</v>
      </c>
      <c r="G291" s="14">
        <v>21</v>
      </c>
      <c r="H291" s="14">
        <v>0</v>
      </c>
      <c r="I291" s="14">
        <v>0</v>
      </c>
      <c r="J291" s="14">
        <v>0</v>
      </c>
      <c r="K291" s="14">
        <v>0</v>
      </c>
      <c r="L291" s="14">
        <v>1</v>
      </c>
      <c r="M291" s="14">
        <v>2</v>
      </c>
      <c r="N291" s="14">
        <v>0</v>
      </c>
      <c r="O291" s="14">
        <v>0</v>
      </c>
      <c r="P291" s="14">
        <v>0</v>
      </c>
      <c r="Q291" s="14">
        <v>0</v>
      </c>
      <c r="R291" s="14">
        <v>0</v>
      </c>
      <c r="S291" s="14">
        <v>0</v>
      </c>
      <c r="T291" s="14">
        <v>0</v>
      </c>
      <c r="U291" s="14">
        <v>0</v>
      </c>
      <c r="V291" s="14">
        <v>0</v>
      </c>
      <c r="W291" s="14">
        <v>0</v>
      </c>
      <c r="X291" s="14">
        <v>0</v>
      </c>
      <c r="Y291" s="14">
        <v>0</v>
      </c>
      <c r="Z291" s="14">
        <v>0</v>
      </c>
      <c r="AA291" s="14">
        <v>5</v>
      </c>
      <c r="AB291" s="14">
        <v>0</v>
      </c>
      <c r="AC291" s="14">
        <v>0</v>
      </c>
      <c r="AD291" s="25">
        <v>0</v>
      </c>
      <c r="AE291" s="25">
        <v>0</v>
      </c>
      <c r="AF291" s="25">
        <v>0</v>
      </c>
      <c r="AG291" s="25">
        <v>0.28125</v>
      </c>
      <c r="AH291" s="25">
        <v>0.28125</v>
      </c>
      <c r="AI291" s="14" t="s">
        <v>1571</v>
      </c>
      <c r="AJ291" s="14" t="s">
        <v>33</v>
      </c>
    </row>
    <row r="292" spans="1:36" x14ac:dyDescent="0.25">
      <c r="A292" s="1">
        <v>211</v>
      </c>
      <c r="B292" s="14" t="s">
        <v>694</v>
      </c>
      <c r="C292" s="14" t="s">
        <v>285</v>
      </c>
      <c r="D292" s="14" t="s">
        <v>17</v>
      </c>
      <c r="E292" s="29" t="s">
        <v>92</v>
      </c>
      <c r="F292" s="14">
        <v>130.18</v>
      </c>
      <c r="G292" s="14">
        <v>21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2</v>
      </c>
      <c r="N292" s="14">
        <v>4</v>
      </c>
      <c r="O292" s="14">
        <v>0</v>
      </c>
      <c r="P292" s="14">
        <v>0</v>
      </c>
      <c r="Q292" s="14">
        <v>0</v>
      </c>
      <c r="R292" s="14">
        <v>0</v>
      </c>
      <c r="S292" s="14">
        <v>0</v>
      </c>
      <c r="T292" s="14">
        <v>0</v>
      </c>
      <c r="U292" s="14">
        <v>1</v>
      </c>
      <c r="V292" s="14">
        <v>0</v>
      </c>
      <c r="W292" s="14">
        <v>0</v>
      </c>
      <c r="X292" s="14">
        <v>0</v>
      </c>
      <c r="Y292" s="14">
        <v>0</v>
      </c>
      <c r="Z292" s="14">
        <v>0</v>
      </c>
      <c r="AA292" s="14">
        <v>0</v>
      </c>
      <c r="AB292" s="14">
        <v>0</v>
      </c>
      <c r="AC292" s="14">
        <v>0</v>
      </c>
      <c r="AD292" s="25">
        <v>0</v>
      </c>
      <c r="AE292" s="25">
        <v>0</v>
      </c>
      <c r="AF292" s="25">
        <v>0</v>
      </c>
      <c r="AG292" s="25">
        <v>0.40123456800000001</v>
      </c>
      <c r="AH292" s="25">
        <v>0.40123456800000001</v>
      </c>
      <c r="AI292" s="14" t="s">
        <v>974</v>
      </c>
      <c r="AJ292" s="14" t="s">
        <v>33</v>
      </c>
    </row>
    <row r="293" spans="1:36" x14ac:dyDescent="0.25">
      <c r="A293" s="1">
        <v>212</v>
      </c>
      <c r="B293" s="14" t="s">
        <v>582</v>
      </c>
      <c r="C293" s="14" t="s">
        <v>288</v>
      </c>
      <c r="D293" s="14" t="s">
        <v>17</v>
      </c>
      <c r="E293" s="29" t="s">
        <v>95</v>
      </c>
      <c r="F293" s="14">
        <v>230.3</v>
      </c>
      <c r="G293" s="14">
        <v>21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2</v>
      </c>
      <c r="N293" s="14">
        <v>8</v>
      </c>
      <c r="O293" s="14">
        <v>0</v>
      </c>
      <c r="P293" s="14">
        <v>0</v>
      </c>
      <c r="Q293" s="14">
        <v>0</v>
      </c>
      <c r="R293" s="14">
        <v>0</v>
      </c>
      <c r="S293" s="14">
        <v>0</v>
      </c>
      <c r="T293" s="14">
        <v>0</v>
      </c>
      <c r="U293" s="14">
        <v>2</v>
      </c>
      <c r="V293" s="14">
        <v>0</v>
      </c>
      <c r="W293" s="14">
        <v>0</v>
      </c>
      <c r="X293" s="14">
        <v>0</v>
      </c>
      <c r="Y293" s="14">
        <v>0</v>
      </c>
      <c r="Z293" s="14">
        <v>0</v>
      </c>
      <c r="AA293" s="14">
        <v>0</v>
      </c>
      <c r="AB293" s="14">
        <v>0</v>
      </c>
      <c r="AC293" s="14">
        <v>0</v>
      </c>
      <c r="AD293" s="25">
        <v>0</v>
      </c>
      <c r="AE293" s="25">
        <v>0</v>
      </c>
      <c r="AF293" s="25">
        <v>0</v>
      </c>
      <c r="AG293" s="25">
        <v>0.53047091400000002</v>
      </c>
      <c r="AH293" s="25">
        <v>0.57266435999999998</v>
      </c>
      <c r="AI293" s="14" t="s">
        <v>977</v>
      </c>
      <c r="AJ293" s="14" t="s">
        <v>33</v>
      </c>
    </row>
    <row r="294" spans="1:36" x14ac:dyDescent="0.25">
      <c r="A294" s="1">
        <v>213</v>
      </c>
      <c r="B294" s="14" t="s">
        <v>836</v>
      </c>
      <c r="C294" s="14" t="s">
        <v>506</v>
      </c>
      <c r="D294" s="14" t="s">
        <v>17</v>
      </c>
      <c r="E294" s="29" t="s">
        <v>216</v>
      </c>
      <c r="F294" s="14">
        <v>216.27</v>
      </c>
      <c r="G294" s="14">
        <v>21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2</v>
      </c>
      <c r="N294" s="14">
        <v>7</v>
      </c>
      <c r="O294" s="14">
        <v>0</v>
      </c>
      <c r="P294" s="14">
        <v>0</v>
      </c>
      <c r="Q294" s="14">
        <v>0</v>
      </c>
      <c r="R294" s="14">
        <v>0</v>
      </c>
      <c r="S294" s="14">
        <v>0</v>
      </c>
      <c r="T294" s="14">
        <v>0</v>
      </c>
      <c r="U294" s="14">
        <v>2</v>
      </c>
      <c r="V294" s="14">
        <v>0</v>
      </c>
      <c r="W294" s="14">
        <v>0</v>
      </c>
      <c r="X294" s="14">
        <v>0</v>
      </c>
      <c r="Y294" s="14">
        <v>0</v>
      </c>
      <c r="Z294" s="14">
        <v>0</v>
      </c>
      <c r="AA294" s="14">
        <v>0</v>
      </c>
      <c r="AB294" s="14">
        <v>0</v>
      </c>
      <c r="AC294" s="14">
        <v>0</v>
      </c>
      <c r="AD294" s="25">
        <v>0</v>
      </c>
      <c r="AE294" s="25">
        <v>0</v>
      </c>
      <c r="AF294" s="25">
        <v>0</v>
      </c>
      <c r="AG294" s="25">
        <v>0.53211805599999995</v>
      </c>
      <c r="AH294" s="25">
        <v>0.560546875</v>
      </c>
      <c r="AI294" s="14" t="s">
        <v>1201</v>
      </c>
      <c r="AJ294" s="14" t="s">
        <v>33</v>
      </c>
    </row>
    <row r="295" spans="1:36" x14ac:dyDescent="0.25">
      <c r="A295" s="1">
        <v>214</v>
      </c>
      <c r="B295" s="14" t="s">
        <v>689</v>
      </c>
      <c r="C295" s="14" t="s">
        <v>545</v>
      </c>
      <c r="D295" s="14" t="s">
        <v>17</v>
      </c>
      <c r="E295" s="29" t="s">
        <v>229</v>
      </c>
      <c r="F295" s="14">
        <v>174.19</v>
      </c>
      <c r="G295" s="14">
        <v>21</v>
      </c>
      <c r="H295" s="14">
        <v>0</v>
      </c>
      <c r="I295" s="14">
        <v>0</v>
      </c>
      <c r="J295" s="14">
        <v>0</v>
      </c>
      <c r="K295" s="14">
        <v>0</v>
      </c>
      <c r="L295" s="14">
        <v>0</v>
      </c>
      <c r="M295" s="14">
        <v>2</v>
      </c>
      <c r="N295" s="14">
        <v>4</v>
      </c>
      <c r="O295" s="14">
        <v>0</v>
      </c>
      <c r="P295" s="14">
        <v>0</v>
      </c>
      <c r="Q295" s="14">
        <v>0</v>
      </c>
      <c r="R295" s="14">
        <v>0</v>
      </c>
      <c r="S295" s="14">
        <v>0</v>
      </c>
      <c r="T295" s="14">
        <v>0</v>
      </c>
      <c r="U295" s="14">
        <v>2</v>
      </c>
      <c r="V295" s="14">
        <v>0</v>
      </c>
      <c r="W295" s="14">
        <v>0</v>
      </c>
      <c r="X295" s="14">
        <v>0</v>
      </c>
      <c r="Y295" s="14">
        <v>0</v>
      </c>
      <c r="Z295" s="14">
        <v>0</v>
      </c>
      <c r="AA295" s="14">
        <v>0</v>
      </c>
      <c r="AB295" s="14">
        <v>0</v>
      </c>
      <c r="AC295" s="14">
        <v>0</v>
      </c>
      <c r="AD295" s="25">
        <v>0</v>
      </c>
      <c r="AE295" s="25">
        <v>0</v>
      </c>
      <c r="AF295" s="25">
        <v>0</v>
      </c>
      <c r="AG295" s="25">
        <v>0.46</v>
      </c>
      <c r="AH295" s="25">
        <v>0.50591715999999998</v>
      </c>
      <c r="AI295" s="14" t="s">
        <v>1239</v>
      </c>
      <c r="AJ295" s="14" t="s">
        <v>33</v>
      </c>
    </row>
    <row r="296" spans="1:36" x14ac:dyDescent="0.25">
      <c r="A296" s="1">
        <v>215</v>
      </c>
      <c r="B296" s="14" t="s">
        <v>1899</v>
      </c>
      <c r="C296" s="14" t="s">
        <v>2029</v>
      </c>
      <c r="D296" s="14" t="s">
        <v>1929</v>
      </c>
      <c r="E296" s="29" t="s">
        <v>1900</v>
      </c>
      <c r="F296" s="14">
        <v>146.13999999999999</v>
      </c>
      <c r="G296" s="14">
        <v>21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2</v>
      </c>
      <c r="N296" s="14">
        <v>2</v>
      </c>
      <c r="O296" s="14">
        <v>0</v>
      </c>
      <c r="P296" s="14">
        <v>0</v>
      </c>
      <c r="Q296" s="14">
        <v>0</v>
      </c>
      <c r="R296" s="14">
        <v>0</v>
      </c>
      <c r="S296" s="14">
        <v>0</v>
      </c>
      <c r="T296" s="14">
        <v>0</v>
      </c>
      <c r="U296" s="14">
        <v>2</v>
      </c>
      <c r="V296" s="14">
        <v>0</v>
      </c>
      <c r="W296" s="14">
        <v>0</v>
      </c>
      <c r="X296" s="14">
        <v>0</v>
      </c>
      <c r="Y296" s="14">
        <v>0</v>
      </c>
      <c r="Z296" s="14">
        <v>0</v>
      </c>
      <c r="AA296" s="14">
        <v>0</v>
      </c>
      <c r="AB296" s="14">
        <v>0</v>
      </c>
      <c r="AC296" s="14">
        <v>0</v>
      </c>
      <c r="AD296" s="25">
        <v>0</v>
      </c>
      <c r="AE296" s="25">
        <v>0</v>
      </c>
      <c r="AF296" s="25">
        <v>0</v>
      </c>
      <c r="AG296" s="25">
        <v>0.47520661199999997</v>
      </c>
      <c r="AH296" s="25">
        <v>0.47520661199999997</v>
      </c>
      <c r="AI296" s="14" t="s">
        <v>1571</v>
      </c>
      <c r="AJ296" s="14" t="s">
        <v>33</v>
      </c>
    </row>
    <row r="297" spans="1:36" x14ac:dyDescent="0.25">
      <c r="A297" s="1">
        <v>216</v>
      </c>
      <c r="B297" s="14" t="s">
        <v>1901</v>
      </c>
      <c r="C297" s="14" t="s">
        <v>2030</v>
      </c>
      <c r="D297" s="14" t="s">
        <v>1929</v>
      </c>
      <c r="E297" s="29" t="s">
        <v>229</v>
      </c>
      <c r="F297" s="14">
        <v>174.19200000000001</v>
      </c>
      <c r="G297" s="14">
        <v>21</v>
      </c>
      <c r="H297" s="14">
        <v>0</v>
      </c>
      <c r="I297" s="14">
        <v>0</v>
      </c>
      <c r="J297" s="14">
        <v>0</v>
      </c>
      <c r="K297" s="14">
        <v>0</v>
      </c>
      <c r="L297" s="14">
        <v>0</v>
      </c>
      <c r="M297" s="14">
        <v>2</v>
      </c>
      <c r="N297" s="14">
        <v>4</v>
      </c>
      <c r="O297" s="14">
        <v>0</v>
      </c>
      <c r="P297" s="14">
        <v>0</v>
      </c>
      <c r="Q297" s="14">
        <v>0</v>
      </c>
      <c r="R297" s="14">
        <v>0</v>
      </c>
      <c r="S297" s="14">
        <v>0</v>
      </c>
      <c r="T297" s="14">
        <v>0</v>
      </c>
      <c r="U297" s="14">
        <v>2</v>
      </c>
      <c r="V297" s="14">
        <v>0</v>
      </c>
      <c r="W297" s="14">
        <v>0</v>
      </c>
      <c r="X297" s="14">
        <v>0</v>
      </c>
      <c r="Y297" s="14">
        <v>0</v>
      </c>
      <c r="Z297" s="14">
        <v>0</v>
      </c>
      <c r="AA297" s="14">
        <v>0</v>
      </c>
      <c r="AB297" s="14">
        <v>0</v>
      </c>
      <c r="AC297" s="14">
        <v>0</v>
      </c>
      <c r="AD297" s="25">
        <v>0</v>
      </c>
      <c r="AE297" s="25">
        <v>0</v>
      </c>
      <c r="AF297" s="25">
        <v>0</v>
      </c>
      <c r="AG297" s="25">
        <v>0.47704081599999998</v>
      </c>
      <c r="AH297" s="25">
        <v>0.50591715999999998</v>
      </c>
      <c r="AI297" s="14" t="s">
        <v>1571</v>
      </c>
      <c r="AJ297" s="14" t="s">
        <v>33</v>
      </c>
    </row>
    <row r="298" spans="1:36" x14ac:dyDescent="0.25">
      <c r="A298" s="1">
        <v>217</v>
      </c>
      <c r="B298" s="14" t="s">
        <v>728</v>
      </c>
      <c r="C298" s="14" t="s">
        <v>278</v>
      </c>
      <c r="D298" s="14" t="s">
        <v>19</v>
      </c>
      <c r="E298" s="29" t="s">
        <v>85</v>
      </c>
      <c r="F298" s="14">
        <v>100.2</v>
      </c>
      <c r="G298" s="14">
        <v>21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4</v>
      </c>
      <c r="N298" s="14">
        <v>1</v>
      </c>
      <c r="O298" s="14">
        <v>0</v>
      </c>
      <c r="P298" s="14">
        <v>0</v>
      </c>
      <c r="Q298" s="14">
        <v>0</v>
      </c>
      <c r="R298" s="14">
        <v>0</v>
      </c>
      <c r="S298" s="14">
        <v>0</v>
      </c>
      <c r="T298" s="14">
        <v>0</v>
      </c>
      <c r="U298" s="14">
        <v>0</v>
      </c>
      <c r="V298" s="14">
        <v>2</v>
      </c>
      <c r="W298" s="14">
        <v>0</v>
      </c>
      <c r="X298" s="14">
        <v>0</v>
      </c>
      <c r="Y298" s="14">
        <v>0</v>
      </c>
      <c r="Z298" s="14">
        <v>0</v>
      </c>
      <c r="AA298" s="14">
        <v>0</v>
      </c>
      <c r="AB298" s="14">
        <v>0</v>
      </c>
      <c r="AC298" s="14">
        <v>0</v>
      </c>
      <c r="AD298" s="25">
        <v>0</v>
      </c>
      <c r="AE298" s="25">
        <v>0</v>
      </c>
      <c r="AF298" s="25">
        <v>0</v>
      </c>
      <c r="AG298" s="25">
        <v>0.3359375</v>
      </c>
      <c r="AH298" s="25">
        <v>0.31944444399999999</v>
      </c>
      <c r="AI298" s="14" t="s">
        <v>966</v>
      </c>
      <c r="AJ298" s="14" t="s">
        <v>33</v>
      </c>
    </row>
    <row r="299" spans="1:36" x14ac:dyDescent="0.25">
      <c r="A299" s="1">
        <v>218</v>
      </c>
      <c r="B299" s="14" t="s">
        <v>1331</v>
      </c>
      <c r="C299" s="14" t="s">
        <v>2031</v>
      </c>
      <c r="D299" s="14" t="s">
        <v>7</v>
      </c>
      <c r="E299" s="29" t="s">
        <v>85</v>
      </c>
      <c r="F299" s="14">
        <v>100.20220329999999</v>
      </c>
      <c r="G299" s="14">
        <v>21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4</v>
      </c>
      <c r="N299" s="14">
        <v>1</v>
      </c>
      <c r="O299" s="14">
        <v>0</v>
      </c>
      <c r="P299" s="14">
        <v>0</v>
      </c>
      <c r="Q299" s="14">
        <v>0</v>
      </c>
      <c r="R299" s="14">
        <v>0</v>
      </c>
      <c r="S299" s="14">
        <v>0</v>
      </c>
      <c r="T299" s="14">
        <v>0</v>
      </c>
      <c r="U299" s="14">
        <v>0</v>
      </c>
      <c r="V299" s="14">
        <v>2</v>
      </c>
      <c r="W299" s="14">
        <v>0</v>
      </c>
      <c r="X299" s="14">
        <v>0</v>
      </c>
      <c r="Y299" s="14">
        <v>0</v>
      </c>
      <c r="Z299" s="14">
        <v>0</v>
      </c>
      <c r="AA299" s="14">
        <v>0</v>
      </c>
      <c r="AB299" s="14">
        <v>0</v>
      </c>
      <c r="AC299" s="14">
        <v>0</v>
      </c>
      <c r="AD299" s="25">
        <v>0</v>
      </c>
      <c r="AE299" s="25">
        <v>0</v>
      </c>
      <c r="AF299" s="25">
        <v>0</v>
      </c>
      <c r="AG299" s="25">
        <v>0.31944444399999999</v>
      </c>
      <c r="AH299" s="25">
        <v>0.31944444399999999</v>
      </c>
      <c r="AI299" s="14" t="s">
        <v>1306</v>
      </c>
      <c r="AJ299" s="14" t="s">
        <v>33</v>
      </c>
    </row>
    <row r="300" spans="1:36" x14ac:dyDescent="0.25">
      <c r="A300" s="1">
        <v>219</v>
      </c>
      <c r="B300" s="14" t="s">
        <v>1334</v>
      </c>
      <c r="C300" s="14" t="s">
        <v>2032</v>
      </c>
      <c r="D300" s="14" t="s">
        <v>7</v>
      </c>
      <c r="E300" s="29" t="s">
        <v>85</v>
      </c>
      <c r="F300" s="14">
        <v>100.20220329999999</v>
      </c>
      <c r="G300" s="14">
        <v>21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4</v>
      </c>
      <c r="N300" s="14">
        <v>1</v>
      </c>
      <c r="O300" s="14">
        <v>0</v>
      </c>
      <c r="P300" s="14">
        <v>0</v>
      </c>
      <c r="Q300" s="14">
        <v>0</v>
      </c>
      <c r="R300" s="14">
        <v>0</v>
      </c>
      <c r="S300" s="14">
        <v>0</v>
      </c>
      <c r="T300" s="14">
        <v>0</v>
      </c>
      <c r="U300" s="14">
        <v>0</v>
      </c>
      <c r="V300" s="14">
        <v>2</v>
      </c>
      <c r="W300" s="14">
        <v>0</v>
      </c>
      <c r="X300" s="14">
        <v>0</v>
      </c>
      <c r="Y300" s="14">
        <v>0</v>
      </c>
      <c r="Z300" s="14">
        <v>0</v>
      </c>
      <c r="AA300" s="14">
        <v>0</v>
      </c>
      <c r="AB300" s="14">
        <v>0</v>
      </c>
      <c r="AC300" s="14">
        <v>0</v>
      </c>
      <c r="AD300" s="25">
        <v>0</v>
      </c>
      <c r="AE300" s="25">
        <v>0</v>
      </c>
      <c r="AF300" s="25">
        <v>0</v>
      </c>
      <c r="AG300" s="25">
        <v>0.31944444399999999</v>
      </c>
      <c r="AH300" s="25">
        <v>0.31944444399999999</v>
      </c>
      <c r="AI300" s="14" t="s">
        <v>1306</v>
      </c>
      <c r="AJ300" s="14" t="s">
        <v>33</v>
      </c>
    </row>
    <row r="301" spans="1:36" x14ac:dyDescent="0.25">
      <c r="A301" s="1">
        <v>220</v>
      </c>
      <c r="B301" s="25" t="s">
        <v>819</v>
      </c>
      <c r="C301" s="25" t="s">
        <v>281</v>
      </c>
      <c r="D301" s="25" t="s">
        <v>11</v>
      </c>
      <c r="E301" s="25" t="s">
        <v>88</v>
      </c>
      <c r="F301" s="25">
        <v>72.11</v>
      </c>
      <c r="G301" s="25">
        <v>21.1</v>
      </c>
      <c r="H301" s="25">
        <v>0</v>
      </c>
      <c r="I301" s="25">
        <v>0</v>
      </c>
      <c r="J301" s="25">
        <v>0</v>
      </c>
      <c r="K301" s="25">
        <v>0</v>
      </c>
      <c r="L301" s="25">
        <v>0</v>
      </c>
      <c r="M301" s="25">
        <v>2</v>
      </c>
      <c r="N301" s="25">
        <v>0</v>
      </c>
      <c r="O301" s="25">
        <v>0</v>
      </c>
      <c r="P301" s="25">
        <v>0</v>
      </c>
      <c r="Q301" s="25">
        <v>0</v>
      </c>
      <c r="R301" s="25">
        <v>0</v>
      </c>
      <c r="S301" s="25">
        <v>0</v>
      </c>
      <c r="T301" s="25">
        <v>1</v>
      </c>
      <c r="U301" s="25">
        <v>0</v>
      </c>
      <c r="V301" s="25">
        <v>1</v>
      </c>
      <c r="W301" s="25">
        <v>0</v>
      </c>
      <c r="X301" s="25">
        <v>0</v>
      </c>
      <c r="Y301" s="25">
        <v>0</v>
      </c>
      <c r="Z301" s="25">
        <v>0</v>
      </c>
      <c r="AA301" s="25">
        <v>0</v>
      </c>
      <c r="AB301" s="25">
        <v>0</v>
      </c>
      <c r="AC301" s="25">
        <v>0</v>
      </c>
      <c r="AD301" s="25">
        <v>0</v>
      </c>
      <c r="AE301" s="25">
        <v>0</v>
      </c>
      <c r="AF301" s="25">
        <v>0</v>
      </c>
      <c r="AG301" s="25">
        <v>0.3359375</v>
      </c>
      <c r="AH301" s="25">
        <v>0.3</v>
      </c>
      <c r="AI301" s="25" t="s">
        <v>969</v>
      </c>
      <c r="AJ301" s="14" t="s">
        <v>33</v>
      </c>
    </row>
    <row r="302" spans="1:36" x14ac:dyDescent="0.25">
      <c r="A302" s="1">
        <v>222</v>
      </c>
      <c r="B302" s="14" t="s">
        <v>673</v>
      </c>
      <c r="C302" s="14" t="s">
        <v>429</v>
      </c>
      <c r="D302" s="14" t="s">
        <v>14</v>
      </c>
      <c r="E302" s="29" t="s">
        <v>81</v>
      </c>
      <c r="F302" s="14">
        <v>86.13</v>
      </c>
      <c r="G302" s="14">
        <v>21.3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1</v>
      </c>
      <c r="N302" s="14">
        <v>0</v>
      </c>
      <c r="O302" s="14">
        <v>0</v>
      </c>
      <c r="P302" s="14">
        <v>0</v>
      </c>
      <c r="Q302" s="14">
        <v>1</v>
      </c>
      <c r="R302" s="14">
        <v>0</v>
      </c>
      <c r="S302" s="14">
        <v>0</v>
      </c>
      <c r="T302" s="14">
        <v>0</v>
      </c>
      <c r="U302" s="14">
        <v>0</v>
      </c>
      <c r="V302" s="14">
        <v>0</v>
      </c>
      <c r="W302" s="14">
        <v>0</v>
      </c>
      <c r="X302" s="14">
        <v>0</v>
      </c>
      <c r="Y302" s="14">
        <v>0</v>
      </c>
      <c r="Z302" s="14">
        <v>1</v>
      </c>
      <c r="AA302" s="14">
        <v>3</v>
      </c>
      <c r="AB302" s="14">
        <v>0</v>
      </c>
      <c r="AC302" s="14">
        <v>0</v>
      </c>
      <c r="AD302" s="25">
        <v>0</v>
      </c>
      <c r="AE302" s="25">
        <v>0</v>
      </c>
      <c r="AF302" s="25">
        <v>0</v>
      </c>
      <c r="AG302" s="25">
        <v>0.16666666699999999</v>
      </c>
      <c r="AH302" s="25">
        <v>0.16666666699999999</v>
      </c>
      <c r="AI302" s="14" t="s">
        <v>2033</v>
      </c>
      <c r="AJ302" s="14" t="s">
        <v>33</v>
      </c>
    </row>
    <row r="303" spans="1:36" x14ac:dyDescent="0.25">
      <c r="A303" s="1">
        <v>223</v>
      </c>
      <c r="B303" s="14" t="s">
        <v>1852</v>
      </c>
      <c r="C303" s="14" t="s">
        <v>1512</v>
      </c>
      <c r="D303" s="14" t="s">
        <v>1509</v>
      </c>
      <c r="E303" s="29" t="s">
        <v>1853</v>
      </c>
      <c r="F303" s="14">
        <v>86.13</v>
      </c>
      <c r="G303" s="14">
        <v>21.3</v>
      </c>
      <c r="H303" s="14">
        <v>0</v>
      </c>
      <c r="I303" s="14">
        <v>0</v>
      </c>
      <c r="J303" s="14">
        <v>0</v>
      </c>
      <c r="K303" s="14">
        <v>0</v>
      </c>
      <c r="L303" s="14">
        <v>0</v>
      </c>
      <c r="M303" s="14">
        <v>1</v>
      </c>
      <c r="N303" s="14">
        <v>0</v>
      </c>
      <c r="O303" s="14">
        <v>0</v>
      </c>
      <c r="P303" s="14">
        <v>0</v>
      </c>
      <c r="Q303" s="14">
        <v>1</v>
      </c>
      <c r="R303" s="14">
        <v>0</v>
      </c>
      <c r="S303" s="14">
        <v>0</v>
      </c>
      <c r="T303" s="14">
        <v>0</v>
      </c>
      <c r="U303" s="14">
        <v>0</v>
      </c>
      <c r="V303" s="14">
        <v>0</v>
      </c>
      <c r="W303" s="14">
        <v>0</v>
      </c>
      <c r="X303" s="14">
        <v>0</v>
      </c>
      <c r="Y303" s="14">
        <v>0</v>
      </c>
      <c r="Z303" s="14">
        <v>1</v>
      </c>
      <c r="AA303" s="14">
        <v>3</v>
      </c>
      <c r="AB303" s="14">
        <v>0</v>
      </c>
      <c r="AC303" s="14">
        <v>0</v>
      </c>
      <c r="AD303" s="25">
        <v>0</v>
      </c>
      <c r="AE303" s="25">
        <v>0</v>
      </c>
      <c r="AF303" s="25">
        <v>0</v>
      </c>
      <c r="AG303" s="25">
        <v>0.16666666699999999</v>
      </c>
      <c r="AH303" s="25">
        <v>0.16666666699999999</v>
      </c>
      <c r="AI303" s="14" t="s">
        <v>1571</v>
      </c>
      <c r="AJ303" s="14" t="s">
        <v>33</v>
      </c>
    </row>
    <row r="304" spans="1:36" x14ac:dyDescent="0.25">
      <c r="A304" s="1">
        <v>224</v>
      </c>
      <c r="B304" s="14" t="s">
        <v>1577</v>
      </c>
      <c r="C304" s="14" t="s">
        <v>1373</v>
      </c>
      <c r="D304" s="14" t="s">
        <v>19</v>
      </c>
      <c r="E304" s="29" t="s">
        <v>85</v>
      </c>
      <c r="F304" s="14">
        <v>100.19799999999999</v>
      </c>
      <c r="G304" s="14">
        <v>21.7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4</v>
      </c>
      <c r="N304" s="14">
        <v>1</v>
      </c>
      <c r="O304" s="14">
        <v>0</v>
      </c>
      <c r="P304" s="14">
        <v>0</v>
      </c>
      <c r="Q304" s="14">
        <v>0</v>
      </c>
      <c r="R304" s="14">
        <v>0</v>
      </c>
      <c r="S304" s="14">
        <v>0</v>
      </c>
      <c r="T304" s="14">
        <v>0</v>
      </c>
      <c r="U304" s="14">
        <v>0</v>
      </c>
      <c r="V304" s="14">
        <v>2</v>
      </c>
      <c r="W304" s="14">
        <v>0</v>
      </c>
      <c r="X304" s="14">
        <v>0</v>
      </c>
      <c r="Y304" s="14">
        <v>0</v>
      </c>
      <c r="Z304" s="14">
        <v>0</v>
      </c>
      <c r="AA304" s="14">
        <v>0</v>
      </c>
      <c r="AB304" s="14">
        <v>0</v>
      </c>
      <c r="AC304" s="14">
        <v>0</v>
      </c>
      <c r="AD304" s="25">
        <v>0</v>
      </c>
      <c r="AE304" s="25">
        <v>0</v>
      </c>
      <c r="AF304" s="25">
        <v>0</v>
      </c>
      <c r="AG304" s="25">
        <v>0.375</v>
      </c>
      <c r="AH304" s="25">
        <v>0.31944444399999999</v>
      </c>
      <c r="AI304" s="14" t="s">
        <v>1571</v>
      </c>
      <c r="AJ304" s="14" t="s">
        <v>33</v>
      </c>
    </row>
    <row r="305" spans="1:36" x14ac:dyDescent="0.25">
      <c r="A305" s="1">
        <v>225</v>
      </c>
      <c r="B305" s="25" t="s">
        <v>829</v>
      </c>
      <c r="C305" s="25" t="s">
        <v>557</v>
      </c>
      <c r="D305" s="25" t="s">
        <v>14</v>
      </c>
      <c r="E305" s="25" t="s">
        <v>88</v>
      </c>
      <c r="F305" s="25">
        <v>72.11</v>
      </c>
      <c r="G305" s="25">
        <v>21.9</v>
      </c>
      <c r="H305" s="25">
        <v>0</v>
      </c>
      <c r="I305" s="25">
        <v>0</v>
      </c>
      <c r="J305" s="25">
        <v>0</v>
      </c>
      <c r="K305" s="25">
        <v>0</v>
      </c>
      <c r="L305" s="25">
        <v>0</v>
      </c>
      <c r="M305" s="25">
        <v>0</v>
      </c>
      <c r="N305" s="25">
        <v>0</v>
      </c>
      <c r="O305" s="25">
        <v>0</v>
      </c>
      <c r="P305" s="25">
        <v>0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0</v>
      </c>
      <c r="W305" s="25">
        <v>0</v>
      </c>
      <c r="X305" s="25">
        <v>0</v>
      </c>
      <c r="Y305" s="25">
        <v>0</v>
      </c>
      <c r="Z305" s="25">
        <v>0</v>
      </c>
      <c r="AA305" s="25">
        <v>4</v>
      </c>
      <c r="AB305" s="25">
        <v>0</v>
      </c>
      <c r="AC305" s="25">
        <v>0</v>
      </c>
      <c r="AD305" s="25">
        <v>0</v>
      </c>
      <c r="AE305" s="25">
        <v>0</v>
      </c>
      <c r="AF305" s="25">
        <v>0</v>
      </c>
      <c r="AG305" s="25">
        <v>0.109375</v>
      </c>
      <c r="AH305" s="25">
        <v>0.08</v>
      </c>
      <c r="AI305" s="25" t="s">
        <v>1251</v>
      </c>
      <c r="AJ305" s="14" t="s">
        <v>33</v>
      </c>
    </row>
    <row r="306" spans="1:36" x14ac:dyDescent="0.25">
      <c r="A306" s="1">
        <v>226</v>
      </c>
      <c r="B306" s="14" t="s">
        <v>1618</v>
      </c>
      <c r="C306" s="14" t="s">
        <v>2034</v>
      </c>
      <c r="D306" s="14" t="s">
        <v>16</v>
      </c>
      <c r="E306" s="29" t="s">
        <v>1615</v>
      </c>
      <c r="F306" s="14">
        <v>112.208</v>
      </c>
      <c r="G306" s="14">
        <v>21.9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2</v>
      </c>
      <c r="N306" s="14">
        <v>1</v>
      </c>
      <c r="O306" s="14">
        <v>0</v>
      </c>
      <c r="P306" s="14">
        <v>0</v>
      </c>
      <c r="Q306" s="14">
        <v>0</v>
      </c>
      <c r="R306" s="14">
        <v>0</v>
      </c>
      <c r="S306" s="14">
        <v>0</v>
      </c>
      <c r="T306" s="14">
        <v>0</v>
      </c>
      <c r="U306" s="14">
        <v>0</v>
      </c>
      <c r="V306" s="14">
        <v>0</v>
      </c>
      <c r="W306" s="14">
        <v>0</v>
      </c>
      <c r="X306" s="14">
        <v>0</v>
      </c>
      <c r="Y306" s="14">
        <v>0</v>
      </c>
      <c r="Z306" s="14">
        <v>2</v>
      </c>
      <c r="AA306" s="14">
        <v>3</v>
      </c>
      <c r="AB306" s="14">
        <v>0</v>
      </c>
      <c r="AC306" s="14">
        <v>0</v>
      </c>
      <c r="AD306" s="25">
        <v>0</v>
      </c>
      <c r="AE306" s="25">
        <v>0</v>
      </c>
      <c r="AF306" s="25">
        <v>0</v>
      </c>
      <c r="AG306" s="25">
        <v>0.29585798800000002</v>
      </c>
      <c r="AH306" s="25">
        <v>0.28125</v>
      </c>
      <c r="AI306" s="14" t="s">
        <v>1571</v>
      </c>
      <c r="AJ306" s="14" t="s">
        <v>33</v>
      </c>
    </row>
    <row r="307" spans="1:36" x14ac:dyDescent="0.25">
      <c r="A307" s="1">
        <v>227</v>
      </c>
      <c r="B307" s="25" t="s">
        <v>1370</v>
      </c>
      <c r="C307" s="25" t="s">
        <v>1369</v>
      </c>
      <c r="D307" s="25" t="s">
        <v>12</v>
      </c>
      <c r="E307" s="25" t="s">
        <v>1570</v>
      </c>
      <c r="F307" s="25">
        <v>96.170440319999997</v>
      </c>
      <c r="G307" s="25">
        <v>22</v>
      </c>
      <c r="H307" s="25">
        <v>0</v>
      </c>
      <c r="I307" s="25">
        <v>0</v>
      </c>
      <c r="J307" s="25">
        <v>0</v>
      </c>
      <c r="K307" s="25">
        <v>0</v>
      </c>
      <c r="L307" s="25">
        <v>0</v>
      </c>
      <c r="M307" s="25">
        <v>1</v>
      </c>
      <c r="N307" s="25">
        <v>4</v>
      </c>
      <c r="O307" s="25">
        <v>0</v>
      </c>
      <c r="P307" s="25">
        <v>0</v>
      </c>
      <c r="Q307" s="25">
        <v>0</v>
      </c>
      <c r="R307" s="25">
        <v>0</v>
      </c>
      <c r="S307" s="25">
        <v>0</v>
      </c>
      <c r="T307" s="25">
        <v>0</v>
      </c>
      <c r="U307" s="25">
        <v>0</v>
      </c>
      <c r="V307" s="25">
        <v>0</v>
      </c>
      <c r="W307" s="25">
        <v>0</v>
      </c>
      <c r="X307" s="25">
        <v>0</v>
      </c>
      <c r="Y307" s="25">
        <v>0</v>
      </c>
      <c r="Z307" s="25">
        <v>0</v>
      </c>
      <c r="AA307" s="25">
        <v>0</v>
      </c>
      <c r="AB307" s="25">
        <v>0</v>
      </c>
      <c r="AC307" s="25">
        <v>0</v>
      </c>
      <c r="AD307" s="25">
        <v>0</v>
      </c>
      <c r="AE307" s="25">
        <v>0</v>
      </c>
      <c r="AF307" s="25">
        <v>0</v>
      </c>
      <c r="AG307" s="25">
        <v>0.3984375</v>
      </c>
      <c r="AH307" s="25">
        <v>0.3984375</v>
      </c>
      <c r="AI307" s="25" t="s">
        <v>1306</v>
      </c>
      <c r="AJ307" s="14" t="s">
        <v>33</v>
      </c>
    </row>
    <row r="308" spans="1:36" x14ac:dyDescent="0.25">
      <c r="A308" s="1">
        <v>229</v>
      </c>
      <c r="B308" s="25" t="s">
        <v>1874</v>
      </c>
      <c r="C308" s="25" t="s">
        <v>1524</v>
      </c>
      <c r="D308" s="25" t="s">
        <v>13</v>
      </c>
      <c r="E308" s="25" t="s">
        <v>1875</v>
      </c>
      <c r="F308" s="25">
        <v>128.16399999999999</v>
      </c>
      <c r="G308" s="25">
        <v>22</v>
      </c>
      <c r="H308" s="25">
        <v>10</v>
      </c>
      <c r="I308" s="25">
        <v>0</v>
      </c>
      <c r="J308" s="25">
        <v>10</v>
      </c>
      <c r="K308" s="25">
        <v>5</v>
      </c>
      <c r="L308" s="25">
        <v>0</v>
      </c>
      <c r="M308" s="25">
        <v>0</v>
      </c>
      <c r="N308" s="25">
        <v>0</v>
      </c>
      <c r="O308" s="25">
        <v>0</v>
      </c>
      <c r="P308" s="25">
        <v>0</v>
      </c>
      <c r="Q308" s="25">
        <v>0</v>
      </c>
      <c r="R308" s="25">
        <v>0</v>
      </c>
      <c r="S308" s="25">
        <v>0</v>
      </c>
      <c r="T308" s="25">
        <v>0</v>
      </c>
      <c r="U308" s="25">
        <v>0</v>
      </c>
      <c r="V308" s="25">
        <v>0</v>
      </c>
      <c r="W308" s="25">
        <v>0</v>
      </c>
      <c r="X308" s="25">
        <v>8</v>
      </c>
      <c r="Y308" s="25">
        <v>0</v>
      </c>
      <c r="Z308" s="25">
        <v>0</v>
      </c>
      <c r="AA308" s="25">
        <v>0</v>
      </c>
      <c r="AB308" s="25">
        <v>0</v>
      </c>
      <c r="AC308" s="25">
        <v>0</v>
      </c>
      <c r="AD308" s="25">
        <v>0</v>
      </c>
      <c r="AE308" s="25">
        <v>0</v>
      </c>
      <c r="AF308" s="25">
        <v>0</v>
      </c>
      <c r="AG308" s="25">
        <v>0.423828125</v>
      </c>
      <c r="AH308" s="25">
        <v>0.29752066100000002</v>
      </c>
      <c r="AI308" s="25" t="s">
        <v>1571</v>
      </c>
      <c r="AJ308" s="14" t="s">
        <v>33</v>
      </c>
    </row>
    <row r="309" spans="1:36" x14ac:dyDescent="0.25">
      <c r="A309" s="1">
        <v>232</v>
      </c>
      <c r="B309" s="25" t="s">
        <v>1298</v>
      </c>
      <c r="C309" s="25" t="s">
        <v>2035</v>
      </c>
      <c r="D309" s="25" t="s">
        <v>17</v>
      </c>
      <c r="E309" s="25" t="s">
        <v>115</v>
      </c>
      <c r="F309" s="25">
        <v>292.45689599999997</v>
      </c>
      <c r="G309" s="25">
        <v>22.7</v>
      </c>
      <c r="H309" s="25">
        <v>0</v>
      </c>
      <c r="I309" s="25">
        <v>3</v>
      </c>
      <c r="J309" s="25">
        <v>0</v>
      </c>
      <c r="K309" s="25">
        <v>3</v>
      </c>
      <c r="L309" s="25">
        <v>0</v>
      </c>
      <c r="M309" s="25">
        <v>2</v>
      </c>
      <c r="N309" s="25">
        <v>10</v>
      </c>
      <c r="O309" s="25">
        <v>0</v>
      </c>
      <c r="P309" s="25">
        <v>0</v>
      </c>
      <c r="Q309" s="25">
        <v>0</v>
      </c>
      <c r="R309" s="25">
        <v>0</v>
      </c>
      <c r="S309" s="25">
        <v>0</v>
      </c>
      <c r="T309" s="25">
        <v>0</v>
      </c>
      <c r="U309" s="25">
        <v>1</v>
      </c>
      <c r="V309" s="25">
        <v>0</v>
      </c>
      <c r="W309" s="25">
        <v>6</v>
      </c>
      <c r="X309" s="25">
        <v>0</v>
      </c>
      <c r="Y309" s="25">
        <v>0</v>
      </c>
      <c r="Z309" s="25">
        <v>0</v>
      </c>
      <c r="AA309" s="25">
        <v>0</v>
      </c>
      <c r="AB309" s="25">
        <v>0</v>
      </c>
      <c r="AC309" s="25">
        <v>0</v>
      </c>
      <c r="AD309" s="25">
        <v>0</v>
      </c>
      <c r="AE309" s="25">
        <v>0</v>
      </c>
      <c r="AF309" s="25">
        <v>0</v>
      </c>
      <c r="AG309" s="25">
        <v>0.59716796900000002</v>
      </c>
      <c r="AH309" s="25">
        <v>0.63107638899999996</v>
      </c>
      <c r="AI309" s="25" t="s">
        <v>1306</v>
      </c>
      <c r="AJ309" s="14" t="s">
        <v>33</v>
      </c>
    </row>
    <row r="310" spans="1:36" x14ac:dyDescent="0.25">
      <c r="A310" s="1">
        <v>234</v>
      </c>
      <c r="B310" s="14" t="s">
        <v>616</v>
      </c>
      <c r="C310" s="14" t="s">
        <v>332</v>
      </c>
      <c r="D310" s="14" t="s">
        <v>10</v>
      </c>
      <c r="E310" s="29" t="s">
        <v>102</v>
      </c>
      <c r="F310" s="14">
        <v>130.22999999999999</v>
      </c>
      <c r="G310" s="14">
        <v>23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2</v>
      </c>
      <c r="N310" s="14">
        <v>5</v>
      </c>
      <c r="O310" s="14">
        <v>1</v>
      </c>
      <c r="P310" s="14">
        <v>0</v>
      </c>
      <c r="Q310" s="14">
        <v>0</v>
      </c>
      <c r="R310" s="14">
        <v>0</v>
      </c>
      <c r="S310" s="14">
        <v>0</v>
      </c>
      <c r="T310" s="14">
        <v>0</v>
      </c>
      <c r="U310" s="14">
        <v>0</v>
      </c>
      <c r="V310" s="14">
        <v>1</v>
      </c>
      <c r="W310" s="14">
        <v>0</v>
      </c>
      <c r="X310" s="14">
        <v>0</v>
      </c>
      <c r="Y310" s="14">
        <v>0</v>
      </c>
      <c r="Z310" s="14">
        <v>0</v>
      </c>
      <c r="AA310" s="14">
        <v>0</v>
      </c>
      <c r="AB310" s="14">
        <v>1</v>
      </c>
      <c r="AC310" s="14">
        <v>0</v>
      </c>
      <c r="AD310" s="25">
        <v>0</v>
      </c>
      <c r="AE310" s="25">
        <v>0</v>
      </c>
      <c r="AF310" s="25">
        <v>0</v>
      </c>
      <c r="AG310" s="25">
        <v>0.39930555600000001</v>
      </c>
      <c r="AH310" s="25">
        <v>0.3828125</v>
      </c>
      <c r="AI310" s="14" t="s">
        <v>1024</v>
      </c>
      <c r="AJ310" s="14" t="s">
        <v>33</v>
      </c>
    </row>
    <row r="311" spans="1:36" x14ac:dyDescent="0.25">
      <c r="A311" s="1">
        <v>235</v>
      </c>
      <c r="B311" s="25" t="s">
        <v>666</v>
      </c>
      <c r="C311" s="25" t="s">
        <v>425</v>
      </c>
      <c r="D311" s="25" t="s">
        <v>13</v>
      </c>
      <c r="E311" s="25" t="s">
        <v>182</v>
      </c>
      <c r="F311" s="25">
        <v>230.39</v>
      </c>
      <c r="G311" s="25">
        <v>23</v>
      </c>
      <c r="H311" s="25">
        <v>6</v>
      </c>
      <c r="I311" s="25">
        <v>1</v>
      </c>
      <c r="J311" s="25">
        <v>6</v>
      </c>
      <c r="K311" s="25">
        <v>4</v>
      </c>
      <c r="L311" s="25">
        <v>0</v>
      </c>
      <c r="M311" s="25">
        <v>1</v>
      </c>
      <c r="N311" s="25">
        <v>8</v>
      </c>
      <c r="O311" s="25">
        <v>0</v>
      </c>
      <c r="P311" s="25">
        <v>0</v>
      </c>
      <c r="Q311" s="25">
        <v>0</v>
      </c>
      <c r="R311" s="25">
        <v>0</v>
      </c>
      <c r="S311" s="25">
        <v>0</v>
      </c>
      <c r="T311" s="25">
        <v>0</v>
      </c>
      <c r="U311" s="25">
        <v>0</v>
      </c>
      <c r="V311" s="25">
        <v>0</v>
      </c>
      <c r="W311" s="25">
        <v>2</v>
      </c>
      <c r="X311" s="25">
        <v>5</v>
      </c>
      <c r="Y311" s="25">
        <v>0</v>
      </c>
      <c r="Z311" s="25">
        <v>0</v>
      </c>
      <c r="AA311" s="25">
        <v>0</v>
      </c>
      <c r="AB311" s="25">
        <v>0</v>
      </c>
      <c r="AC311" s="25">
        <v>0</v>
      </c>
      <c r="AD311" s="25">
        <v>0</v>
      </c>
      <c r="AE311" s="25">
        <v>0</v>
      </c>
      <c r="AF311" s="25">
        <v>0</v>
      </c>
      <c r="AG311" s="25">
        <v>0.540289256</v>
      </c>
      <c r="AH311" s="25">
        <v>0.55215419499999996</v>
      </c>
      <c r="AI311" s="25" t="s">
        <v>1123</v>
      </c>
      <c r="AJ311" s="14" t="s">
        <v>33</v>
      </c>
    </row>
    <row r="312" spans="1:36" x14ac:dyDescent="0.25">
      <c r="A312" s="1">
        <v>237</v>
      </c>
      <c r="B312" s="14" t="s">
        <v>1268</v>
      </c>
      <c r="C312" s="14" t="s">
        <v>2036</v>
      </c>
      <c r="D312" s="14" t="s">
        <v>13</v>
      </c>
      <c r="E312" s="29" t="s">
        <v>182</v>
      </c>
      <c r="F312" s="14">
        <v>230.38896980000001</v>
      </c>
      <c r="G312" s="14">
        <v>23</v>
      </c>
      <c r="H312" s="14">
        <v>6</v>
      </c>
      <c r="I312" s="14">
        <v>1</v>
      </c>
      <c r="J312" s="14">
        <v>6</v>
      </c>
      <c r="K312" s="14">
        <v>4</v>
      </c>
      <c r="L312" s="14">
        <v>0</v>
      </c>
      <c r="M312" s="14">
        <v>2</v>
      </c>
      <c r="N312" s="14">
        <v>7</v>
      </c>
      <c r="O312" s="14">
        <v>0</v>
      </c>
      <c r="P312" s="14">
        <v>0</v>
      </c>
      <c r="Q312" s="14">
        <v>0</v>
      </c>
      <c r="R312" s="14">
        <v>0</v>
      </c>
      <c r="S312" s="14">
        <v>0</v>
      </c>
      <c r="T312" s="14">
        <v>0</v>
      </c>
      <c r="U312" s="14">
        <v>0</v>
      </c>
      <c r="V312" s="14">
        <v>0</v>
      </c>
      <c r="W312" s="14">
        <v>1</v>
      </c>
      <c r="X312" s="14">
        <v>5</v>
      </c>
      <c r="Y312" s="14">
        <v>0</v>
      </c>
      <c r="Z312" s="14">
        <v>0</v>
      </c>
      <c r="AA312" s="14">
        <v>0</v>
      </c>
      <c r="AB312" s="14">
        <v>0</v>
      </c>
      <c r="AC312" s="14">
        <v>0</v>
      </c>
      <c r="AD312" s="25">
        <v>0</v>
      </c>
      <c r="AE312" s="25">
        <v>0</v>
      </c>
      <c r="AF312" s="25">
        <v>0</v>
      </c>
      <c r="AG312" s="25">
        <v>0.54989975499999999</v>
      </c>
      <c r="AH312" s="25">
        <v>0.55215419499999996</v>
      </c>
      <c r="AI312" s="14" t="s">
        <v>1306</v>
      </c>
      <c r="AJ312" s="14" t="s">
        <v>33</v>
      </c>
    </row>
    <row r="313" spans="1:36" x14ac:dyDescent="0.25">
      <c r="A313" s="1">
        <v>239</v>
      </c>
      <c r="B313" s="14" t="s">
        <v>883</v>
      </c>
      <c r="C313" s="14" t="s">
        <v>2037</v>
      </c>
      <c r="D313" s="14" t="s">
        <v>17</v>
      </c>
      <c r="E313" s="29" t="s">
        <v>151</v>
      </c>
      <c r="F313" s="14">
        <v>873.33</v>
      </c>
      <c r="G313" s="14">
        <v>23</v>
      </c>
      <c r="H313" s="14">
        <v>0</v>
      </c>
      <c r="I313" s="14">
        <v>9</v>
      </c>
      <c r="J313" s="14">
        <v>0</v>
      </c>
      <c r="K313" s="14">
        <v>9</v>
      </c>
      <c r="L313" s="14">
        <v>0</v>
      </c>
      <c r="M313" s="14">
        <v>3</v>
      </c>
      <c r="N313" s="14">
        <v>32</v>
      </c>
      <c r="O313" s="14">
        <v>0</v>
      </c>
      <c r="P313" s="14">
        <v>0</v>
      </c>
      <c r="Q313" s="14">
        <v>0</v>
      </c>
      <c r="R313" s="14">
        <v>0</v>
      </c>
      <c r="S313" s="14">
        <v>0</v>
      </c>
      <c r="T313" s="14">
        <v>0</v>
      </c>
      <c r="U313" s="14">
        <v>3</v>
      </c>
      <c r="V313" s="14">
        <v>1</v>
      </c>
      <c r="W313" s="14">
        <v>18</v>
      </c>
      <c r="X313" s="14">
        <v>0</v>
      </c>
      <c r="Y313" s="14">
        <v>0</v>
      </c>
      <c r="Z313" s="14">
        <v>0</v>
      </c>
      <c r="AA313" s="14">
        <v>0</v>
      </c>
      <c r="AB313" s="14">
        <v>0</v>
      </c>
      <c r="AC313" s="14">
        <v>0</v>
      </c>
      <c r="AD313" s="25">
        <v>0</v>
      </c>
      <c r="AE313" s="25">
        <v>0</v>
      </c>
      <c r="AF313" s="25">
        <v>0</v>
      </c>
      <c r="AG313" s="25">
        <v>0.75751133800000003</v>
      </c>
      <c r="AH313" s="25">
        <v>0.775748722</v>
      </c>
      <c r="AI313" s="14" t="s">
        <v>1060</v>
      </c>
      <c r="AJ313" s="14" t="s">
        <v>33</v>
      </c>
    </row>
    <row r="314" spans="1:36" x14ac:dyDescent="0.25">
      <c r="A314" s="1">
        <v>240</v>
      </c>
      <c r="B314" s="14" t="s">
        <v>1693</v>
      </c>
      <c r="C314" s="14" t="s">
        <v>1433</v>
      </c>
      <c r="D314" s="14" t="s">
        <v>10</v>
      </c>
      <c r="E314" s="29" t="s">
        <v>140</v>
      </c>
      <c r="F314" s="14">
        <v>102.172</v>
      </c>
      <c r="G314" s="14">
        <v>23.3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1</v>
      </c>
      <c r="N314" s="14">
        <v>5</v>
      </c>
      <c r="O314" s="14">
        <v>1</v>
      </c>
      <c r="P314" s="14">
        <v>0</v>
      </c>
      <c r="Q314" s="14">
        <v>0</v>
      </c>
      <c r="R314" s="14">
        <v>0</v>
      </c>
      <c r="S314" s="14">
        <v>0</v>
      </c>
      <c r="T314" s="14">
        <v>0</v>
      </c>
      <c r="U314" s="14">
        <v>0</v>
      </c>
      <c r="V314" s="14">
        <v>0</v>
      </c>
      <c r="W314" s="14">
        <v>0</v>
      </c>
      <c r="X314" s="14">
        <v>0</v>
      </c>
      <c r="Y314" s="14">
        <v>0</v>
      </c>
      <c r="Z314" s="14">
        <v>0</v>
      </c>
      <c r="AA314" s="14">
        <v>0</v>
      </c>
      <c r="AB314" s="14">
        <v>1</v>
      </c>
      <c r="AC314" s="14">
        <v>0</v>
      </c>
      <c r="AD314" s="25">
        <v>0</v>
      </c>
      <c r="AE314" s="25">
        <v>0</v>
      </c>
      <c r="AF314" s="25">
        <v>0</v>
      </c>
      <c r="AG314" s="25">
        <v>0.31944444399999999</v>
      </c>
      <c r="AH314" s="25">
        <v>0.31944444399999999</v>
      </c>
      <c r="AI314" s="14" t="s">
        <v>1571</v>
      </c>
      <c r="AJ314" s="14" t="s">
        <v>33</v>
      </c>
    </row>
    <row r="315" spans="1:36" x14ac:dyDescent="0.25">
      <c r="A315" s="1">
        <v>248</v>
      </c>
      <c r="B315" s="25" t="s">
        <v>1651</v>
      </c>
      <c r="C315" s="25" t="s">
        <v>1405</v>
      </c>
      <c r="D315" s="25" t="s">
        <v>12</v>
      </c>
      <c r="E315" s="25" t="s">
        <v>67</v>
      </c>
      <c r="F315" s="25">
        <v>84.156000000000006</v>
      </c>
      <c r="G315" s="25">
        <v>23.8</v>
      </c>
      <c r="H315" s="25">
        <v>0</v>
      </c>
      <c r="I315" s="25">
        <v>1</v>
      </c>
      <c r="J315" s="25">
        <v>0</v>
      </c>
      <c r="K315" s="25">
        <v>1</v>
      </c>
      <c r="L315" s="25">
        <v>0</v>
      </c>
      <c r="M315" s="25">
        <v>3</v>
      </c>
      <c r="N315" s="25">
        <v>1</v>
      </c>
      <c r="O315" s="25">
        <v>0</v>
      </c>
      <c r="P315" s="25">
        <v>0</v>
      </c>
      <c r="Q315" s="25">
        <v>0</v>
      </c>
      <c r="R315" s="25">
        <v>0</v>
      </c>
      <c r="S315" s="25">
        <v>0</v>
      </c>
      <c r="T315" s="25">
        <v>0</v>
      </c>
      <c r="U315" s="25">
        <v>0</v>
      </c>
      <c r="V315" s="25">
        <v>0</v>
      </c>
      <c r="W315" s="25">
        <v>1</v>
      </c>
      <c r="X315" s="25">
        <v>0</v>
      </c>
      <c r="Y315" s="25">
        <v>0</v>
      </c>
      <c r="Z315" s="25">
        <v>0</v>
      </c>
      <c r="AA315" s="25">
        <v>0</v>
      </c>
      <c r="AB315" s="25">
        <v>0</v>
      </c>
      <c r="AC315" s="25">
        <v>0</v>
      </c>
      <c r="AD315" s="25">
        <v>0</v>
      </c>
      <c r="AE315" s="25">
        <v>0</v>
      </c>
      <c r="AF315" s="25">
        <v>0</v>
      </c>
      <c r="AG315" s="25">
        <v>0.2421875</v>
      </c>
      <c r="AH315" s="25">
        <v>0.20833333300000001</v>
      </c>
      <c r="AI315" s="25" t="s">
        <v>1571</v>
      </c>
      <c r="AJ315" s="14" t="s">
        <v>33</v>
      </c>
    </row>
    <row r="316" spans="1:36" x14ac:dyDescent="0.25">
      <c r="A316" s="1">
        <v>249</v>
      </c>
      <c r="B316" s="14" t="s">
        <v>807</v>
      </c>
      <c r="C316" s="14" t="s">
        <v>2038</v>
      </c>
      <c r="D316" s="14" t="s">
        <v>21</v>
      </c>
      <c r="E316" s="29" t="s">
        <v>221</v>
      </c>
      <c r="F316" s="14">
        <v>84.12</v>
      </c>
      <c r="G316" s="14">
        <v>23.9</v>
      </c>
      <c r="H316" s="14">
        <v>0</v>
      </c>
      <c r="I316" s="14">
        <v>1</v>
      </c>
      <c r="J316" s="14">
        <v>0</v>
      </c>
      <c r="K316" s="14">
        <v>1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1</v>
      </c>
      <c r="R316" s="14">
        <v>0</v>
      </c>
      <c r="S316" s="14">
        <v>0</v>
      </c>
      <c r="T316" s="14">
        <v>0</v>
      </c>
      <c r="U316" s="14">
        <v>0</v>
      </c>
      <c r="V316" s="14">
        <v>0</v>
      </c>
      <c r="W316" s="14">
        <v>0</v>
      </c>
      <c r="X316" s="14">
        <v>2</v>
      </c>
      <c r="Y316" s="14">
        <v>0</v>
      </c>
      <c r="Z316" s="14">
        <v>0</v>
      </c>
      <c r="AA316" s="14">
        <v>3</v>
      </c>
      <c r="AB316" s="14">
        <v>0</v>
      </c>
      <c r="AC316" s="14">
        <v>0</v>
      </c>
      <c r="AD316" s="25">
        <v>0</v>
      </c>
      <c r="AE316" s="25">
        <v>0</v>
      </c>
      <c r="AF316" s="25">
        <v>0</v>
      </c>
      <c r="AG316" s="25">
        <v>0.22448979599999999</v>
      </c>
      <c r="AH316" s="25">
        <v>0.22448979599999999</v>
      </c>
      <c r="AI316" s="14" t="s">
        <v>1217</v>
      </c>
      <c r="AJ316" s="14" t="s">
        <v>33</v>
      </c>
    </row>
    <row r="317" spans="1:36" x14ac:dyDescent="0.25">
      <c r="A317" s="1">
        <v>250</v>
      </c>
      <c r="B317" s="14" t="s">
        <v>1717</v>
      </c>
      <c r="C317" s="14" t="s">
        <v>1446</v>
      </c>
      <c r="D317" s="14" t="s">
        <v>10</v>
      </c>
      <c r="E317" s="29" t="s">
        <v>1718</v>
      </c>
      <c r="F317" s="14">
        <v>222.358</v>
      </c>
      <c r="G317" s="14">
        <v>24</v>
      </c>
      <c r="H317" s="14">
        <v>0</v>
      </c>
      <c r="I317" s="14">
        <v>3</v>
      </c>
      <c r="J317" s="14">
        <v>0</v>
      </c>
      <c r="K317" s="14">
        <v>3</v>
      </c>
      <c r="L317" s="14">
        <v>0</v>
      </c>
      <c r="M317" s="14">
        <v>4</v>
      </c>
      <c r="N317" s="14">
        <v>5</v>
      </c>
      <c r="O317" s="14">
        <v>1</v>
      </c>
      <c r="P317" s="14">
        <v>0</v>
      </c>
      <c r="Q317" s="14">
        <v>0</v>
      </c>
      <c r="R317" s="14">
        <v>0</v>
      </c>
      <c r="S317" s="14">
        <v>0</v>
      </c>
      <c r="T317" s="14">
        <v>0</v>
      </c>
      <c r="U317" s="14">
        <v>0</v>
      </c>
      <c r="V317" s="14">
        <v>0</v>
      </c>
      <c r="W317" s="14">
        <v>3</v>
      </c>
      <c r="X317" s="14">
        <v>0</v>
      </c>
      <c r="Y317" s="14">
        <v>0</v>
      </c>
      <c r="Z317" s="14">
        <v>0</v>
      </c>
      <c r="AA317" s="14">
        <v>0</v>
      </c>
      <c r="AB317" s="14">
        <v>1</v>
      </c>
      <c r="AC317" s="14">
        <v>0</v>
      </c>
      <c r="AD317" s="25">
        <v>0</v>
      </c>
      <c r="AE317" s="25">
        <v>0</v>
      </c>
      <c r="AF317" s="25">
        <v>0</v>
      </c>
      <c r="AG317" s="25">
        <v>0.52875000000000005</v>
      </c>
      <c r="AH317" s="25">
        <v>0.55401234600000004</v>
      </c>
      <c r="AI317" s="14" t="s">
        <v>1571</v>
      </c>
      <c r="AJ317" s="14" t="s">
        <v>33</v>
      </c>
    </row>
    <row r="318" spans="1:36" x14ac:dyDescent="0.25">
      <c r="A318" s="1">
        <v>252</v>
      </c>
      <c r="B318" s="14" t="s">
        <v>1355</v>
      </c>
      <c r="C318" s="14" t="s">
        <v>2039</v>
      </c>
      <c r="D318" s="14" t="s">
        <v>12</v>
      </c>
      <c r="E318" s="29" t="s">
        <v>179</v>
      </c>
      <c r="F318" s="14">
        <v>222.409997</v>
      </c>
      <c r="G318" s="14">
        <v>24</v>
      </c>
      <c r="H318" s="14">
        <v>0</v>
      </c>
      <c r="I318" s="14">
        <v>2</v>
      </c>
      <c r="J318" s="14">
        <v>0</v>
      </c>
      <c r="K318" s="14">
        <v>2</v>
      </c>
      <c r="L318" s="14">
        <v>0</v>
      </c>
      <c r="M318" s="14">
        <v>5</v>
      </c>
      <c r="N318" s="14">
        <v>7</v>
      </c>
      <c r="O318" s="14">
        <v>0</v>
      </c>
      <c r="P318" s="14">
        <v>0</v>
      </c>
      <c r="Q318" s="14">
        <v>0</v>
      </c>
      <c r="R318" s="14">
        <v>0</v>
      </c>
      <c r="S318" s="14">
        <v>0</v>
      </c>
      <c r="T318" s="14">
        <v>0</v>
      </c>
      <c r="U318" s="14">
        <v>0</v>
      </c>
      <c r="V318" s="14">
        <v>0</v>
      </c>
      <c r="W318" s="14">
        <v>1</v>
      </c>
      <c r="X318" s="14">
        <v>0</v>
      </c>
      <c r="Y318" s="14">
        <v>0</v>
      </c>
      <c r="Z318" s="14">
        <v>0</v>
      </c>
      <c r="AA318" s="14">
        <v>0</v>
      </c>
      <c r="AB318" s="14">
        <v>0</v>
      </c>
      <c r="AC318" s="14">
        <v>0</v>
      </c>
      <c r="AD318" s="25">
        <v>0</v>
      </c>
      <c r="AE318" s="25">
        <v>0</v>
      </c>
      <c r="AF318" s="25">
        <v>0</v>
      </c>
      <c r="AG318" s="25">
        <v>0.53039999999999998</v>
      </c>
      <c r="AH318" s="25">
        <v>0.54844290699999998</v>
      </c>
      <c r="AI318" s="14" t="s">
        <v>1306</v>
      </c>
      <c r="AJ318" s="14" t="s">
        <v>33</v>
      </c>
    </row>
    <row r="319" spans="1:36" x14ac:dyDescent="0.25">
      <c r="A319" s="1">
        <v>254</v>
      </c>
      <c r="B319" s="14" t="s">
        <v>649</v>
      </c>
      <c r="C319" s="14" t="s">
        <v>2040</v>
      </c>
      <c r="D319" s="14" t="s">
        <v>12</v>
      </c>
      <c r="E319" s="29" t="s">
        <v>179</v>
      </c>
      <c r="F319" s="14">
        <v>222.4</v>
      </c>
      <c r="G319" s="14">
        <v>24</v>
      </c>
      <c r="H319" s="14">
        <v>0</v>
      </c>
      <c r="I319" s="14">
        <v>2</v>
      </c>
      <c r="J319" s="14">
        <v>0</v>
      </c>
      <c r="K319" s="14">
        <v>2</v>
      </c>
      <c r="L319" s="14">
        <v>0</v>
      </c>
      <c r="M319" s="14">
        <v>5</v>
      </c>
      <c r="N319" s="14">
        <v>7</v>
      </c>
      <c r="O319" s="14">
        <v>0</v>
      </c>
      <c r="P319" s="14">
        <v>0</v>
      </c>
      <c r="Q319" s="14">
        <v>0</v>
      </c>
      <c r="R319" s="14">
        <v>0</v>
      </c>
      <c r="S319" s="14">
        <v>0</v>
      </c>
      <c r="T319" s="14">
        <v>0</v>
      </c>
      <c r="U319" s="14">
        <v>0</v>
      </c>
      <c r="V319" s="14">
        <v>0</v>
      </c>
      <c r="W319" s="14">
        <v>1</v>
      </c>
      <c r="X319" s="14">
        <v>0</v>
      </c>
      <c r="Y319" s="14">
        <v>0</v>
      </c>
      <c r="Z319" s="14">
        <v>0</v>
      </c>
      <c r="AA319" s="14">
        <v>0</v>
      </c>
      <c r="AB319" s="14">
        <v>0</v>
      </c>
      <c r="AC319" s="14">
        <v>0</v>
      </c>
      <c r="AD319" s="25">
        <v>0</v>
      </c>
      <c r="AE319" s="25">
        <v>0</v>
      </c>
      <c r="AF319" s="25">
        <v>0</v>
      </c>
      <c r="AG319" s="25">
        <v>0.54914933799999999</v>
      </c>
      <c r="AH319" s="25">
        <v>0.54844290699999998</v>
      </c>
      <c r="AI319" s="14" t="s">
        <v>1571</v>
      </c>
      <c r="AJ319" s="14" t="s">
        <v>33</v>
      </c>
    </row>
    <row r="320" spans="1:36" x14ac:dyDescent="0.25">
      <c r="A320" s="1">
        <v>255</v>
      </c>
      <c r="B320" s="14" t="s">
        <v>902</v>
      </c>
      <c r="C320" s="14" t="s">
        <v>260</v>
      </c>
      <c r="D320" s="14" t="s">
        <v>16</v>
      </c>
      <c r="E320" s="29" t="s">
        <v>68</v>
      </c>
      <c r="F320" s="14">
        <v>188.31</v>
      </c>
      <c r="G320" s="14">
        <v>24</v>
      </c>
      <c r="H320" s="14">
        <v>0</v>
      </c>
      <c r="I320" s="14">
        <v>0</v>
      </c>
      <c r="J320" s="14">
        <v>0</v>
      </c>
      <c r="K320" s="14">
        <v>0</v>
      </c>
      <c r="L320" s="14">
        <v>1</v>
      </c>
      <c r="M320" s="14">
        <v>3</v>
      </c>
      <c r="N320" s="14">
        <v>0</v>
      </c>
      <c r="O320" s="14">
        <v>0</v>
      </c>
      <c r="P320" s="14">
        <v>0</v>
      </c>
      <c r="Q320" s="14">
        <v>0</v>
      </c>
      <c r="R320" s="14">
        <v>0</v>
      </c>
      <c r="S320" s="14">
        <v>0</v>
      </c>
      <c r="T320" s="14">
        <v>0</v>
      </c>
      <c r="U320" s="14">
        <v>0</v>
      </c>
      <c r="V320" s="14">
        <v>0</v>
      </c>
      <c r="W320" s="14">
        <v>0</v>
      </c>
      <c r="X320" s="14">
        <v>0</v>
      </c>
      <c r="Y320" s="14">
        <v>0</v>
      </c>
      <c r="Z320" s="14">
        <v>3</v>
      </c>
      <c r="AA320" s="14">
        <v>7</v>
      </c>
      <c r="AB320" s="14">
        <v>0</v>
      </c>
      <c r="AC320" s="14">
        <v>0</v>
      </c>
      <c r="AD320" s="25">
        <v>0</v>
      </c>
      <c r="AE320" s="25">
        <v>0</v>
      </c>
      <c r="AF320" s="25">
        <v>0</v>
      </c>
      <c r="AG320" s="25">
        <v>0.41375000000000001</v>
      </c>
      <c r="AH320" s="25">
        <v>0.43777777800000001</v>
      </c>
      <c r="AI320" s="14" t="s">
        <v>946</v>
      </c>
      <c r="AJ320" s="14" t="s">
        <v>33</v>
      </c>
    </row>
    <row r="321" spans="1:36" x14ac:dyDescent="0.25">
      <c r="A321" s="1">
        <v>256</v>
      </c>
      <c r="B321" s="14" t="s">
        <v>1614</v>
      </c>
      <c r="C321" s="14" t="s">
        <v>1390</v>
      </c>
      <c r="D321" s="14" t="s">
        <v>16</v>
      </c>
      <c r="E321" s="29" t="s">
        <v>1615</v>
      </c>
      <c r="F321" s="14">
        <v>112.208</v>
      </c>
      <c r="G321" s="14">
        <v>24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2</v>
      </c>
      <c r="N321" s="14">
        <v>0</v>
      </c>
      <c r="O321" s="14">
        <v>0</v>
      </c>
      <c r="P321" s="14">
        <v>0</v>
      </c>
      <c r="Q321" s="14">
        <v>0</v>
      </c>
      <c r="R321" s="14">
        <v>0</v>
      </c>
      <c r="S321" s="14">
        <v>0</v>
      </c>
      <c r="T321" s="14">
        <v>0</v>
      </c>
      <c r="U321" s="14">
        <v>0</v>
      </c>
      <c r="V321" s="14">
        <v>0</v>
      </c>
      <c r="W321" s="14">
        <v>0</v>
      </c>
      <c r="X321" s="14">
        <v>0</v>
      </c>
      <c r="Y321" s="14">
        <v>0</v>
      </c>
      <c r="Z321" s="14">
        <v>2</v>
      </c>
      <c r="AA321" s="14">
        <v>4</v>
      </c>
      <c r="AB321" s="14">
        <v>0</v>
      </c>
      <c r="AC321" s="14">
        <v>0</v>
      </c>
      <c r="AD321" s="25">
        <v>0</v>
      </c>
      <c r="AE321" s="25">
        <v>0</v>
      </c>
      <c r="AF321" s="25">
        <v>0</v>
      </c>
      <c r="AG321" s="25">
        <v>0.25</v>
      </c>
      <c r="AH321" s="25">
        <v>0.28125</v>
      </c>
      <c r="AI321" s="14" t="s">
        <v>1571</v>
      </c>
      <c r="AJ321" s="14" t="s">
        <v>33</v>
      </c>
    </row>
    <row r="322" spans="1:36" x14ac:dyDescent="0.25">
      <c r="A322" s="1">
        <v>257</v>
      </c>
      <c r="B322" s="25" t="s">
        <v>1907</v>
      </c>
      <c r="C322" s="25" t="s">
        <v>2041</v>
      </c>
      <c r="D322" s="25" t="s">
        <v>1929</v>
      </c>
      <c r="E322" s="25" t="s">
        <v>216</v>
      </c>
      <c r="F322" s="25">
        <v>216.27</v>
      </c>
      <c r="G322" s="25">
        <v>24</v>
      </c>
      <c r="H322" s="25">
        <v>0</v>
      </c>
      <c r="I322" s="25">
        <v>0</v>
      </c>
      <c r="J322" s="25">
        <v>0</v>
      </c>
      <c r="K322" s="25">
        <v>0</v>
      </c>
      <c r="L322" s="25">
        <v>0</v>
      </c>
      <c r="M322" s="25">
        <v>2</v>
      </c>
      <c r="N322" s="25">
        <v>7</v>
      </c>
      <c r="O322" s="25">
        <v>0</v>
      </c>
      <c r="P322" s="25">
        <v>0</v>
      </c>
      <c r="Q322" s="25">
        <v>0</v>
      </c>
      <c r="R322" s="25">
        <v>0</v>
      </c>
      <c r="S322" s="25">
        <v>0</v>
      </c>
      <c r="T322" s="25">
        <v>0</v>
      </c>
      <c r="U322" s="25">
        <v>2</v>
      </c>
      <c r="V322" s="25">
        <v>0</v>
      </c>
      <c r="W322" s="25">
        <v>0</v>
      </c>
      <c r="X322" s="25">
        <v>0</v>
      </c>
      <c r="Y322" s="25">
        <v>0</v>
      </c>
      <c r="Z322" s="25">
        <v>0</v>
      </c>
      <c r="AA322" s="25">
        <v>0</v>
      </c>
      <c r="AB322" s="25">
        <v>0</v>
      </c>
      <c r="AC322" s="25">
        <v>0</v>
      </c>
      <c r="AD322" s="25">
        <v>0</v>
      </c>
      <c r="AE322" s="25">
        <v>0</v>
      </c>
      <c r="AF322" s="25">
        <v>0</v>
      </c>
      <c r="AG322" s="25">
        <v>0.541015625</v>
      </c>
      <c r="AH322" s="25">
        <v>0.556640625</v>
      </c>
      <c r="AI322" s="25" t="s">
        <v>1571</v>
      </c>
      <c r="AJ322" s="14" t="s">
        <v>33</v>
      </c>
    </row>
    <row r="323" spans="1:36" x14ac:dyDescent="0.25">
      <c r="A323" s="1">
        <v>258</v>
      </c>
      <c r="B323" s="14" t="s">
        <v>767</v>
      </c>
      <c r="C323" s="14" t="s">
        <v>2042</v>
      </c>
      <c r="D323" s="14" t="s">
        <v>1930</v>
      </c>
      <c r="E323" s="29" t="s">
        <v>1755</v>
      </c>
      <c r="F323" s="14">
        <v>132.15600000000001</v>
      </c>
      <c r="G323" s="14">
        <v>24</v>
      </c>
      <c r="H323" s="14">
        <v>0</v>
      </c>
      <c r="I323" s="14">
        <v>0</v>
      </c>
      <c r="J323" s="14">
        <v>0</v>
      </c>
      <c r="K323" s="14">
        <v>0</v>
      </c>
      <c r="L323" s="14">
        <v>0</v>
      </c>
      <c r="M323" s="14">
        <v>3</v>
      </c>
      <c r="N323" s="14">
        <v>1</v>
      </c>
      <c r="O323" s="14">
        <v>0</v>
      </c>
      <c r="P323" s="14">
        <v>1</v>
      </c>
      <c r="Q323" s="14">
        <v>0</v>
      </c>
      <c r="R323" s="14">
        <v>0</v>
      </c>
      <c r="S323" s="14">
        <v>0</v>
      </c>
      <c r="T323" s="14">
        <v>0</v>
      </c>
      <c r="U323" s="14">
        <v>1</v>
      </c>
      <c r="V323" s="14">
        <v>1</v>
      </c>
      <c r="W323" s="14">
        <v>0</v>
      </c>
      <c r="X323" s="14">
        <v>0</v>
      </c>
      <c r="Y323" s="14">
        <v>0</v>
      </c>
      <c r="Z323" s="14">
        <v>0</v>
      </c>
      <c r="AA323" s="14">
        <v>0</v>
      </c>
      <c r="AB323" s="14">
        <v>0</v>
      </c>
      <c r="AC323" s="14">
        <v>0</v>
      </c>
      <c r="AD323" s="25">
        <v>0</v>
      </c>
      <c r="AE323" s="25">
        <v>0</v>
      </c>
      <c r="AF323" s="25">
        <v>0</v>
      </c>
      <c r="AG323" s="25">
        <v>0.43827160500000001</v>
      </c>
      <c r="AH323" s="25">
        <v>0.43827160500000001</v>
      </c>
      <c r="AI323" s="14" t="s">
        <v>1571</v>
      </c>
      <c r="AJ323" s="14" t="s">
        <v>33</v>
      </c>
    </row>
    <row r="324" spans="1:36" x14ac:dyDescent="0.25">
      <c r="A324" s="1">
        <v>260</v>
      </c>
      <c r="B324" s="14" t="s">
        <v>726</v>
      </c>
      <c r="C324" s="14" t="s">
        <v>399</v>
      </c>
      <c r="D324" s="14" t="s">
        <v>19</v>
      </c>
      <c r="E324" s="29" t="s">
        <v>171</v>
      </c>
      <c r="F324" s="14">
        <v>128.25</v>
      </c>
      <c r="G324" s="14">
        <v>24</v>
      </c>
      <c r="H324" s="14">
        <v>0</v>
      </c>
      <c r="I324" s="14">
        <v>0</v>
      </c>
      <c r="J324" s="14">
        <v>0</v>
      </c>
      <c r="K324" s="14">
        <v>0</v>
      </c>
      <c r="L324" s="14">
        <v>1</v>
      </c>
      <c r="M324" s="14">
        <v>5</v>
      </c>
      <c r="N324" s="14">
        <v>2</v>
      </c>
      <c r="O324" s="14">
        <v>0</v>
      </c>
      <c r="P324" s="14">
        <v>0</v>
      </c>
      <c r="Q324" s="14">
        <v>0</v>
      </c>
      <c r="R324" s="14">
        <v>0</v>
      </c>
      <c r="S324" s="14">
        <v>0</v>
      </c>
      <c r="T324" s="14">
        <v>0</v>
      </c>
      <c r="U324" s="14">
        <v>0</v>
      </c>
      <c r="V324" s="14">
        <v>1</v>
      </c>
      <c r="W324" s="14">
        <v>0</v>
      </c>
      <c r="X324" s="14">
        <v>0</v>
      </c>
      <c r="Y324" s="14">
        <v>0</v>
      </c>
      <c r="Z324" s="14">
        <v>0</v>
      </c>
      <c r="AA324" s="14">
        <v>0</v>
      </c>
      <c r="AB324" s="14">
        <v>0</v>
      </c>
      <c r="AC324" s="14">
        <v>0</v>
      </c>
      <c r="AD324" s="25">
        <v>0</v>
      </c>
      <c r="AE324" s="25">
        <v>0</v>
      </c>
      <c r="AF324" s="25">
        <v>0</v>
      </c>
      <c r="AG324" s="25">
        <v>0.38888888900000002</v>
      </c>
      <c r="AH324" s="25">
        <v>0.3984375</v>
      </c>
      <c r="AI324" s="14" t="s">
        <v>1096</v>
      </c>
      <c r="AJ324" s="14" t="s">
        <v>33</v>
      </c>
    </row>
    <row r="325" spans="1:36" x14ac:dyDescent="0.25">
      <c r="A325" s="1">
        <v>262</v>
      </c>
      <c r="B325" s="25" t="s">
        <v>727</v>
      </c>
      <c r="C325" s="25" t="s">
        <v>485</v>
      </c>
      <c r="D325" s="25" t="s">
        <v>19</v>
      </c>
      <c r="E325" s="25" t="s">
        <v>107</v>
      </c>
      <c r="F325" s="25">
        <v>86.17</v>
      </c>
      <c r="G325" s="25">
        <v>24</v>
      </c>
      <c r="H325" s="25">
        <v>0</v>
      </c>
      <c r="I325" s="25">
        <v>0</v>
      </c>
      <c r="J325" s="25">
        <v>0</v>
      </c>
      <c r="K325" s="25">
        <v>0</v>
      </c>
      <c r="L325" s="25">
        <v>1</v>
      </c>
      <c r="M325" s="25">
        <v>4</v>
      </c>
      <c r="N325" s="25">
        <v>1</v>
      </c>
      <c r="O325" s="25">
        <v>0</v>
      </c>
      <c r="P325" s="25">
        <v>0</v>
      </c>
      <c r="Q325" s="25">
        <v>0</v>
      </c>
      <c r="R325" s="25">
        <v>0</v>
      </c>
      <c r="S325" s="25">
        <v>0</v>
      </c>
      <c r="T325" s="25">
        <v>0</v>
      </c>
      <c r="U325" s="25">
        <v>0</v>
      </c>
      <c r="V325" s="25">
        <v>0</v>
      </c>
      <c r="W325" s="25">
        <v>0</v>
      </c>
      <c r="X325" s="25">
        <v>0</v>
      </c>
      <c r="Y325" s="25">
        <v>0</v>
      </c>
      <c r="Z325" s="25">
        <v>0</v>
      </c>
      <c r="AA325" s="25">
        <v>0</v>
      </c>
      <c r="AB325" s="25">
        <v>0</v>
      </c>
      <c r="AC325" s="25">
        <v>0</v>
      </c>
      <c r="AD325" s="25">
        <v>0</v>
      </c>
      <c r="AE325" s="25">
        <v>0</v>
      </c>
      <c r="AF325" s="25">
        <v>0</v>
      </c>
      <c r="AG325" s="25">
        <v>0.255102041</v>
      </c>
      <c r="AH325" s="25">
        <v>0.22</v>
      </c>
      <c r="AI325" s="25" t="s">
        <v>1180</v>
      </c>
      <c r="AJ325" s="14" t="s">
        <v>33</v>
      </c>
    </row>
    <row r="326" spans="1:36" x14ac:dyDescent="0.25">
      <c r="A326" s="1">
        <v>263</v>
      </c>
      <c r="B326" s="14" t="s">
        <v>1593</v>
      </c>
      <c r="C326" s="14" t="s">
        <v>1382</v>
      </c>
      <c r="D326" s="14" t="s">
        <v>19</v>
      </c>
      <c r="E326" s="29" t="s">
        <v>1594</v>
      </c>
      <c r="F326" s="14">
        <v>128.25</v>
      </c>
      <c r="G326" s="14">
        <v>24</v>
      </c>
      <c r="H326" s="14">
        <v>0</v>
      </c>
      <c r="I326" s="14">
        <v>0</v>
      </c>
      <c r="J326" s="14">
        <v>0</v>
      </c>
      <c r="K326" s="14">
        <v>0</v>
      </c>
      <c r="L326" s="14">
        <v>1</v>
      </c>
      <c r="M326" s="14">
        <v>5</v>
      </c>
      <c r="N326" s="14">
        <v>2</v>
      </c>
      <c r="O326" s="14">
        <v>0</v>
      </c>
      <c r="P326" s="14">
        <v>0</v>
      </c>
      <c r="Q326" s="14">
        <v>0</v>
      </c>
      <c r="R326" s="14">
        <v>0</v>
      </c>
      <c r="S326" s="14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4">
        <v>0</v>
      </c>
      <c r="AA326" s="14">
        <v>0</v>
      </c>
      <c r="AB326" s="14">
        <v>0</v>
      </c>
      <c r="AC326" s="14">
        <v>0</v>
      </c>
      <c r="AD326" s="25">
        <v>0</v>
      </c>
      <c r="AE326" s="25">
        <v>0</v>
      </c>
      <c r="AF326" s="25">
        <v>0</v>
      </c>
      <c r="AG326" s="25">
        <v>0.38888888900000002</v>
      </c>
      <c r="AH326" s="25">
        <v>0.3984375</v>
      </c>
      <c r="AI326" s="14" t="s">
        <v>1571</v>
      </c>
      <c r="AJ326" s="14" t="s">
        <v>33</v>
      </c>
    </row>
    <row r="327" spans="1:36" x14ac:dyDescent="0.25">
      <c r="A327" s="1">
        <v>264</v>
      </c>
      <c r="B327" s="14" t="s">
        <v>767</v>
      </c>
      <c r="C327" s="14" t="s">
        <v>455</v>
      </c>
      <c r="D327" s="14" t="s">
        <v>21</v>
      </c>
      <c r="E327" s="29" t="s">
        <v>193</v>
      </c>
      <c r="F327" s="14">
        <v>132.16</v>
      </c>
      <c r="G327" s="14">
        <v>24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3</v>
      </c>
      <c r="N327" s="14">
        <v>1</v>
      </c>
      <c r="O327" s="14">
        <v>0</v>
      </c>
      <c r="P327" s="14">
        <v>1</v>
      </c>
      <c r="Q327" s="14">
        <v>0</v>
      </c>
      <c r="R327" s="14">
        <v>0</v>
      </c>
      <c r="S327" s="14">
        <v>0</v>
      </c>
      <c r="T327" s="14">
        <v>0</v>
      </c>
      <c r="U327" s="14">
        <v>1</v>
      </c>
      <c r="V327" s="14">
        <v>1</v>
      </c>
      <c r="W327" s="14">
        <v>0</v>
      </c>
      <c r="X327" s="14">
        <v>0</v>
      </c>
      <c r="Y327" s="14">
        <v>0</v>
      </c>
      <c r="Z327" s="14">
        <v>0</v>
      </c>
      <c r="AA327" s="14">
        <v>0</v>
      </c>
      <c r="AB327" s="14">
        <v>0</v>
      </c>
      <c r="AC327" s="14">
        <v>0</v>
      </c>
      <c r="AD327" s="25">
        <v>0</v>
      </c>
      <c r="AE327" s="25">
        <v>0</v>
      </c>
      <c r="AF327" s="25">
        <v>0</v>
      </c>
      <c r="AG327" s="25">
        <v>0.43827160500000001</v>
      </c>
      <c r="AH327" s="25">
        <v>0.43827160500000001</v>
      </c>
      <c r="AI327" s="14" t="s">
        <v>1152</v>
      </c>
      <c r="AJ327" s="14" t="s">
        <v>33</v>
      </c>
    </row>
    <row r="328" spans="1:36" x14ac:dyDescent="0.25">
      <c r="A328" s="1">
        <v>266</v>
      </c>
      <c r="B328" s="14" t="s">
        <v>678</v>
      </c>
      <c r="C328" s="14" t="s">
        <v>335</v>
      </c>
      <c r="D328" s="14" t="s">
        <v>16</v>
      </c>
      <c r="E328" s="29" t="s">
        <v>129</v>
      </c>
      <c r="F328" s="14">
        <v>120.19</v>
      </c>
      <c r="G328" s="14">
        <v>24.4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3</v>
      </c>
      <c r="N328" s="14">
        <v>0</v>
      </c>
      <c r="O328" s="14">
        <v>0</v>
      </c>
      <c r="P328" s="14">
        <v>0</v>
      </c>
      <c r="Q328" s="14">
        <v>0</v>
      </c>
      <c r="R328" s="14">
        <v>0</v>
      </c>
      <c r="S328" s="14">
        <v>0</v>
      </c>
      <c r="T328" s="14">
        <v>0</v>
      </c>
      <c r="U328" s="14">
        <v>0</v>
      </c>
      <c r="V328" s="14">
        <v>0</v>
      </c>
      <c r="W328" s="14">
        <v>0</v>
      </c>
      <c r="X328" s="14">
        <v>0</v>
      </c>
      <c r="Y328" s="14">
        <v>0</v>
      </c>
      <c r="Z328" s="14">
        <v>3</v>
      </c>
      <c r="AA328" s="14">
        <v>3</v>
      </c>
      <c r="AB328" s="14">
        <v>0</v>
      </c>
      <c r="AC328" s="14">
        <v>0</v>
      </c>
      <c r="AD328" s="25">
        <v>0</v>
      </c>
      <c r="AE328" s="25">
        <v>0</v>
      </c>
      <c r="AF328" s="25">
        <v>0</v>
      </c>
      <c r="AG328" s="25">
        <v>0.36</v>
      </c>
      <c r="AH328" s="25">
        <v>0.30864197500000001</v>
      </c>
      <c r="AI328" s="14" t="s">
        <v>1027</v>
      </c>
      <c r="AJ328" s="14" t="s">
        <v>33</v>
      </c>
    </row>
    <row r="329" spans="1:36" x14ac:dyDescent="0.25">
      <c r="A329" s="1">
        <v>267</v>
      </c>
      <c r="B329" s="25" t="s">
        <v>780</v>
      </c>
      <c r="C329" s="25" t="s">
        <v>341</v>
      </c>
      <c r="D329" s="25" t="s">
        <v>21</v>
      </c>
      <c r="E329" s="25" t="s">
        <v>135</v>
      </c>
      <c r="F329" s="25">
        <v>342.51</v>
      </c>
      <c r="G329" s="25">
        <v>24.4</v>
      </c>
      <c r="H329" s="25">
        <v>0</v>
      </c>
      <c r="I329" s="25">
        <v>6</v>
      </c>
      <c r="J329" s="25">
        <v>0</v>
      </c>
      <c r="K329" s="25">
        <v>6</v>
      </c>
      <c r="L329" s="25">
        <v>0</v>
      </c>
      <c r="M329" s="25">
        <v>2</v>
      </c>
      <c r="N329" s="25">
        <v>8</v>
      </c>
      <c r="O329" s="25">
        <v>0</v>
      </c>
      <c r="P329" s="25">
        <v>0</v>
      </c>
      <c r="Q329" s="25">
        <v>0</v>
      </c>
      <c r="R329" s="25">
        <v>0</v>
      </c>
      <c r="S329" s="25">
        <v>0</v>
      </c>
      <c r="T329" s="25">
        <v>0</v>
      </c>
      <c r="U329" s="25">
        <v>1</v>
      </c>
      <c r="V329" s="25">
        <v>0</v>
      </c>
      <c r="W329" s="25">
        <v>12</v>
      </c>
      <c r="X329" s="25">
        <v>0</v>
      </c>
      <c r="Y329" s="25">
        <v>0</v>
      </c>
      <c r="Z329" s="25">
        <v>0</v>
      </c>
      <c r="AA329" s="25">
        <v>0</v>
      </c>
      <c r="AB329" s="25">
        <v>0</v>
      </c>
      <c r="AC329" s="25">
        <v>0</v>
      </c>
      <c r="AD329" s="25">
        <v>0</v>
      </c>
      <c r="AE329" s="25">
        <v>0</v>
      </c>
      <c r="AF329" s="25">
        <v>0</v>
      </c>
      <c r="AG329" s="25">
        <v>0.64529914499999996</v>
      </c>
      <c r="AH329" s="25">
        <v>0.66337148800000001</v>
      </c>
      <c r="AI329" s="25" t="s">
        <v>1033</v>
      </c>
      <c r="AJ329" s="14" t="s">
        <v>33</v>
      </c>
    </row>
    <row r="330" spans="1:36" x14ac:dyDescent="0.25">
      <c r="A330" s="1">
        <v>269</v>
      </c>
      <c r="B330" s="25" t="s">
        <v>614</v>
      </c>
      <c r="C330" s="25" t="s">
        <v>331</v>
      </c>
      <c r="D330" s="25" t="s">
        <v>10</v>
      </c>
      <c r="E330" s="25" t="s">
        <v>102</v>
      </c>
      <c r="F330" s="25">
        <v>130.22999999999999</v>
      </c>
      <c r="G330" s="25">
        <v>25.1</v>
      </c>
      <c r="H330" s="25">
        <v>0</v>
      </c>
      <c r="I330" s="25">
        <v>0</v>
      </c>
      <c r="J330" s="25">
        <v>0</v>
      </c>
      <c r="K330" s="25">
        <v>0</v>
      </c>
      <c r="L330" s="25">
        <v>0</v>
      </c>
      <c r="M330" s="25">
        <v>2</v>
      </c>
      <c r="N330" s="25">
        <v>5</v>
      </c>
      <c r="O330" s="25">
        <v>1</v>
      </c>
      <c r="P330" s="25">
        <v>0</v>
      </c>
      <c r="Q330" s="25">
        <v>0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  <c r="W330" s="25">
        <v>0</v>
      </c>
      <c r="X330" s="25">
        <v>0</v>
      </c>
      <c r="Y330" s="25">
        <v>0</v>
      </c>
      <c r="Z330" s="25">
        <v>0</v>
      </c>
      <c r="AA330" s="25">
        <v>0</v>
      </c>
      <c r="AB330" s="25">
        <v>0</v>
      </c>
      <c r="AC330" s="25">
        <v>1</v>
      </c>
      <c r="AD330" s="25">
        <v>0</v>
      </c>
      <c r="AE330" s="25">
        <v>0</v>
      </c>
      <c r="AF330" s="25">
        <v>0</v>
      </c>
      <c r="AG330" s="25">
        <v>0.38888888900000002</v>
      </c>
      <c r="AH330" s="25">
        <v>0.3984375</v>
      </c>
      <c r="AI330" s="25" t="s">
        <v>1023</v>
      </c>
      <c r="AJ330" s="14" t="s">
        <v>33</v>
      </c>
    </row>
    <row r="331" spans="1:36" x14ac:dyDescent="0.25">
      <c r="A331" s="1">
        <v>270</v>
      </c>
      <c r="B331" s="14" t="s">
        <v>1267</v>
      </c>
      <c r="C331" s="14" t="s">
        <v>1255</v>
      </c>
      <c r="D331" s="14" t="s">
        <v>10</v>
      </c>
      <c r="E331" s="29" t="s">
        <v>102</v>
      </c>
      <c r="F331" s="14">
        <v>130.2282257</v>
      </c>
      <c r="G331" s="14">
        <v>25.1</v>
      </c>
      <c r="H331" s="14">
        <v>0</v>
      </c>
      <c r="I331" s="14">
        <v>0</v>
      </c>
      <c r="J331" s="14">
        <v>0</v>
      </c>
      <c r="K331" s="14">
        <v>0</v>
      </c>
      <c r="L331" s="14">
        <v>0</v>
      </c>
      <c r="M331" s="14">
        <v>2</v>
      </c>
      <c r="N331" s="14">
        <v>5</v>
      </c>
      <c r="O331" s="14">
        <v>1</v>
      </c>
      <c r="P331" s="14">
        <v>0</v>
      </c>
      <c r="Q331" s="14">
        <v>0</v>
      </c>
      <c r="R331" s="14">
        <v>0</v>
      </c>
      <c r="S331" s="14">
        <v>0</v>
      </c>
      <c r="T331" s="14">
        <v>0</v>
      </c>
      <c r="U331" s="14">
        <v>0</v>
      </c>
      <c r="V331" s="14">
        <v>1</v>
      </c>
      <c r="W331" s="14">
        <v>0</v>
      </c>
      <c r="X331" s="14">
        <v>0</v>
      </c>
      <c r="Y331" s="14">
        <v>0</v>
      </c>
      <c r="Z331" s="14">
        <v>0</v>
      </c>
      <c r="AA331" s="14">
        <v>0</v>
      </c>
      <c r="AB331" s="14">
        <v>0</v>
      </c>
      <c r="AC331" s="14">
        <v>1</v>
      </c>
      <c r="AD331" s="25">
        <v>0</v>
      </c>
      <c r="AE331" s="25">
        <v>0</v>
      </c>
      <c r="AF331" s="25">
        <v>0</v>
      </c>
      <c r="AG331" s="25">
        <v>0.38888888900000002</v>
      </c>
      <c r="AH331" s="25">
        <v>0.3984375</v>
      </c>
      <c r="AI331" s="14" t="s">
        <v>1306</v>
      </c>
      <c r="AJ331" s="14" t="s">
        <v>33</v>
      </c>
    </row>
    <row r="332" spans="1:36" x14ac:dyDescent="0.25">
      <c r="A332" s="1">
        <v>272</v>
      </c>
      <c r="B332" s="14" t="s">
        <v>579</v>
      </c>
      <c r="C332" s="14" t="s">
        <v>512</v>
      </c>
      <c r="D332" s="14" t="s">
        <v>16</v>
      </c>
      <c r="E332" s="29" t="s">
        <v>183</v>
      </c>
      <c r="F332" s="14">
        <v>210.4</v>
      </c>
      <c r="G332" s="14">
        <v>25.3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6</v>
      </c>
      <c r="N332" s="14">
        <v>0</v>
      </c>
      <c r="O332" s="14">
        <v>0</v>
      </c>
      <c r="P332" s="14">
        <v>0</v>
      </c>
      <c r="Q332" s="14">
        <v>0</v>
      </c>
      <c r="R332" s="14">
        <v>0</v>
      </c>
      <c r="S332" s="14">
        <v>0</v>
      </c>
      <c r="T332" s="14">
        <v>0</v>
      </c>
      <c r="U332" s="14">
        <v>0</v>
      </c>
      <c r="V332" s="14">
        <v>3</v>
      </c>
      <c r="W332" s="14">
        <v>0</v>
      </c>
      <c r="X332" s="14">
        <v>0</v>
      </c>
      <c r="Y332" s="14">
        <v>0</v>
      </c>
      <c r="Z332" s="14">
        <v>3</v>
      </c>
      <c r="AA332" s="14">
        <v>3</v>
      </c>
      <c r="AB332" s="14">
        <v>0</v>
      </c>
      <c r="AC332" s="14">
        <v>0</v>
      </c>
      <c r="AD332" s="25">
        <v>0</v>
      </c>
      <c r="AE332" s="25">
        <v>0</v>
      </c>
      <c r="AF332" s="25">
        <v>0</v>
      </c>
      <c r="AG332" s="25">
        <v>0.52551984900000004</v>
      </c>
      <c r="AH332" s="25">
        <v>0.46666666699999998</v>
      </c>
      <c r="AI332" s="14" t="s">
        <v>2043</v>
      </c>
      <c r="AJ332" s="14" t="s">
        <v>33</v>
      </c>
    </row>
    <row r="333" spans="1:36" x14ac:dyDescent="0.25">
      <c r="A333" s="1">
        <v>273</v>
      </c>
      <c r="B333" s="14" t="s">
        <v>1709</v>
      </c>
      <c r="C333" s="14" t="s">
        <v>1442</v>
      </c>
      <c r="D333" s="14" t="s">
        <v>10</v>
      </c>
      <c r="E333" s="29" t="s">
        <v>1710</v>
      </c>
      <c r="F333" s="14">
        <v>156.26</v>
      </c>
      <c r="G333" s="14">
        <v>25.6</v>
      </c>
      <c r="H333" s="14">
        <v>0</v>
      </c>
      <c r="I333" s="14">
        <v>1</v>
      </c>
      <c r="J333" s="14">
        <v>0</v>
      </c>
      <c r="K333" s="14">
        <v>1</v>
      </c>
      <c r="L333" s="14">
        <v>0</v>
      </c>
      <c r="M333" s="14">
        <v>3</v>
      </c>
      <c r="N333" s="14">
        <v>4</v>
      </c>
      <c r="O333" s="14">
        <v>1</v>
      </c>
      <c r="P333" s="14">
        <v>0</v>
      </c>
      <c r="Q333" s="14">
        <v>0</v>
      </c>
      <c r="R333" s="14">
        <v>0</v>
      </c>
      <c r="S333" s="14">
        <v>0</v>
      </c>
      <c r="T333" s="14">
        <v>0</v>
      </c>
      <c r="U333" s="14">
        <v>0</v>
      </c>
      <c r="V333" s="14">
        <v>1</v>
      </c>
      <c r="W333" s="14">
        <v>1</v>
      </c>
      <c r="X333" s="14">
        <v>0</v>
      </c>
      <c r="Y333" s="14">
        <v>0</v>
      </c>
      <c r="Z333" s="14">
        <v>0</v>
      </c>
      <c r="AA333" s="14">
        <v>0</v>
      </c>
      <c r="AB333" s="14">
        <v>1</v>
      </c>
      <c r="AC333" s="14">
        <v>0</v>
      </c>
      <c r="AD333" s="25">
        <v>0</v>
      </c>
      <c r="AE333" s="25">
        <v>0</v>
      </c>
      <c r="AF333" s="25">
        <v>0</v>
      </c>
      <c r="AG333" s="25">
        <v>0.456632653</v>
      </c>
      <c r="AH333" s="25">
        <v>0.46694214899999997</v>
      </c>
      <c r="AI333" s="14" t="s">
        <v>1571</v>
      </c>
      <c r="AJ333" s="14" t="s">
        <v>33</v>
      </c>
    </row>
    <row r="334" spans="1:36" x14ac:dyDescent="0.25">
      <c r="A334" s="1">
        <v>274</v>
      </c>
      <c r="B334" s="14" t="s">
        <v>605</v>
      </c>
      <c r="C334" s="14" t="s">
        <v>312</v>
      </c>
      <c r="D334" s="14" t="s">
        <v>21</v>
      </c>
      <c r="E334" s="29" t="s">
        <v>117</v>
      </c>
      <c r="F334" s="14">
        <v>156.26</v>
      </c>
      <c r="G334" s="14">
        <v>25.6</v>
      </c>
      <c r="H334" s="14">
        <v>0</v>
      </c>
      <c r="I334" s="14">
        <v>1</v>
      </c>
      <c r="J334" s="14">
        <v>0</v>
      </c>
      <c r="K334" s="14">
        <v>1</v>
      </c>
      <c r="L334" s="14">
        <v>0</v>
      </c>
      <c r="M334" s="14">
        <v>3</v>
      </c>
      <c r="N334" s="14">
        <v>4</v>
      </c>
      <c r="O334" s="14">
        <v>1</v>
      </c>
      <c r="P334" s="14">
        <v>0</v>
      </c>
      <c r="Q334" s="14">
        <v>0</v>
      </c>
      <c r="R334" s="14">
        <v>0</v>
      </c>
      <c r="S334" s="14">
        <v>0</v>
      </c>
      <c r="T334" s="14">
        <v>0</v>
      </c>
      <c r="U334" s="14">
        <v>0</v>
      </c>
      <c r="V334" s="14">
        <v>1</v>
      </c>
      <c r="W334" s="14">
        <v>1</v>
      </c>
      <c r="X334" s="14">
        <v>0</v>
      </c>
      <c r="Y334" s="14">
        <v>0</v>
      </c>
      <c r="Z334" s="14">
        <v>0</v>
      </c>
      <c r="AA334" s="14">
        <v>0</v>
      </c>
      <c r="AB334" s="14">
        <v>1</v>
      </c>
      <c r="AC334" s="14">
        <v>0</v>
      </c>
      <c r="AD334" s="25">
        <v>0</v>
      </c>
      <c r="AE334" s="25">
        <v>0</v>
      </c>
      <c r="AF334" s="25">
        <v>0</v>
      </c>
      <c r="AG334" s="25">
        <v>0.45486111099999998</v>
      </c>
      <c r="AH334" s="25">
        <v>0.46694214899999997</v>
      </c>
      <c r="AI334" s="14" t="s">
        <v>1003</v>
      </c>
      <c r="AJ334" s="14" t="s">
        <v>33</v>
      </c>
    </row>
    <row r="335" spans="1:36" x14ac:dyDescent="0.25">
      <c r="A335" s="1">
        <v>276</v>
      </c>
      <c r="B335" s="25" t="s">
        <v>1609</v>
      </c>
      <c r="C335" s="25" t="s">
        <v>1388</v>
      </c>
      <c r="D335" s="25" t="s">
        <v>16</v>
      </c>
      <c r="E335" s="25" t="s">
        <v>1610</v>
      </c>
      <c r="F335" s="25">
        <v>108.176</v>
      </c>
      <c r="G335" s="25">
        <v>25.7</v>
      </c>
      <c r="H335" s="25">
        <v>0</v>
      </c>
      <c r="I335" s="25">
        <v>2</v>
      </c>
      <c r="J335" s="25">
        <v>0</v>
      </c>
      <c r="K335" s="25">
        <v>2</v>
      </c>
      <c r="L335" s="25">
        <v>0</v>
      </c>
      <c r="M335" s="25">
        <v>0</v>
      </c>
      <c r="N335" s="25">
        <v>0</v>
      </c>
      <c r="O335" s="25">
        <v>0</v>
      </c>
      <c r="P335" s="25">
        <v>0</v>
      </c>
      <c r="Q335" s="25">
        <v>0</v>
      </c>
      <c r="R335" s="25">
        <v>0</v>
      </c>
      <c r="S335" s="25">
        <v>0</v>
      </c>
      <c r="T335" s="25">
        <v>0</v>
      </c>
      <c r="U335" s="25">
        <v>0</v>
      </c>
      <c r="V335" s="25">
        <v>0</v>
      </c>
      <c r="W335" s="25">
        <v>0</v>
      </c>
      <c r="X335" s="25">
        <v>4</v>
      </c>
      <c r="Y335" s="25">
        <v>0</v>
      </c>
      <c r="Z335" s="25">
        <v>0</v>
      </c>
      <c r="AA335" s="25">
        <v>4</v>
      </c>
      <c r="AB335" s="25">
        <v>0</v>
      </c>
      <c r="AC335" s="25">
        <v>0</v>
      </c>
      <c r="AD335" s="25">
        <v>0</v>
      </c>
      <c r="AE335" s="25">
        <v>0</v>
      </c>
      <c r="AF335" s="25">
        <v>0</v>
      </c>
      <c r="AG335" s="25">
        <v>0.34</v>
      </c>
      <c r="AH335" s="25">
        <v>0.34</v>
      </c>
      <c r="AI335" s="25" t="s">
        <v>1571</v>
      </c>
      <c r="AJ335" s="14" t="s">
        <v>33</v>
      </c>
    </row>
    <row r="336" spans="1:36" x14ac:dyDescent="0.25">
      <c r="A336" s="1">
        <v>277</v>
      </c>
      <c r="B336" s="25" t="s">
        <v>1841</v>
      </c>
      <c r="C336" s="25" t="s">
        <v>1505</v>
      </c>
      <c r="D336" s="25" t="s">
        <v>18</v>
      </c>
      <c r="E336" s="25" t="s">
        <v>1842</v>
      </c>
      <c r="F336" s="25">
        <v>136.14400000000001</v>
      </c>
      <c r="G336" s="25">
        <v>25.8</v>
      </c>
      <c r="H336" s="25">
        <v>6</v>
      </c>
      <c r="I336" s="25">
        <v>0</v>
      </c>
      <c r="J336" s="25">
        <v>6</v>
      </c>
      <c r="K336" s="25">
        <v>3</v>
      </c>
      <c r="L336" s="25">
        <v>0</v>
      </c>
      <c r="M336" s="25">
        <v>1</v>
      </c>
      <c r="N336" s="25">
        <v>0</v>
      </c>
      <c r="O336" s="25">
        <v>0</v>
      </c>
      <c r="P336" s="25">
        <v>1</v>
      </c>
      <c r="Q336" s="25">
        <v>0</v>
      </c>
      <c r="R336" s="25">
        <v>0</v>
      </c>
      <c r="S336" s="25">
        <v>0</v>
      </c>
      <c r="T336" s="25">
        <v>1</v>
      </c>
      <c r="U336" s="25">
        <v>0</v>
      </c>
      <c r="V336" s="25">
        <v>0</v>
      </c>
      <c r="W336" s="25">
        <v>0</v>
      </c>
      <c r="X336" s="25">
        <v>4</v>
      </c>
      <c r="Y336" s="25">
        <v>0</v>
      </c>
      <c r="Z336" s="25">
        <v>0</v>
      </c>
      <c r="AA336" s="25">
        <v>0</v>
      </c>
      <c r="AB336" s="25">
        <v>0</v>
      </c>
      <c r="AC336" s="25">
        <v>0</v>
      </c>
      <c r="AD336" s="25">
        <v>0</v>
      </c>
      <c r="AE336" s="25">
        <v>0</v>
      </c>
      <c r="AF336" s="25">
        <v>0</v>
      </c>
      <c r="AG336" s="25">
        <v>0.446428571</v>
      </c>
      <c r="AH336" s="25">
        <v>0.33928571400000002</v>
      </c>
      <c r="AI336" s="25" t="s">
        <v>1571</v>
      </c>
      <c r="AJ336" s="14" t="s">
        <v>33</v>
      </c>
    </row>
    <row r="337" spans="1:36" x14ac:dyDescent="0.25">
      <c r="A337" s="1">
        <v>278</v>
      </c>
      <c r="B337" s="14" t="s">
        <v>782</v>
      </c>
      <c r="C337" s="14" t="s">
        <v>342</v>
      </c>
      <c r="D337" s="14" t="s">
        <v>21</v>
      </c>
      <c r="E337" s="29" t="s">
        <v>136</v>
      </c>
      <c r="F337" s="14">
        <v>136.15</v>
      </c>
      <c r="G337" s="14">
        <v>25.8</v>
      </c>
      <c r="H337" s="14">
        <v>6</v>
      </c>
      <c r="I337" s="14">
        <v>0</v>
      </c>
      <c r="J337" s="14">
        <v>6</v>
      </c>
      <c r="K337" s="14">
        <v>3</v>
      </c>
      <c r="L337" s="14">
        <v>0</v>
      </c>
      <c r="M337" s="14">
        <v>1</v>
      </c>
      <c r="N337" s="14">
        <v>0</v>
      </c>
      <c r="O337" s="14">
        <v>0</v>
      </c>
      <c r="P337" s="14">
        <v>1</v>
      </c>
      <c r="Q337" s="14">
        <v>0</v>
      </c>
      <c r="R337" s="14">
        <v>0</v>
      </c>
      <c r="S337" s="14">
        <v>0</v>
      </c>
      <c r="T337" s="14">
        <v>1</v>
      </c>
      <c r="U337" s="14">
        <v>0</v>
      </c>
      <c r="V337" s="14">
        <v>0</v>
      </c>
      <c r="W337" s="14">
        <v>0</v>
      </c>
      <c r="X337" s="14">
        <v>4</v>
      </c>
      <c r="Y337" s="14">
        <v>0</v>
      </c>
      <c r="Z337" s="14">
        <v>0</v>
      </c>
      <c r="AA337" s="14">
        <v>0</v>
      </c>
      <c r="AB337" s="14">
        <v>0</v>
      </c>
      <c r="AC337" s="14">
        <v>0</v>
      </c>
      <c r="AD337" s="25">
        <v>0</v>
      </c>
      <c r="AE337" s="25">
        <v>0</v>
      </c>
      <c r="AF337" s="25">
        <v>0</v>
      </c>
      <c r="AG337" s="25">
        <v>0.32699167699999998</v>
      </c>
      <c r="AH337" s="25">
        <v>0.33928571400000002</v>
      </c>
      <c r="AI337" s="14" t="s">
        <v>1034</v>
      </c>
      <c r="AJ337" s="14" t="s">
        <v>33</v>
      </c>
    </row>
    <row r="338" spans="1:36" x14ac:dyDescent="0.25">
      <c r="A338" s="1">
        <v>279</v>
      </c>
      <c r="B338" s="14" t="s">
        <v>904</v>
      </c>
      <c r="C338" s="14" t="s">
        <v>392</v>
      </c>
      <c r="D338" s="14" t="s">
        <v>12</v>
      </c>
      <c r="E338" s="29" t="s">
        <v>164</v>
      </c>
      <c r="F338" s="14">
        <v>250.46</v>
      </c>
      <c r="G338" s="14">
        <v>26</v>
      </c>
      <c r="H338" s="14">
        <v>0</v>
      </c>
      <c r="I338" s="14">
        <v>2</v>
      </c>
      <c r="J338" s="14">
        <v>0</v>
      </c>
      <c r="K338" s="14">
        <v>2</v>
      </c>
      <c r="L338" s="14">
        <v>0</v>
      </c>
      <c r="M338" s="14">
        <v>4</v>
      </c>
      <c r="N338" s="14">
        <v>10</v>
      </c>
      <c r="O338" s="14">
        <v>0</v>
      </c>
      <c r="P338" s="14">
        <v>0</v>
      </c>
      <c r="Q338" s="14">
        <v>0</v>
      </c>
      <c r="R338" s="14">
        <v>0</v>
      </c>
      <c r="S338" s="14">
        <v>0</v>
      </c>
      <c r="T338" s="14">
        <v>0</v>
      </c>
      <c r="U338" s="14">
        <v>0</v>
      </c>
      <c r="V338" s="14">
        <v>0</v>
      </c>
      <c r="W338" s="14">
        <v>2</v>
      </c>
      <c r="X338" s="14">
        <v>0</v>
      </c>
      <c r="Y338" s="14">
        <v>0</v>
      </c>
      <c r="Z338" s="14">
        <v>0</v>
      </c>
      <c r="AA338" s="14">
        <v>0</v>
      </c>
      <c r="AB338" s="14">
        <v>0</v>
      </c>
      <c r="AC338" s="14">
        <v>0</v>
      </c>
      <c r="AD338" s="25">
        <v>0</v>
      </c>
      <c r="AE338" s="25">
        <v>0</v>
      </c>
      <c r="AF338" s="25">
        <v>0</v>
      </c>
      <c r="AG338" s="25">
        <v>0.53628117900000005</v>
      </c>
      <c r="AH338" s="25">
        <v>0.56094182800000003</v>
      </c>
      <c r="AI338" s="14" t="s">
        <v>1089</v>
      </c>
      <c r="AJ338" s="14" t="s">
        <v>33</v>
      </c>
    </row>
    <row r="339" spans="1:36" x14ac:dyDescent="0.25">
      <c r="A339" s="1">
        <v>281</v>
      </c>
      <c r="B339" s="14" t="s">
        <v>671</v>
      </c>
      <c r="C339" s="14" t="s">
        <v>491</v>
      </c>
      <c r="D339" s="14" t="s">
        <v>13</v>
      </c>
      <c r="E339" s="29" t="s">
        <v>147</v>
      </c>
      <c r="F339" s="14">
        <v>162.27000000000001</v>
      </c>
      <c r="G339" s="14">
        <v>26</v>
      </c>
      <c r="H339" s="14">
        <v>6</v>
      </c>
      <c r="I339" s="14">
        <v>0</v>
      </c>
      <c r="J339" s="14">
        <v>6</v>
      </c>
      <c r="K339" s="14">
        <v>3</v>
      </c>
      <c r="L339" s="14">
        <v>0</v>
      </c>
      <c r="M339" s="14">
        <v>1</v>
      </c>
      <c r="N339" s="14">
        <v>5</v>
      </c>
      <c r="O339" s="14">
        <v>0</v>
      </c>
      <c r="P339" s="14">
        <v>0</v>
      </c>
      <c r="Q339" s="14">
        <v>0</v>
      </c>
      <c r="R339" s="14">
        <v>0</v>
      </c>
      <c r="S339" s="14">
        <v>0</v>
      </c>
      <c r="T339" s="14">
        <v>0</v>
      </c>
      <c r="U339" s="14">
        <v>0</v>
      </c>
      <c r="V339" s="14">
        <v>0</v>
      </c>
      <c r="W339" s="14">
        <v>0</v>
      </c>
      <c r="X339" s="14">
        <v>5</v>
      </c>
      <c r="Y339" s="14">
        <v>0</v>
      </c>
      <c r="Z339" s="14">
        <v>0</v>
      </c>
      <c r="AA339" s="14">
        <v>0</v>
      </c>
      <c r="AB339" s="14">
        <v>0</v>
      </c>
      <c r="AC339" s="14">
        <v>0</v>
      </c>
      <c r="AD339" s="25">
        <v>0</v>
      </c>
      <c r="AE339" s="25">
        <v>0</v>
      </c>
      <c r="AF339" s="25">
        <v>0</v>
      </c>
      <c r="AG339" s="25">
        <v>0.39429012299999999</v>
      </c>
      <c r="AH339" s="25">
        <v>0.39777777800000003</v>
      </c>
      <c r="AI339" s="14" t="s">
        <v>1186</v>
      </c>
      <c r="AJ339" s="14" t="s">
        <v>33</v>
      </c>
    </row>
    <row r="340" spans="1:36" x14ac:dyDescent="0.25">
      <c r="A340" s="1">
        <v>282</v>
      </c>
      <c r="B340" s="14" t="s">
        <v>1735</v>
      </c>
      <c r="C340" s="14" t="s">
        <v>1455</v>
      </c>
      <c r="D340" s="14" t="s">
        <v>1932</v>
      </c>
      <c r="E340" s="29" t="s">
        <v>1736</v>
      </c>
      <c r="F340" s="14">
        <v>154.16</v>
      </c>
      <c r="G340" s="14">
        <v>26</v>
      </c>
      <c r="H340" s="14">
        <v>6</v>
      </c>
      <c r="I340" s="14">
        <v>0</v>
      </c>
      <c r="J340" s="14">
        <v>6</v>
      </c>
      <c r="K340" s="14">
        <v>3</v>
      </c>
      <c r="L340" s="14">
        <v>0</v>
      </c>
      <c r="M340" s="14">
        <v>2</v>
      </c>
      <c r="N340" s="14">
        <v>0</v>
      </c>
      <c r="O340" s="14">
        <v>1</v>
      </c>
      <c r="P340" s="14">
        <v>2</v>
      </c>
      <c r="Q340" s="14">
        <v>0</v>
      </c>
      <c r="R340" s="14">
        <v>0</v>
      </c>
      <c r="S340" s="14">
        <v>0</v>
      </c>
      <c r="T340" s="14">
        <v>0</v>
      </c>
      <c r="U340" s="14">
        <v>0</v>
      </c>
      <c r="V340" s="14">
        <v>0</v>
      </c>
      <c r="W340" s="14">
        <v>0</v>
      </c>
      <c r="X340" s="14">
        <v>3</v>
      </c>
      <c r="Y340" s="14">
        <v>0</v>
      </c>
      <c r="Z340" s="14">
        <v>0</v>
      </c>
      <c r="AA340" s="14">
        <v>0</v>
      </c>
      <c r="AB340" s="14">
        <v>0</v>
      </c>
      <c r="AC340" s="14">
        <v>0</v>
      </c>
      <c r="AD340" s="25">
        <v>0</v>
      </c>
      <c r="AE340" s="25">
        <v>1</v>
      </c>
      <c r="AF340" s="25">
        <v>0</v>
      </c>
      <c r="AG340" s="25">
        <v>0.428571429</v>
      </c>
      <c r="AH340" s="25">
        <v>0.32908163299999998</v>
      </c>
      <c r="AI340" s="14" t="s">
        <v>1571</v>
      </c>
      <c r="AJ340" s="14" t="s">
        <v>33</v>
      </c>
    </row>
    <row r="341" spans="1:36" x14ac:dyDescent="0.25">
      <c r="A341" s="1">
        <v>284</v>
      </c>
      <c r="B341" s="25" t="s">
        <v>608</v>
      </c>
      <c r="C341" s="25" t="s">
        <v>244</v>
      </c>
      <c r="D341" s="25" t="s">
        <v>21</v>
      </c>
      <c r="E341" s="25" t="s">
        <v>52</v>
      </c>
      <c r="F341" s="25">
        <v>306.48</v>
      </c>
      <c r="G341" s="25">
        <v>26.7</v>
      </c>
      <c r="H341" s="25">
        <v>0</v>
      </c>
      <c r="I341" s="25">
        <v>3</v>
      </c>
      <c r="J341" s="25">
        <v>0</v>
      </c>
      <c r="K341" s="25">
        <v>3</v>
      </c>
      <c r="L341" s="25">
        <v>0</v>
      </c>
      <c r="M341" s="25">
        <v>2</v>
      </c>
      <c r="N341" s="25">
        <v>11</v>
      </c>
      <c r="O341" s="25">
        <v>0</v>
      </c>
      <c r="P341" s="25">
        <v>0</v>
      </c>
      <c r="Q341" s="25">
        <v>0</v>
      </c>
      <c r="R341" s="25">
        <v>0</v>
      </c>
      <c r="S341" s="25">
        <v>0</v>
      </c>
      <c r="T341" s="25">
        <v>0</v>
      </c>
      <c r="U341" s="25">
        <v>1</v>
      </c>
      <c r="V341" s="25">
        <v>0</v>
      </c>
      <c r="W341" s="25">
        <v>6</v>
      </c>
      <c r="X341" s="25">
        <v>0</v>
      </c>
      <c r="Y341" s="25">
        <v>0</v>
      </c>
      <c r="Z341" s="25">
        <v>0</v>
      </c>
      <c r="AA341" s="25">
        <v>0</v>
      </c>
      <c r="AB341" s="25">
        <v>0</v>
      </c>
      <c r="AC341" s="25">
        <v>0</v>
      </c>
      <c r="AD341" s="25">
        <v>0</v>
      </c>
      <c r="AE341" s="25">
        <v>0</v>
      </c>
      <c r="AF341" s="25">
        <v>0</v>
      </c>
      <c r="AG341" s="25">
        <v>0.61020710099999997</v>
      </c>
      <c r="AH341" s="25">
        <v>0.63439999999999996</v>
      </c>
      <c r="AI341" s="25" t="s">
        <v>927</v>
      </c>
      <c r="AJ341" s="14" t="s">
        <v>33</v>
      </c>
    </row>
    <row r="342" spans="1:36" x14ac:dyDescent="0.25">
      <c r="A342" s="1">
        <v>286</v>
      </c>
      <c r="B342" s="14" t="s">
        <v>598</v>
      </c>
      <c r="C342" s="14" t="s">
        <v>242</v>
      </c>
      <c r="D342" s="14" t="s">
        <v>21</v>
      </c>
      <c r="E342" s="29" t="s">
        <v>50</v>
      </c>
      <c r="F342" s="14">
        <v>320.50900000000001</v>
      </c>
      <c r="G342" s="14">
        <v>26.8</v>
      </c>
      <c r="H342" s="14">
        <v>0</v>
      </c>
      <c r="I342" s="14">
        <v>3</v>
      </c>
      <c r="J342" s="14">
        <v>0</v>
      </c>
      <c r="K342" s="14">
        <v>3</v>
      </c>
      <c r="L342" s="14">
        <v>0</v>
      </c>
      <c r="M342" s="14">
        <v>2</v>
      </c>
      <c r="N342" s="14">
        <v>12</v>
      </c>
      <c r="O342" s="14">
        <v>0</v>
      </c>
      <c r="P342" s="14">
        <v>0</v>
      </c>
      <c r="Q342" s="14">
        <v>0</v>
      </c>
      <c r="R342" s="14">
        <v>0</v>
      </c>
      <c r="S342" s="14">
        <v>0</v>
      </c>
      <c r="T342" s="14">
        <v>0</v>
      </c>
      <c r="U342" s="14">
        <v>1</v>
      </c>
      <c r="V342" s="14">
        <v>0</v>
      </c>
      <c r="W342" s="14">
        <v>6</v>
      </c>
      <c r="X342" s="14">
        <v>0</v>
      </c>
      <c r="Y342" s="14">
        <v>0</v>
      </c>
      <c r="Z342" s="14">
        <v>0</v>
      </c>
      <c r="AA342" s="14">
        <v>0</v>
      </c>
      <c r="AB342" s="14">
        <v>0</v>
      </c>
      <c r="AC342" s="14">
        <v>0</v>
      </c>
      <c r="AD342" s="25">
        <v>0</v>
      </c>
      <c r="AE342" s="25">
        <v>0</v>
      </c>
      <c r="AF342" s="25">
        <v>0</v>
      </c>
      <c r="AG342" s="25">
        <v>0.603954082</v>
      </c>
      <c r="AH342" s="25">
        <v>0.638313609</v>
      </c>
      <c r="AI342" s="14" t="s">
        <v>925</v>
      </c>
      <c r="AJ342" s="14" t="s">
        <v>33</v>
      </c>
    </row>
    <row r="343" spans="1:36" x14ac:dyDescent="0.25">
      <c r="A343" s="1">
        <v>287</v>
      </c>
      <c r="B343" s="14" t="s">
        <v>1585</v>
      </c>
      <c r="C343" s="14" t="s">
        <v>1377</v>
      </c>
      <c r="D343" s="14" t="s">
        <v>19</v>
      </c>
      <c r="E343" s="29" t="s">
        <v>90</v>
      </c>
      <c r="F343" s="14">
        <v>114.224</v>
      </c>
      <c r="G343" s="14">
        <v>26.9</v>
      </c>
      <c r="H343" s="14">
        <v>0</v>
      </c>
      <c r="I343" s="14">
        <v>0</v>
      </c>
      <c r="J343" s="14">
        <v>0</v>
      </c>
      <c r="K343" s="14">
        <v>0</v>
      </c>
      <c r="L343" s="14">
        <v>0</v>
      </c>
      <c r="M343" s="14">
        <v>3</v>
      </c>
      <c r="N343" s="14">
        <v>4</v>
      </c>
      <c r="O343" s="14">
        <v>0</v>
      </c>
      <c r="P343" s="14">
        <v>0</v>
      </c>
      <c r="Q343" s="14">
        <v>0</v>
      </c>
      <c r="R343" s="14">
        <v>0</v>
      </c>
      <c r="S343" s="14">
        <v>0</v>
      </c>
      <c r="T343" s="14">
        <v>0</v>
      </c>
      <c r="U343" s="14">
        <v>0</v>
      </c>
      <c r="V343" s="14">
        <v>1</v>
      </c>
      <c r="W343" s="14">
        <v>0</v>
      </c>
      <c r="X343" s="14">
        <v>0</v>
      </c>
      <c r="Y343" s="14">
        <v>0</v>
      </c>
      <c r="Z343" s="14">
        <v>0</v>
      </c>
      <c r="AA343" s="14">
        <v>0</v>
      </c>
      <c r="AB343" s="14">
        <v>0</v>
      </c>
      <c r="AC343" s="14">
        <v>0</v>
      </c>
      <c r="AD343" s="25">
        <v>0</v>
      </c>
      <c r="AE343" s="25">
        <v>0</v>
      </c>
      <c r="AF343" s="25">
        <v>0</v>
      </c>
      <c r="AG343" s="25">
        <v>0.37755102000000001</v>
      </c>
      <c r="AH343" s="25">
        <v>0.37755102000000001</v>
      </c>
      <c r="AI343" s="14" t="s">
        <v>1571</v>
      </c>
      <c r="AJ343" s="14" t="s">
        <v>33</v>
      </c>
    </row>
    <row r="344" spans="1:36" x14ac:dyDescent="0.25">
      <c r="A344" s="1">
        <v>288</v>
      </c>
      <c r="B344" s="14" t="s">
        <v>634</v>
      </c>
      <c r="C344" s="14" t="s">
        <v>496</v>
      </c>
      <c r="D344" s="14" t="s">
        <v>12</v>
      </c>
      <c r="E344" s="29" t="s">
        <v>67</v>
      </c>
      <c r="F344" s="14">
        <v>84.16</v>
      </c>
      <c r="G344" s="14">
        <v>27</v>
      </c>
      <c r="H344" s="14">
        <v>0</v>
      </c>
      <c r="I344" s="14">
        <v>1</v>
      </c>
      <c r="J344" s="14">
        <v>0</v>
      </c>
      <c r="K344" s="14">
        <v>1</v>
      </c>
      <c r="L344" s="14">
        <v>0</v>
      </c>
      <c r="M344" s="14">
        <v>1</v>
      </c>
      <c r="N344" s="14">
        <v>3</v>
      </c>
      <c r="O344" s="14">
        <v>0</v>
      </c>
      <c r="P344" s="14">
        <v>0</v>
      </c>
      <c r="Q344" s="14">
        <v>0</v>
      </c>
      <c r="R344" s="14">
        <v>0</v>
      </c>
      <c r="S344" s="14">
        <v>0</v>
      </c>
      <c r="T344" s="14">
        <v>0</v>
      </c>
      <c r="U344" s="14">
        <v>0</v>
      </c>
      <c r="V344" s="14">
        <v>0</v>
      </c>
      <c r="W344" s="14">
        <v>1</v>
      </c>
      <c r="X344" s="14">
        <v>0</v>
      </c>
      <c r="Y344" s="14">
        <v>1</v>
      </c>
      <c r="Z344" s="14">
        <v>0</v>
      </c>
      <c r="AA344" s="14">
        <v>0</v>
      </c>
      <c r="AB344" s="14">
        <v>0</v>
      </c>
      <c r="AC344" s="14">
        <v>0</v>
      </c>
      <c r="AD344" s="25">
        <v>0</v>
      </c>
      <c r="AE344" s="25">
        <v>0</v>
      </c>
      <c r="AF344" s="25">
        <v>0</v>
      </c>
      <c r="AG344" s="25">
        <v>0.31944444399999999</v>
      </c>
      <c r="AH344" s="25">
        <v>0.31944444399999999</v>
      </c>
      <c r="AI344" s="14" t="s">
        <v>1190</v>
      </c>
      <c r="AJ344" s="14" t="s">
        <v>33</v>
      </c>
    </row>
    <row r="345" spans="1:36" x14ac:dyDescent="0.25">
      <c r="A345" s="1">
        <v>289</v>
      </c>
      <c r="B345" s="25" t="s">
        <v>1607</v>
      </c>
      <c r="C345" s="25" t="s">
        <v>2044</v>
      </c>
      <c r="D345" s="25" t="s">
        <v>16</v>
      </c>
      <c r="E345" s="25" t="s">
        <v>167</v>
      </c>
      <c r="F345" s="25">
        <v>98.182000000000002</v>
      </c>
      <c r="G345" s="25">
        <v>27</v>
      </c>
      <c r="H345" s="25">
        <v>0</v>
      </c>
      <c r="I345" s="25">
        <v>0</v>
      </c>
      <c r="J345" s="25">
        <v>0</v>
      </c>
      <c r="K345" s="25">
        <v>0</v>
      </c>
      <c r="L345" s="25">
        <v>0</v>
      </c>
      <c r="M345" s="25">
        <v>2</v>
      </c>
      <c r="N345" s="25">
        <v>0</v>
      </c>
      <c r="O345" s="25">
        <v>0</v>
      </c>
      <c r="P345" s="25">
        <v>0</v>
      </c>
      <c r="Q345" s="25">
        <v>0</v>
      </c>
      <c r="R345" s="25">
        <v>0</v>
      </c>
      <c r="S345" s="25">
        <v>0</v>
      </c>
      <c r="T345" s="25">
        <v>0</v>
      </c>
      <c r="U345" s="25">
        <v>0</v>
      </c>
      <c r="V345" s="25">
        <v>0</v>
      </c>
      <c r="W345" s="25">
        <v>0</v>
      </c>
      <c r="X345" s="25">
        <v>0</v>
      </c>
      <c r="Y345" s="25">
        <v>0</v>
      </c>
      <c r="Z345" s="25">
        <v>2</v>
      </c>
      <c r="AA345" s="25">
        <v>3</v>
      </c>
      <c r="AB345" s="25">
        <v>0</v>
      </c>
      <c r="AC345" s="25">
        <v>0</v>
      </c>
      <c r="AD345" s="25">
        <v>0</v>
      </c>
      <c r="AE345" s="25">
        <v>0</v>
      </c>
      <c r="AF345" s="25">
        <v>0</v>
      </c>
      <c r="AG345" s="25">
        <v>0.22448979599999999</v>
      </c>
      <c r="AH345" s="25">
        <v>0.22448979599999999</v>
      </c>
      <c r="AI345" s="25" t="s">
        <v>1571</v>
      </c>
      <c r="AJ345" s="14" t="s">
        <v>33</v>
      </c>
    </row>
    <row r="346" spans="1:36" x14ac:dyDescent="0.25">
      <c r="A346" s="1">
        <v>290</v>
      </c>
      <c r="B346" s="14" t="s">
        <v>1632</v>
      </c>
      <c r="C346" s="14" t="s">
        <v>1397</v>
      </c>
      <c r="D346" s="14" t="s">
        <v>16</v>
      </c>
      <c r="E346" s="29" t="s">
        <v>1629</v>
      </c>
      <c r="F346" s="14">
        <v>136.22800000000001</v>
      </c>
      <c r="G346" s="14">
        <v>27</v>
      </c>
      <c r="H346" s="14">
        <v>0</v>
      </c>
      <c r="I346" s="14">
        <v>1</v>
      </c>
      <c r="J346" s="14">
        <v>0</v>
      </c>
      <c r="K346" s="14">
        <v>1</v>
      </c>
      <c r="L346" s="14">
        <v>1</v>
      </c>
      <c r="M346" s="14">
        <v>3</v>
      </c>
      <c r="N346" s="14">
        <v>0</v>
      </c>
      <c r="O346" s="14">
        <v>0</v>
      </c>
      <c r="P346" s="14">
        <v>0</v>
      </c>
      <c r="Q346" s="14">
        <v>0</v>
      </c>
      <c r="R346" s="14">
        <v>0</v>
      </c>
      <c r="S346" s="14">
        <v>0</v>
      </c>
      <c r="T346" s="14">
        <v>0</v>
      </c>
      <c r="U346" s="14">
        <v>0</v>
      </c>
      <c r="V346" s="14">
        <v>0</v>
      </c>
      <c r="W346" s="14">
        <v>0</v>
      </c>
      <c r="X346" s="14">
        <v>1</v>
      </c>
      <c r="Y346" s="14">
        <v>0</v>
      </c>
      <c r="Z346" s="14">
        <v>2</v>
      </c>
      <c r="AA346" s="14">
        <v>2</v>
      </c>
      <c r="AB346" s="14">
        <v>0</v>
      </c>
      <c r="AC346" s="14">
        <v>0</v>
      </c>
      <c r="AD346" s="25">
        <v>0</v>
      </c>
      <c r="AE346" s="25">
        <v>0</v>
      </c>
      <c r="AF346" s="25">
        <v>0</v>
      </c>
      <c r="AG346" s="25">
        <v>0.32291666699999999</v>
      </c>
      <c r="AH346" s="25">
        <v>0.32291666699999999</v>
      </c>
      <c r="AI346" s="14" t="s">
        <v>1571</v>
      </c>
      <c r="AJ346" s="14" t="s">
        <v>33</v>
      </c>
    </row>
    <row r="347" spans="1:36" x14ac:dyDescent="0.25">
      <c r="A347" s="1">
        <v>292</v>
      </c>
      <c r="B347" s="25" t="s">
        <v>1302</v>
      </c>
      <c r="C347" s="25" t="s">
        <v>2045</v>
      </c>
      <c r="D347" s="25" t="s">
        <v>1931</v>
      </c>
      <c r="E347" s="25" t="s">
        <v>1828</v>
      </c>
      <c r="F347" s="25">
        <v>320.49799999999999</v>
      </c>
      <c r="G347" s="25">
        <v>27</v>
      </c>
      <c r="H347" s="25">
        <v>0</v>
      </c>
      <c r="I347" s="25">
        <v>3</v>
      </c>
      <c r="J347" s="25">
        <v>0</v>
      </c>
      <c r="K347" s="25">
        <v>3</v>
      </c>
      <c r="L347" s="25">
        <v>0</v>
      </c>
      <c r="M347" s="25">
        <v>2</v>
      </c>
      <c r="N347" s="25">
        <v>12</v>
      </c>
      <c r="O347" s="25">
        <v>0</v>
      </c>
      <c r="P347" s="25">
        <v>0</v>
      </c>
      <c r="Q347" s="25">
        <v>0</v>
      </c>
      <c r="R347" s="25">
        <v>0</v>
      </c>
      <c r="S347" s="25">
        <v>0</v>
      </c>
      <c r="T347" s="25">
        <v>0</v>
      </c>
      <c r="U347" s="25">
        <v>1</v>
      </c>
      <c r="V347" s="25">
        <v>0</v>
      </c>
      <c r="W347" s="25">
        <v>6</v>
      </c>
      <c r="X347" s="25">
        <v>0</v>
      </c>
      <c r="Y347" s="25">
        <v>0</v>
      </c>
      <c r="Z347" s="25">
        <v>0</v>
      </c>
      <c r="AA347" s="25">
        <v>0</v>
      </c>
      <c r="AB347" s="25">
        <v>0</v>
      </c>
      <c r="AC347" s="25">
        <v>0</v>
      </c>
      <c r="AD347" s="25">
        <v>0</v>
      </c>
      <c r="AE347" s="25">
        <v>0</v>
      </c>
      <c r="AF347" s="25">
        <v>0</v>
      </c>
      <c r="AG347" s="25">
        <v>0.603954082</v>
      </c>
      <c r="AH347" s="25">
        <v>0.64275147899999996</v>
      </c>
      <c r="AI347" s="25" t="s">
        <v>1571</v>
      </c>
      <c r="AJ347" s="14" t="s">
        <v>33</v>
      </c>
    </row>
    <row r="348" spans="1:36" x14ac:dyDescent="0.25">
      <c r="A348" s="1">
        <v>293</v>
      </c>
      <c r="B348" s="25" t="s">
        <v>594</v>
      </c>
      <c r="C348" s="25" t="s">
        <v>290</v>
      </c>
      <c r="D348" s="25" t="s">
        <v>595</v>
      </c>
      <c r="E348" s="25" t="s">
        <v>97</v>
      </c>
      <c r="F348" s="25">
        <v>156.22</v>
      </c>
      <c r="G348" s="25">
        <v>27.2</v>
      </c>
      <c r="H348" s="25">
        <v>0</v>
      </c>
      <c r="I348" s="25">
        <v>0</v>
      </c>
      <c r="J348" s="25">
        <v>0</v>
      </c>
      <c r="K348" s="25">
        <v>0</v>
      </c>
      <c r="L348" s="25">
        <v>0</v>
      </c>
      <c r="M348" s="25">
        <v>2</v>
      </c>
      <c r="N348" s="25">
        <v>3</v>
      </c>
      <c r="O348" s="25">
        <v>0</v>
      </c>
      <c r="P348" s="25">
        <v>0</v>
      </c>
      <c r="Q348" s="25">
        <v>0</v>
      </c>
      <c r="R348" s="25">
        <v>0</v>
      </c>
      <c r="S348" s="25">
        <v>0</v>
      </c>
      <c r="T348" s="25">
        <v>0</v>
      </c>
      <c r="U348" s="25">
        <v>0</v>
      </c>
      <c r="V348" s="25">
        <v>0</v>
      </c>
      <c r="W348" s="25">
        <v>0</v>
      </c>
      <c r="X348" s="25">
        <v>0</v>
      </c>
      <c r="Y348" s="25">
        <v>0</v>
      </c>
      <c r="Z348" s="25">
        <v>2</v>
      </c>
      <c r="AA348" s="25">
        <v>1</v>
      </c>
      <c r="AB348" s="25">
        <v>0</v>
      </c>
      <c r="AC348" s="25">
        <v>0</v>
      </c>
      <c r="AD348" s="25">
        <v>0</v>
      </c>
      <c r="AE348" s="25">
        <v>0</v>
      </c>
      <c r="AF348" s="25">
        <v>0</v>
      </c>
      <c r="AG348" s="25">
        <v>0.41319444399999999</v>
      </c>
      <c r="AH348" s="25">
        <v>0.41319444399999999</v>
      </c>
      <c r="AI348" s="25" t="s">
        <v>979</v>
      </c>
      <c r="AJ348" s="14" t="s">
        <v>33</v>
      </c>
    </row>
    <row r="349" spans="1:36" x14ac:dyDescent="0.25">
      <c r="A349" s="1">
        <v>295</v>
      </c>
      <c r="B349" s="14" t="s">
        <v>838</v>
      </c>
      <c r="C349" s="14" t="s">
        <v>507</v>
      </c>
      <c r="D349" s="14" t="s">
        <v>17</v>
      </c>
      <c r="E349" s="29" t="s">
        <v>75</v>
      </c>
      <c r="F349" s="14">
        <v>144.21</v>
      </c>
      <c r="G349" s="14">
        <v>27.5</v>
      </c>
      <c r="H349" s="14">
        <v>0</v>
      </c>
      <c r="I349" s="14">
        <v>0</v>
      </c>
      <c r="J349" s="14">
        <v>0</v>
      </c>
      <c r="K349" s="14">
        <v>0</v>
      </c>
      <c r="L349" s="14">
        <v>0</v>
      </c>
      <c r="M349" s="14">
        <v>2</v>
      </c>
      <c r="N349" s="14">
        <v>5</v>
      </c>
      <c r="O349" s="14">
        <v>0</v>
      </c>
      <c r="P349" s="14">
        <v>0</v>
      </c>
      <c r="Q349" s="14">
        <v>0</v>
      </c>
      <c r="R349" s="14">
        <v>0</v>
      </c>
      <c r="S349" s="14">
        <v>0</v>
      </c>
      <c r="T349" s="14">
        <v>0</v>
      </c>
      <c r="U349" s="14">
        <v>1</v>
      </c>
      <c r="V349" s="14">
        <v>0</v>
      </c>
      <c r="W349" s="14">
        <v>0</v>
      </c>
      <c r="X349" s="14">
        <v>0</v>
      </c>
      <c r="Y349" s="14">
        <v>0</v>
      </c>
      <c r="Z349" s="14">
        <v>0</v>
      </c>
      <c r="AA349" s="14">
        <v>0</v>
      </c>
      <c r="AB349" s="14">
        <v>0</v>
      </c>
      <c r="AC349" s="14">
        <v>0</v>
      </c>
      <c r="AD349" s="25">
        <v>0</v>
      </c>
      <c r="AE349" s="25">
        <v>0</v>
      </c>
      <c r="AF349" s="25">
        <v>0</v>
      </c>
      <c r="AG349" s="25">
        <v>0.44500000000000001</v>
      </c>
      <c r="AH349" s="25">
        <v>0.44500000000000001</v>
      </c>
      <c r="AI349" s="14" t="s">
        <v>1202</v>
      </c>
      <c r="AJ349" s="14" t="s">
        <v>33</v>
      </c>
    </row>
    <row r="350" spans="1:36" x14ac:dyDescent="0.25">
      <c r="A350" s="1">
        <v>297</v>
      </c>
      <c r="B350" s="14" t="s">
        <v>851</v>
      </c>
      <c r="C350" s="14" t="s">
        <v>319</v>
      </c>
      <c r="D350" s="14" t="s">
        <v>21</v>
      </c>
      <c r="E350" s="29" t="s">
        <v>100</v>
      </c>
      <c r="F350" s="14">
        <v>104.15</v>
      </c>
      <c r="G350" s="14">
        <v>27.8</v>
      </c>
      <c r="H350" s="14">
        <v>0</v>
      </c>
      <c r="I350" s="14">
        <v>0</v>
      </c>
      <c r="J350" s="14">
        <v>0</v>
      </c>
      <c r="K350" s="14">
        <v>0</v>
      </c>
      <c r="L350" s="14">
        <v>0</v>
      </c>
      <c r="M350" s="14">
        <v>2</v>
      </c>
      <c r="N350" s="14">
        <v>2</v>
      </c>
      <c r="O350" s="14">
        <v>1</v>
      </c>
      <c r="P350" s="14">
        <v>1</v>
      </c>
      <c r="Q350" s="14">
        <v>0</v>
      </c>
      <c r="R350" s="14">
        <v>0</v>
      </c>
      <c r="S350" s="14">
        <v>0</v>
      </c>
      <c r="T350" s="14">
        <v>0</v>
      </c>
      <c r="U350" s="14">
        <v>0</v>
      </c>
      <c r="V350" s="14">
        <v>1</v>
      </c>
      <c r="W350" s="14">
        <v>0</v>
      </c>
      <c r="X350" s="14">
        <v>0</v>
      </c>
      <c r="Y350" s="14">
        <v>0</v>
      </c>
      <c r="Z350" s="14">
        <v>0</v>
      </c>
      <c r="AA350" s="14">
        <v>0</v>
      </c>
      <c r="AB350" s="14">
        <v>1</v>
      </c>
      <c r="AC350" s="14">
        <v>0</v>
      </c>
      <c r="AD350" s="25">
        <v>0</v>
      </c>
      <c r="AE350" s="25">
        <v>0</v>
      </c>
      <c r="AF350" s="25">
        <v>0</v>
      </c>
      <c r="AG350" s="25">
        <v>0.375</v>
      </c>
      <c r="AH350" s="25">
        <v>0.31944444399999999</v>
      </c>
      <c r="AI350" s="14" t="s">
        <v>1011</v>
      </c>
      <c r="AJ350" s="14" t="s">
        <v>33</v>
      </c>
    </row>
    <row r="351" spans="1:36" x14ac:dyDescent="0.25">
      <c r="A351" s="1">
        <v>298</v>
      </c>
      <c r="B351" s="14" t="s">
        <v>1704</v>
      </c>
      <c r="C351" s="14" t="s">
        <v>1439</v>
      </c>
      <c r="D351" s="14" t="s">
        <v>10</v>
      </c>
      <c r="E351" s="29" t="s">
        <v>1705</v>
      </c>
      <c r="F351" s="14">
        <v>144.25</v>
      </c>
      <c r="G351" s="14">
        <v>28</v>
      </c>
      <c r="H351" s="14">
        <v>0</v>
      </c>
      <c r="I351" s="14">
        <v>0</v>
      </c>
      <c r="J351" s="14">
        <v>0</v>
      </c>
      <c r="K351" s="14">
        <v>0</v>
      </c>
      <c r="L351" s="14">
        <v>0</v>
      </c>
      <c r="M351" s="14">
        <v>2</v>
      </c>
      <c r="N351" s="14">
        <v>6</v>
      </c>
      <c r="O351" s="14">
        <v>1</v>
      </c>
      <c r="P351" s="14">
        <v>0</v>
      </c>
      <c r="Q351" s="14">
        <v>0</v>
      </c>
      <c r="R351" s="14">
        <v>0</v>
      </c>
      <c r="S351" s="14">
        <v>0</v>
      </c>
      <c r="T351" s="14">
        <v>0</v>
      </c>
      <c r="U351" s="14">
        <v>0</v>
      </c>
      <c r="V351" s="14">
        <v>1</v>
      </c>
      <c r="W351" s="14">
        <v>0</v>
      </c>
      <c r="X351" s="14">
        <v>0</v>
      </c>
      <c r="Y351" s="14">
        <v>0</v>
      </c>
      <c r="Z351" s="14">
        <v>0</v>
      </c>
      <c r="AA351" s="14">
        <v>0</v>
      </c>
      <c r="AB351" s="14">
        <v>0</v>
      </c>
      <c r="AC351" s="14">
        <v>1</v>
      </c>
      <c r="AD351" s="25">
        <v>0</v>
      </c>
      <c r="AE351" s="25">
        <v>0</v>
      </c>
      <c r="AF351" s="25">
        <v>0</v>
      </c>
      <c r="AG351" s="25">
        <v>0.41499999999999998</v>
      </c>
      <c r="AH351" s="25">
        <v>0.42592592600000001</v>
      </c>
      <c r="AI351" s="14" t="s">
        <v>1571</v>
      </c>
      <c r="AJ351" s="14" t="s">
        <v>33</v>
      </c>
    </row>
    <row r="352" spans="1:36" x14ac:dyDescent="0.25">
      <c r="A352" s="1">
        <v>299</v>
      </c>
      <c r="B352" s="25" t="s">
        <v>1652</v>
      </c>
      <c r="C352" s="25" t="s">
        <v>2046</v>
      </c>
      <c r="D352" s="25" t="s">
        <v>12</v>
      </c>
      <c r="E352" s="25" t="s">
        <v>1653</v>
      </c>
      <c r="F352" s="25">
        <v>96.165999999999997</v>
      </c>
      <c r="G352" s="25">
        <v>28</v>
      </c>
      <c r="H352" s="25">
        <v>0</v>
      </c>
      <c r="I352" s="25">
        <v>1</v>
      </c>
      <c r="J352" s="25">
        <v>0</v>
      </c>
      <c r="K352" s="25">
        <v>1</v>
      </c>
      <c r="L352" s="25">
        <v>0</v>
      </c>
      <c r="M352" s="25">
        <v>1</v>
      </c>
      <c r="N352" s="25">
        <v>0</v>
      </c>
      <c r="O352" s="25">
        <v>0</v>
      </c>
      <c r="P352" s="25">
        <v>0</v>
      </c>
      <c r="Q352" s="25">
        <v>0</v>
      </c>
      <c r="R352" s="25">
        <v>0</v>
      </c>
      <c r="S352" s="25">
        <v>0</v>
      </c>
      <c r="T352" s="25">
        <v>0</v>
      </c>
      <c r="U352" s="25">
        <v>0</v>
      </c>
      <c r="V352" s="25">
        <v>0</v>
      </c>
      <c r="W352" s="25">
        <v>0</v>
      </c>
      <c r="X352" s="25">
        <v>2</v>
      </c>
      <c r="Y352" s="25">
        <v>0</v>
      </c>
      <c r="Z352" s="25">
        <v>1</v>
      </c>
      <c r="AA352" s="25">
        <v>3</v>
      </c>
      <c r="AB352" s="25">
        <v>0</v>
      </c>
      <c r="AC352" s="25">
        <v>0</v>
      </c>
      <c r="AD352" s="25">
        <v>0</v>
      </c>
      <c r="AE352" s="25">
        <v>0</v>
      </c>
      <c r="AF352" s="25">
        <v>0</v>
      </c>
      <c r="AG352" s="25">
        <v>0.28125</v>
      </c>
      <c r="AH352" s="25">
        <v>0.28125</v>
      </c>
      <c r="AI352" s="25" t="s">
        <v>1571</v>
      </c>
      <c r="AJ352" s="14" t="s">
        <v>33</v>
      </c>
    </row>
    <row r="353" spans="1:36" x14ac:dyDescent="0.25">
      <c r="A353" s="1">
        <v>300</v>
      </c>
      <c r="B353" s="25" t="s">
        <v>1664</v>
      </c>
      <c r="C353" s="25" t="s">
        <v>1414</v>
      </c>
      <c r="D353" s="25" t="s">
        <v>12</v>
      </c>
      <c r="E353" s="25" t="s">
        <v>1665</v>
      </c>
      <c r="F353" s="25">
        <v>136.22800000000001</v>
      </c>
      <c r="G353" s="25">
        <v>28</v>
      </c>
      <c r="H353" s="25">
        <v>0</v>
      </c>
      <c r="I353" s="25">
        <v>3</v>
      </c>
      <c r="J353" s="25">
        <v>0</v>
      </c>
      <c r="K353" s="25">
        <v>3</v>
      </c>
      <c r="L353" s="25">
        <v>0</v>
      </c>
      <c r="M353" s="25">
        <v>3</v>
      </c>
      <c r="N353" s="25">
        <v>1</v>
      </c>
      <c r="O353" s="25">
        <v>0</v>
      </c>
      <c r="P353" s="25">
        <v>0</v>
      </c>
      <c r="Q353" s="25">
        <v>0</v>
      </c>
      <c r="R353" s="25">
        <v>0</v>
      </c>
      <c r="S353" s="25">
        <v>0</v>
      </c>
      <c r="T353" s="25">
        <v>0</v>
      </c>
      <c r="U353" s="25">
        <v>0</v>
      </c>
      <c r="V353" s="25">
        <v>0</v>
      </c>
      <c r="W353" s="25">
        <v>3</v>
      </c>
      <c r="X353" s="25">
        <v>0</v>
      </c>
      <c r="Y353" s="25">
        <v>1</v>
      </c>
      <c r="Z353" s="25">
        <v>0</v>
      </c>
      <c r="AA353" s="25">
        <v>0</v>
      </c>
      <c r="AB353" s="25">
        <v>0</v>
      </c>
      <c r="AC353" s="25">
        <v>0</v>
      </c>
      <c r="AD353" s="25">
        <v>0</v>
      </c>
      <c r="AE353" s="25">
        <v>0</v>
      </c>
      <c r="AF353" s="25">
        <v>0</v>
      </c>
      <c r="AG353" s="25">
        <v>0.451530612</v>
      </c>
      <c r="AH353" s="25">
        <v>0.47569444399999999</v>
      </c>
      <c r="AI353" s="25" t="s">
        <v>1571</v>
      </c>
      <c r="AJ353" s="14" t="s">
        <v>33</v>
      </c>
    </row>
    <row r="354" spans="1:36" x14ac:dyDescent="0.25">
      <c r="A354" s="1">
        <v>301</v>
      </c>
      <c r="B354" s="25" t="s">
        <v>1295</v>
      </c>
      <c r="C354" s="25" t="s">
        <v>2047</v>
      </c>
      <c r="D354" s="25" t="s">
        <v>17</v>
      </c>
      <c r="E354" s="25" t="s">
        <v>53</v>
      </c>
      <c r="F354" s="25">
        <v>228.28526550000001</v>
      </c>
      <c r="G354" s="25">
        <v>28</v>
      </c>
      <c r="H354" s="25">
        <v>0</v>
      </c>
      <c r="I354" s="25">
        <v>1</v>
      </c>
      <c r="J354" s="25">
        <v>0</v>
      </c>
      <c r="K354" s="25">
        <v>1</v>
      </c>
      <c r="L354" s="25">
        <v>0</v>
      </c>
      <c r="M354" s="25">
        <v>2</v>
      </c>
      <c r="N354" s="25">
        <v>6</v>
      </c>
      <c r="O354" s="25">
        <v>0</v>
      </c>
      <c r="P354" s="25">
        <v>0</v>
      </c>
      <c r="Q354" s="25">
        <v>0</v>
      </c>
      <c r="R354" s="25">
        <v>0</v>
      </c>
      <c r="S354" s="25">
        <v>0</v>
      </c>
      <c r="T354" s="25">
        <v>0</v>
      </c>
      <c r="U354" s="25">
        <v>2</v>
      </c>
      <c r="V354" s="25">
        <v>0</v>
      </c>
      <c r="W354" s="25">
        <v>2</v>
      </c>
      <c r="X354" s="25">
        <v>0</v>
      </c>
      <c r="Y354" s="25">
        <v>0</v>
      </c>
      <c r="Z354" s="25">
        <v>0</v>
      </c>
      <c r="AA354" s="25">
        <v>0</v>
      </c>
      <c r="AB354" s="25">
        <v>0</v>
      </c>
      <c r="AC354" s="25">
        <v>0</v>
      </c>
      <c r="AD354" s="25">
        <v>0</v>
      </c>
      <c r="AE354" s="25">
        <v>0</v>
      </c>
      <c r="AF354" s="25">
        <v>0</v>
      </c>
      <c r="AG354" s="25">
        <v>0.56944444400000005</v>
      </c>
      <c r="AH354" s="25">
        <v>0.57561728400000001</v>
      </c>
      <c r="AI354" s="25" t="s">
        <v>1306</v>
      </c>
      <c r="AJ354" s="14" t="s">
        <v>33</v>
      </c>
    </row>
    <row r="355" spans="1:36" x14ac:dyDescent="0.25">
      <c r="A355" s="1">
        <v>302</v>
      </c>
      <c r="B355" s="25" t="s">
        <v>850</v>
      </c>
      <c r="C355" s="25" t="s">
        <v>245</v>
      </c>
      <c r="D355" s="25" t="s">
        <v>21</v>
      </c>
      <c r="E355" s="25" t="s">
        <v>53</v>
      </c>
      <c r="F355" s="25">
        <v>228.28</v>
      </c>
      <c r="G355" s="25">
        <v>28</v>
      </c>
      <c r="H355" s="25">
        <v>0</v>
      </c>
      <c r="I355" s="25">
        <v>1</v>
      </c>
      <c r="J355" s="25">
        <v>0</v>
      </c>
      <c r="K355" s="25">
        <v>1</v>
      </c>
      <c r="L355" s="25">
        <v>0</v>
      </c>
      <c r="M355" s="25">
        <v>2</v>
      </c>
      <c r="N355" s="25">
        <v>6</v>
      </c>
      <c r="O355" s="25">
        <v>0</v>
      </c>
      <c r="P355" s="25">
        <v>0</v>
      </c>
      <c r="Q355" s="25">
        <v>0</v>
      </c>
      <c r="R355" s="25">
        <v>0</v>
      </c>
      <c r="S355" s="25">
        <v>0</v>
      </c>
      <c r="T355" s="25">
        <v>0</v>
      </c>
      <c r="U355" s="25">
        <v>2</v>
      </c>
      <c r="V355" s="25">
        <v>0</v>
      </c>
      <c r="W355" s="25">
        <v>2</v>
      </c>
      <c r="X355" s="25">
        <v>0</v>
      </c>
      <c r="Y355" s="25">
        <v>0</v>
      </c>
      <c r="Z355" s="25">
        <v>0</v>
      </c>
      <c r="AA355" s="25">
        <v>0</v>
      </c>
      <c r="AB355" s="25">
        <v>0</v>
      </c>
      <c r="AC355" s="25">
        <v>0</v>
      </c>
      <c r="AD355" s="25">
        <v>0</v>
      </c>
      <c r="AE355" s="25">
        <v>0</v>
      </c>
      <c r="AF355" s="25">
        <v>0</v>
      </c>
      <c r="AG355" s="25">
        <v>0.56944444400000005</v>
      </c>
      <c r="AH355" s="25">
        <v>0.57561728400000001</v>
      </c>
      <c r="AI355" s="25" t="s">
        <v>928</v>
      </c>
      <c r="AJ355" s="14" t="s">
        <v>33</v>
      </c>
    </row>
    <row r="356" spans="1:36" x14ac:dyDescent="0.25">
      <c r="A356" s="1">
        <v>303</v>
      </c>
      <c r="B356" s="14" t="s">
        <v>674</v>
      </c>
      <c r="C356" s="14" t="s">
        <v>543</v>
      </c>
      <c r="D356" s="14" t="s">
        <v>14</v>
      </c>
      <c r="E356" s="29" t="s">
        <v>119</v>
      </c>
      <c r="F356" s="14">
        <v>96.13</v>
      </c>
      <c r="G356" s="14">
        <v>28.1</v>
      </c>
      <c r="H356" s="14">
        <v>0</v>
      </c>
      <c r="I356" s="14">
        <v>0</v>
      </c>
      <c r="J356" s="14">
        <v>0</v>
      </c>
      <c r="K356" s="14">
        <v>0</v>
      </c>
      <c r="L356" s="14">
        <v>0</v>
      </c>
      <c r="M356" s="14">
        <v>1</v>
      </c>
      <c r="N356" s="14">
        <v>1</v>
      </c>
      <c r="O356" s="14">
        <v>0</v>
      </c>
      <c r="P356" s="14">
        <v>0</v>
      </c>
      <c r="Q356" s="14">
        <v>1</v>
      </c>
      <c r="R356" s="14">
        <v>0</v>
      </c>
      <c r="S356" s="14">
        <v>0</v>
      </c>
      <c r="T356" s="14">
        <v>0</v>
      </c>
      <c r="U356" s="14">
        <v>0</v>
      </c>
      <c r="V356" s="14">
        <v>0</v>
      </c>
      <c r="W356" s="14">
        <v>0</v>
      </c>
      <c r="X356" s="14">
        <v>0</v>
      </c>
      <c r="Y356" s="14">
        <v>0</v>
      </c>
      <c r="Z356" s="14">
        <v>1</v>
      </c>
      <c r="AA356" s="14">
        <v>3</v>
      </c>
      <c r="AB356" s="14">
        <v>0</v>
      </c>
      <c r="AC356" s="14">
        <v>0</v>
      </c>
      <c r="AD356" s="25">
        <v>0</v>
      </c>
      <c r="AE356" s="25">
        <v>0</v>
      </c>
      <c r="AF356" s="25">
        <v>0</v>
      </c>
      <c r="AG356" s="25">
        <v>0.22448979599999999</v>
      </c>
      <c r="AH356" s="25">
        <v>0.22448979599999999</v>
      </c>
      <c r="AI356" s="14" t="s">
        <v>2048</v>
      </c>
      <c r="AJ356" s="14" t="s">
        <v>33</v>
      </c>
    </row>
    <row r="357" spans="1:36" x14ac:dyDescent="0.25">
      <c r="A357" s="1">
        <v>305</v>
      </c>
      <c r="B357" s="25" t="s">
        <v>706</v>
      </c>
      <c r="C357" s="25" t="s">
        <v>336</v>
      </c>
      <c r="D357" s="25" t="s">
        <v>17</v>
      </c>
      <c r="E357" s="25" t="s">
        <v>130</v>
      </c>
      <c r="F357" s="25">
        <v>172.26</v>
      </c>
      <c r="G357" s="25">
        <v>28.2</v>
      </c>
      <c r="H357" s="25">
        <v>0</v>
      </c>
      <c r="I357" s="25">
        <v>0</v>
      </c>
      <c r="J357" s="25">
        <v>0</v>
      </c>
      <c r="K357" s="25">
        <v>0</v>
      </c>
      <c r="L357" s="25">
        <v>0</v>
      </c>
      <c r="M357" s="25">
        <v>2</v>
      </c>
      <c r="N357" s="25">
        <v>7</v>
      </c>
      <c r="O357" s="25">
        <v>0</v>
      </c>
      <c r="P357" s="25">
        <v>0</v>
      </c>
      <c r="Q357" s="25">
        <v>0</v>
      </c>
      <c r="R357" s="25">
        <v>0</v>
      </c>
      <c r="S357" s="25">
        <v>0</v>
      </c>
      <c r="T357" s="25">
        <v>0</v>
      </c>
      <c r="U357" s="25">
        <v>1</v>
      </c>
      <c r="V357" s="25">
        <v>0</v>
      </c>
      <c r="W357" s="25">
        <v>0</v>
      </c>
      <c r="X357" s="25">
        <v>0</v>
      </c>
      <c r="Y357" s="25">
        <v>0</v>
      </c>
      <c r="Z357" s="25">
        <v>0</v>
      </c>
      <c r="AA357" s="25">
        <v>0</v>
      </c>
      <c r="AB357" s="25">
        <v>0</v>
      </c>
      <c r="AC357" s="25">
        <v>0</v>
      </c>
      <c r="AD357" s="25">
        <v>0</v>
      </c>
      <c r="AE357" s="25">
        <v>0</v>
      </c>
      <c r="AF357" s="25">
        <v>0</v>
      </c>
      <c r="AG357" s="25">
        <v>0.48958333300000001</v>
      </c>
      <c r="AH357" s="25">
        <v>0.49652777799999998</v>
      </c>
      <c r="AI357" s="25" t="s">
        <v>1028</v>
      </c>
      <c r="AJ357" s="14" t="s">
        <v>33</v>
      </c>
    </row>
    <row r="358" spans="1:36" x14ac:dyDescent="0.25">
      <c r="A358" s="1">
        <v>306</v>
      </c>
      <c r="B358" s="25" t="s">
        <v>1293</v>
      </c>
      <c r="C358" s="25" t="s">
        <v>2049</v>
      </c>
      <c r="D358" s="25" t="s">
        <v>17</v>
      </c>
      <c r="E358" s="25" t="s">
        <v>230</v>
      </c>
      <c r="F358" s="25">
        <v>334.53674819999998</v>
      </c>
      <c r="G358" s="25">
        <v>28.6</v>
      </c>
      <c r="H358" s="25">
        <v>0</v>
      </c>
      <c r="I358" s="25">
        <v>3</v>
      </c>
      <c r="J358" s="25">
        <v>0</v>
      </c>
      <c r="K358" s="25">
        <v>3</v>
      </c>
      <c r="L358" s="25">
        <v>0</v>
      </c>
      <c r="M358" s="25">
        <v>2</v>
      </c>
      <c r="N358" s="25">
        <v>13</v>
      </c>
      <c r="O358" s="25">
        <v>0</v>
      </c>
      <c r="P358" s="25">
        <v>0</v>
      </c>
      <c r="Q358" s="25">
        <v>0</v>
      </c>
      <c r="R358" s="25">
        <v>0</v>
      </c>
      <c r="S358" s="25">
        <v>0</v>
      </c>
      <c r="T358" s="25">
        <v>0</v>
      </c>
      <c r="U358" s="25">
        <v>1</v>
      </c>
      <c r="V358" s="25">
        <v>0</v>
      </c>
      <c r="W358" s="25">
        <v>6</v>
      </c>
      <c r="X358" s="25">
        <v>0</v>
      </c>
      <c r="Y358" s="25">
        <v>0</v>
      </c>
      <c r="Z358" s="25">
        <v>0</v>
      </c>
      <c r="AA358" s="25">
        <v>0</v>
      </c>
      <c r="AB358" s="25">
        <v>0</v>
      </c>
      <c r="AC358" s="25">
        <v>0</v>
      </c>
      <c r="AD358" s="25">
        <v>0</v>
      </c>
      <c r="AE358" s="25">
        <v>0</v>
      </c>
      <c r="AF358" s="25">
        <v>0</v>
      </c>
      <c r="AG358" s="25">
        <v>0.61296076099999997</v>
      </c>
      <c r="AH358" s="25">
        <v>0.64677640599999997</v>
      </c>
      <c r="AI358" s="25" t="s">
        <v>1306</v>
      </c>
      <c r="AJ358" s="14" t="s">
        <v>33</v>
      </c>
    </row>
    <row r="359" spans="1:36" x14ac:dyDescent="0.25">
      <c r="A359" s="1">
        <v>307</v>
      </c>
      <c r="B359" s="14" t="s">
        <v>768</v>
      </c>
      <c r="C359" s="14" t="s">
        <v>548</v>
      </c>
      <c r="D359" s="14" t="s">
        <v>21</v>
      </c>
      <c r="E359" s="29" t="s">
        <v>230</v>
      </c>
      <c r="F359" s="14">
        <v>334.53</v>
      </c>
      <c r="G359" s="14">
        <v>28.6</v>
      </c>
      <c r="H359" s="14">
        <v>0</v>
      </c>
      <c r="I359" s="14">
        <v>3</v>
      </c>
      <c r="J359" s="14">
        <v>0</v>
      </c>
      <c r="K359" s="14">
        <v>3</v>
      </c>
      <c r="L359" s="14">
        <v>0</v>
      </c>
      <c r="M359" s="14">
        <v>2</v>
      </c>
      <c r="N359" s="14">
        <v>13</v>
      </c>
      <c r="O359" s="14">
        <v>0</v>
      </c>
      <c r="P359" s="14">
        <v>0</v>
      </c>
      <c r="Q359" s="14">
        <v>0</v>
      </c>
      <c r="R359" s="14">
        <v>0</v>
      </c>
      <c r="S359" s="14">
        <v>0</v>
      </c>
      <c r="T359" s="14">
        <v>0</v>
      </c>
      <c r="U359" s="14">
        <v>1</v>
      </c>
      <c r="V359" s="14">
        <v>0</v>
      </c>
      <c r="W359" s="14">
        <v>6</v>
      </c>
      <c r="X359" s="14">
        <v>0</v>
      </c>
      <c r="Y359" s="14">
        <v>0</v>
      </c>
      <c r="Z359" s="14">
        <v>0</v>
      </c>
      <c r="AA359" s="14">
        <v>0</v>
      </c>
      <c r="AB359" s="14">
        <v>0</v>
      </c>
      <c r="AC359" s="14">
        <v>0</v>
      </c>
      <c r="AD359" s="25">
        <v>0</v>
      </c>
      <c r="AE359" s="25">
        <v>0</v>
      </c>
      <c r="AF359" s="25">
        <v>0</v>
      </c>
      <c r="AG359" s="25">
        <v>0.62946428600000004</v>
      </c>
      <c r="AH359" s="25">
        <v>0.64540466399999996</v>
      </c>
      <c r="AI359" s="14" t="s">
        <v>1242</v>
      </c>
      <c r="AJ359" s="14" t="s">
        <v>33</v>
      </c>
    </row>
    <row r="360" spans="1:36" x14ac:dyDescent="0.25">
      <c r="A360" s="1">
        <v>309</v>
      </c>
      <c r="B360" s="25" t="s">
        <v>1763</v>
      </c>
      <c r="C360" s="25" t="s">
        <v>1473</v>
      </c>
      <c r="D360" s="25" t="s">
        <v>1930</v>
      </c>
      <c r="E360" s="25" t="s">
        <v>130</v>
      </c>
      <c r="F360" s="25">
        <v>172.26</v>
      </c>
      <c r="G360" s="25">
        <v>28.8</v>
      </c>
      <c r="H360" s="25">
        <v>0</v>
      </c>
      <c r="I360" s="25">
        <v>0</v>
      </c>
      <c r="J360" s="25">
        <v>0</v>
      </c>
      <c r="K360" s="25">
        <v>0</v>
      </c>
      <c r="L360" s="25">
        <v>0</v>
      </c>
      <c r="M360" s="25">
        <v>2</v>
      </c>
      <c r="N360" s="25">
        <v>7</v>
      </c>
      <c r="O360" s="25">
        <v>0</v>
      </c>
      <c r="P360" s="25">
        <v>0</v>
      </c>
      <c r="Q360" s="25">
        <v>0</v>
      </c>
      <c r="R360" s="25">
        <v>0</v>
      </c>
      <c r="S360" s="25">
        <v>0</v>
      </c>
      <c r="T360" s="25">
        <v>0</v>
      </c>
      <c r="U360" s="25">
        <v>1</v>
      </c>
      <c r="V360" s="25">
        <v>0</v>
      </c>
      <c r="W360" s="25">
        <v>0</v>
      </c>
      <c r="X360" s="25">
        <v>0</v>
      </c>
      <c r="Y360" s="25">
        <v>0</v>
      </c>
      <c r="Z360" s="25">
        <v>0</v>
      </c>
      <c r="AA360" s="25">
        <v>0</v>
      </c>
      <c r="AB360" s="25">
        <v>0</v>
      </c>
      <c r="AC360" s="25">
        <v>0</v>
      </c>
      <c r="AD360" s="25">
        <v>0</v>
      </c>
      <c r="AE360" s="25">
        <v>0</v>
      </c>
      <c r="AF360" s="25">
        <v>0</v>
      </c>
      <c r="AG360" s="25">
        <v>0.48958333300000001</v>
      </c>
      <c r="AH360" s="25">
        <v>0.49652777799999998</v>
      </c>
      <c r="AI360" s="25" t="s">
        <v>1571</v>
      </c>
      <c r="AJ360" s="14" t="s">
        <v>33</v>
      </c>
    </row>
    <row r="361" spans="1:36" x14ac:dyDescent="0.25">
      <c r="A361" s="1">
        <v>311</v>
      </c>
      <c r="B361" s="14" t="s">
        <v>1621</v>
      </c>
      <c r="C361" s="14" t="s">
        <v>2050</v>
      </c>
      <c r="D361" s="14" t="s">
        <v>16</v>
      </c>
      <c r="E361" s="29" t="s">
        <v>105</v>
      </c>
      <c r="F361" s="14">
        <v>126.23399999999999</v>
      </c>
      <c r="G361" s="14">
        <v>29</v>
      </c>
      <c r="H361" s="14">
        <v>0</v>
      </c>
      <c r="I361" s="14">
        <v>0</v>
      </c>
      <c r="J361" s="14">
        <v>0</v>
      </c>
      <c r="K361" s="14">
        <v>0</v>
      </c>
      <c r="L361" s="14">
        <v>1</v>
      </c>
      <c r="M361" s="14">
        <v>3</v>
      </c>
      <c r="N361" s="14">
        <v>0</v>
      </c>
      <c r="O361" s="14">
        <v>0</v>
      </c>
      <c r="P361" s="14">
        <v>0</v>
      </c>
      <c r="Q361" s="14">
        <v>0</v>
      </c>
      <c r="R361" s="14">
        <v>0</v>
      </c>
      <c r="S361" s="14">
        <v>0</v>
      </c>
      <c r="T361" s="14">
        <v>0</v>
      </c>
      <c r="U361" s="14">
        <v>0</v>
      </c>
      <c r="V361" s="14">
        <v>0</v>
      </c>
      <c r="W361" s="14">
        <v>0</v>
      </c>
      <c r="X361" s="14">
        <v>0</v>
      </c>
      <c r="Y361" s="14">
        <v>0</v>
      </c>
      <c r="Z361" s="14">
        <v>1</v>
      </c>
      <c r="AA361" s="14">
        <v>4</v>
      </c>
      <c r="AB361" s="14">
        <v>0</v>
      </c>
      <c r="AC361" s="14">
        <v>0</v>
      </c>
      <c r="AD361" s="25">
        <v>0</v>
      </c>
      <c r="AE361" s="25">
        <v>0</v>
      </c>
      <c r="AF361" s="25">
        <v>0</v>
      </c>
      <c r="AG361" s="25">
        <v>0.30864197500000001</v>
      </c>
      <c r="AH361" s="25">
        <v>0.33333333300000001</v>
      </c>
      <c r="AI361" s="14" t="s">
        <v>1571</v>
      </c>
      <c r="AJ361" s="14" t="s">
        <v>33</v>
      </c>
    </row>
    <row r="362" spans="1:36" x14ac:dyDescent="0.25">
      <c r="A362" s="1">
        <v>313</v>
      </c>
      <c r="B362" s="25" t="s">
        <v>1767</v>
      </c>
      <c r="C362" s="25" t="s">
        <v>1476</v>
      </c>
      <c r="D362" s="25" t="s">
        <v>1930</v>
      </c>
      <c r="E362" s="25" t="s">
        <v>1765</v>
      </c>
      <c r="F362" s="25">
        <v>172.26</v>
      </c>
      <c r="G362" s="25">
        <v>29</v>
      </c>
      <c r="H362" s="25">
        <v>0</v>
      </c>
      <c r="I362" s="25">
        <v>0</v>
      </c>
      <c r="J362" s="25">
        <v>0</v>
      </c>
      <c r="K362" s="25">
        <v>0</v>
      </c>
      <c r="L362" s="25">
        <v>0</v>
      </c>
      <c r="M362" s="25">
        <v>2</v>
      </c>
      <c r="N362" s="25">
        <v>7</v>
      </c>
      <c r="O362" s="25">
        <v>0</v>
      </c>
      <c r="P362" s="25">
        <v>0</v>
      </c>
      <c r="Q362" s="25">
        <v>0</v>
      </c>
      <c r="R362" s="25">
        <v>0</v>
      </c>
      <c r="S362" s="25">
        <v>0</v>
      </c>
      <c r="T362" s="25">
        <v>0</v>
      </c>
      <c r="U362" s="25">
        <v>1</v>
      </c>
      <c r="V362" s="25">
        <v>0</v>
      </c>
      <c r="W362" s="25">
        <v>0</v>
      </c>
      <c r="X362" s="25">
        <v>0</v>
      </c>
      <c r="Y362" s="25">
        <v>0</v>
      </c>
      <c r="Z362" s="25">
        <v>0</v>
      </c>
      <c r="AA362" s="25">
        <v>0</v>
      </c>
      <c r="AB362" s="25">
        <v>0</v>
      </c>
      <c r="AC362" s="25">
        <v>0</v>
      </c>
      <c r="AD362" s="25">
        <v>0</v>
      </c>
      <c r="AE362" s="25">
        <v>0</v>
      </c>
      <c r="AF362" s="25">
        <v>0</v>
      </c>
      <c r="AG362" s="25">
        <v>0.48958333300000001</v>
      </c>
      <c r="AH362" s="25">
        <v>0.49652777799999998</v>
      </c>
      <c r="AI362" s="25" t="s">
        <v>1571</v>
      </c>
      <c r="AJ362" s="14" t="s">
        <v>33</v>
      </c>
    </row>
    <row r="363" spans="1:36" x14ac:dyDescent="0.25">
      <c r="A363" s="1">
        <v>314</v>
      </c>
      <c r="B363" s="14" t="s">
        <v>1293</v>
      </c>
      <c r="C363" s="14" t="s">
        <v>2051</v>
      </c>
      <c r="D363" s="14" t="s">
        <v>1931</v>
      </c>
      <c r="E363" s="29" t="s">
        <v>1829</v>
      </c>
      <c r="F363" s="14">
        <v>334.524</v>
      </c>
      <c r="G363" s="14">
        <v>29</v>
      </c>
      <c r="H363" s="14">
        <v>0</v>
      </c>
      <c r="I363" s="14">
        <v>3</v>
      </c>
      <c r="J363" s="14">
        <v>0</v>
      </c>
      <c r="K363" s="14">
        <v>3</v>
      </c>
      <c r="L363" s="14">
        <v>0</v>
      </c>
      <c r="M363" s="14">
        <v>2</v>
      </c>
      <c r="N363" s="14">
        <v>13</v>
      </c>
      <c r="O363" s="14">
        <v>0</v>
      </c>
      <c r="P363" s="14">
        <v>0</v>
      </c>
      <c r="Q363" s="14">
        <v>0</v>
      </c>
      <c r="R363" s="14">
        <v>0</v>
      </c>
      <c r="S363" s="14">
        <v>0</v>
      </c>
      <c r="T363" s="14">
        <v>0</v>
      </c>
      <c r="U363" s="14">
        <v>1</v>
      </c>
      <c r="V363" s="14">
        <v>0</v>
      </c>
      <c r="W363" s="14">
        <v>6</v>
      </c>
      <c r="X363" s="14">
        <v>0</v>
      </c>
      <c r="Y363" s="14">
        <v>0</v>
      </c>
      <c r="Z363" s="14">
        <v>0</v>
      </c>
      <c r="AA363" s="14">
        <v>0</v>
      </c>
      <c r="AB363" s="14">
        <v>0</v>
      </c>
      <c r="AC363" s="14">
        <v>0</v>
      </c>
      <c r="AD363" s="25">
        <v>0</v>
      </c>
      <c r="AE363" s="25">
        <v>0</v>
      </c>
      <c r="AF363" s="25">
        <v>0</v>
      </c>
      <c r="AG363" s="25">
        <v>0.61296076099999997</v>
      </c>
      <c r="AH363" s="25">
        <v>0.64540466399999996</v>
      </c>
      <c r="AI363" s="14" t="s">
        <v>1571</v>
      </c>
      <c r="AJ363" s="14" t="s">
        <v>33</v>
      </c>
    </row>
    <row r="364" spans="1:36" x14ac:dyDescent="0.25">
      <c r="A364" s="1">
        <v>315</v>
      </c>
      <c r="B364" s="25" t="s">
        <v>1831</v>
      </c>
      <c r="C364" s="25" t="s">
        <v>2052</v>
      </c>
      <c r="D364" s="25" t="s">
        <v>18</v>
      </c>
      <c r="E364" s="25" t="s">
        <v>1680</v>
      </c>
      <c r="F364" s="25">
        <v>76.093999999999994</v>
      </c>
      <c r="G364" s="25">
        <v>29</v>
      </c>
      <c r="H364" s="25">
        <v>0</v>
      </c>
      <c r="I364" s="25">
        <v>0</v>
      </c>
      <c r="J364" s="25">
        <v>0</v>
      </c>
      <c r="K364" s="25">
        <v>0</v>
      </c>
      <c r="L364" s="25">
        <v>0</v>
      </c>
      <c r="M364" s="25">
        <v>2</v>
      </c>
      <c r="N364" s="25">
        <v>1</v>
      </c>
      <c r="O364" s="25">
        <v>0</v>
      </c>
      <c r="P364" s="25">
        <v>2</v>
      </c>
      <c r="Q364" s="25">
        <v>0</v>
      </c>
      <c r="R364" s="25">
        <v>0</v>
      </c>
      <c r="S364" s="25">
        <v>0</v>
      </c>
      <c r="T364" s="25">
        <v>0</v>
      </c>
      <c r="U364" s="25">
        <v>0</v>
      </c>
      <c r="V364" s="25">
        <v>0</v>
      </c>
      <c r="W364" s="25">
        <v>0</v>
      </c>
      <c r="X364" s="25">
        <v>0</v>
      </c>
      <c r="Y364" s="25">
        <v>0</v>
      </c>
      <c r="Z364" s="25">
        <v>0</v>
      </c>
      <c r="AA364" s="25">
        <v>0</v>
      </c>
      <c r="AB364" s="25">
        <v>0</v>
      </c>
      <c r="AC364" s="25">
        <v>0</v>
      </c>
      <c r="AD364" s="25">
        <v>0</v>
      </c>
      <c r="AE364" s="25">
        <v>0</v>
      </c>
      <c r="AF364" s="25">
        <v>0</v>
      </c>
      <c r="AG364" s="25">
        <v>0.255102041</v>
      </c>
      <c r="AH364" s="25">
        <v>0.21875</v>
      </c>
      <c r="AI364" s="25" t="s">
        <v>1571</v>
      </c>
      <c r="AJ364" s="14" t="s">
        <v>33</v>
      </c>
    </row>
    <row r="365" spans="1:36" x14ac:dyDescent="0.25">
      <c r="A365" s="1">
        <v>316</v>
      </c>
      <c r="B365" s="25" t="s">
        <v>1588</v>
      </c>
      <c r="C365" s="25" t="s">
        <v>1379</v>
      </c>
      <c r="D365" s="25" t="s">
        <v>19</v>
      </c>
      <c r="E365" s="25" t="s">
        <v>90</v>
      </c>
      <c r="F365" s="25">
        <v>114.224</v>
      </c>
      <c r="G365" s="25">
        <v>29</v>
      </c>
      <c r="H365" s="25">
        <v>0</v>
      </c>
      <c r="I365" s="25">
        <v>0</v>
      </c>
      <c r="J365" s="25">
        <v>0</v>
      </c>
      <c r="K365" s="25">
        <v>0</v>
      </c>
      <c r="L365" s="25">
        <v>0</v>
      </c>
      <c r="M365" s="25">
        <v>4</v>
      </c>
      <c r="N365" s="25">
        <v>2</v>
      </c>
      <c r="O365" s="25">
        <v>0</v>
      </c>
      <c r="P365" s="25">
        <v>0</v>
      </c>
      <c r="Q365" s="25">
        <v>0</v>
      </c>
      <c r="R365" s="25">
        <v>0</v>
      </c>
      <c r="S365" s="25">
        <v>0</v>
      </c>
      <c r="T365" s="25">
        <v>0</v>
      </c>
      <c r="U365" s="25">
        <v>0</v>
      </c>
      <c r="V365" s="25">
        <v>2</v>
      </c>
      <c r="W365" s="25">
        <v>0</v>
      </c>
      <c r="X365" s="25">
        <v>0</v>
      </c>
      <c r="Y365" s="25">
        <v>0</v>
      </c>
      <c r="Z365" s="25">
        <v>0</v>
      </c>
      <c r="AA365" s="25">
        <v>0</v>
      </c>
      <c r="AB365" s="25">
        <v>0</v>
      </c>
      <c r="AC365" s="25">
        <v>0</v>
      </c>
      <c r="AD365" s="25">
        <v>0</v>
      </c>
      <c r="AE365" s="25">
        <v>0</v>
      </c>
      <c r="AF365" s="25">
        <v>0</v>
      </c>
      <c r="AG365" s="25">
        <v>0.3515625</v>
      </c>
      <c r="AH365" s="25">
        <v>0.35714285699999998</v>
      </c>
      <c r="AI365" s="25" t="s">
        <v>1571</v>
      </c>
      <c r="AJ365" s="14" t="s">
        <v>33</v>
      </c>
    </row>
    <row r="366" spans="1:36" x14ac:dyDescent="0.25">
      <c r="A366" s="1">
        <v>317</v>
      </c>
      <c r="B366" s="14" t="s">
        <v>813</v>
      </c>
      <c r="C366" s="14" t="s">
        <v>345</v>
      </c>
      <c r="D366" s="14" t="s">
        <v>21</v>
      </c>
      <c r="E366" s="29" t="s">
        <v>115</v>
      </c>
      <c r="F366" s="14">
        <v>292.45</v>
      </c>
      <c r="G366" s="14">
        <v>29.2</v>
      </c>
      <c r="H366" s="14">
        <v>0</v>
      </c>
      <c r="I366" s="14">
        <v>3</v>
      </c>
      <c r="J366" s="14">
        <v>0</v>
      </c>
      <c r="K366" s="14">
        <v>3</v>
      </c>
      <c r="L366" s="14">
        <v>0</v>
      </c>
      <c r="M366" s="14">
        <v>2</v>
      </c>
      <c r="N366" s="14">
        <v>10</v>
      </c>
      <c r="O366" s="14">
        <v>0</v>
      </c>
      <c r="P366" s="14">
        <v>0</v>
      </c>
      <c r="Q366" s="14">
        <v>0</v>
      </c>
      <c r="R366" s="14">
        <v>0</v>
      </c>
      <c r="S366" s="14">
        <v>0</v>
      </c>
      <c r="T366" s="14">
        <v>0</v>
      </c>
      <c r="U366" s="14">
        <v>1</v>
      </c>
      <c r="V366" s="14">
        <v>0</v>
      </c>
      <c r="W366" s="14">
        <v>6</v>
      </c>
      <c r="X366" s="14">
        <v>0</v>
      </c>
      <c r="Y366" s="14">
        <v>0</v>
      </c>
      <c r="Z366" s="14">
        <v>0</v>
      </c>
      <c r="AA366" s="14">
        <v>0</v>
      </c>
      <c r="AB366" s="14">
        <v>0</v>
      </c>
      <c r="AC366" s="14">
        <v>0</v>
      </c>
      <c r="AD366" s="25">
        <v>0</v>
      </c>
      <c r="AE366" s="25">
        <v>0</v>
      </c>
      <c r="AF366" s="25">
        <v>0</v>
      </c>
      <c r="AG366" s="25">
        <v>0.60769896199999995</v>
      </c>
      <c r="AH366" s="25">
        <v>0.62413194400000005</v>
      </c>
      <c r="AI366" s="14" t="s">
        <v>1037</v>
      </c>
      <c r="AJ366" s="14" t="s">
        <v>33</v>
      </c>
    </row>
    <row r="367" spans="1:36" x14ac:dyDescent="0.25">
      <c r="A367" s="1">
        <v>319</v>
      </c>
      <c r="B367" s="14" t="s">
        <v>1708</v>
      </c>
      <c r="C367" s="14" t="s">
        <v>1441</v>
      </c>
      <c r="D367" s="14" t="s">
        <v>10</v>
      </c>
      <c r="E367" s="29" t="s">
        <v>1707</v>
      </c>
      <c r="F367" s="14">
        <v>158.27600000000001</v>
      </c>
      <c r="G367" s="14">
        <v>29.3</v>
      </c>
      <c r="H367" s="14">
        <v>0</v>
      </c>
      <c r="I367" s="14">
        <v>0</v>
      </c>
      <c r="J367" s="14">
        <v>0</v>
      </c>
      <c r="K367" s="14">
        <v>0</v>
      </c>
      <c r="L367" s="14">
        <v>0</v>
      </c>
      <c r="M367" s="14">
        <v>3</v>
      </c>
      <c r="N367" s="14">
        <v>5</v>
      </c>
      <c r="O367" s="14">
        <v>1</v>
      </c>
      <c r="P367" s="14">
        <v>0</v>
      </c>
      <c r="Q367" s="14">
        <v>0</v>
      </c>
      <c r="R367" s="14">
        <v>0</v>
      </c>
      <c r="S367" s="14">
        <v>0</v>
      </c>
      <c r="T367" s="14">
        <v>0</v>
      </c>
      <c r="U367" s="14">
        <v>0</v>
      </c>
      <c r="V367" s="14">
        <v>2</v>
      </c>
      <c r="W367" s="14">
        <v>0</v>
      </c>
      <c r="X367" s="14">
        <v>0</v>
      </c>
      <c r="Y367" s="14">
        <v>0</v>
      </c>
      <c r="Z367" s="14">
        <v>0</v>
      </c>
      <c r="AA367" s="14">
        <v>0</v>
      </c>
      <c r="AB367" s="14">
        <v>1</v>
      </c>
      <c r="AC367" s="14">
        <v>0</v>
      </c>
      <c r="AD367" s="25">
        <v>0</v>
      </c>
      <c r="AE367" s="25">
        <v>0</v>
      </c>
      <c r="AF367" s="25">
        <v>0</v>
      </c>
      <c r="AG367" s="25">
        <v>0.44500000000000001</v>
      </c>
      <c r="AH367" s="25">
        <v>0.44500000000000001</v>
      </c>
      <c r="AI367" s="14" t="s">
        <v>1571</v>
      </c>
      <c r="AJ367" s="14" t="s">
        <v>33</v>
      </c>
    </row>
    <row r="368" spans="1:36" x14ac:dyDescent="0.25">
      <c r="A368" s="1">
        <v>323</v>
      </c>
      <c r="B368" s="25" t="s">
        <v>1623</v>
      </c>
      <c r="C368" s="25" t="s">
        <v>2053</v>
      </c>
      <c r="D368" s="25" t="s">
        <v>16</v>
      </c>
      <c r="E368" s="25" t="s">
        <v>105</v>
      </c>
      <c r="F368" s="25">
        <v>126.23399999999999</v>
      </c>
      <c r="G368" s="25">
        <v>29.8</v>
      </c>
      <c r="H368" s="25">
        <v>0</v>
      </c>
      <c r="I368" s="25">
        <v>0</v>
      </c>
      <c r="J368" s="25">
        <v>0</v>
      </c>
      <c r="K368" s="25">
        <v>0</v>
      </c>
      <c r="L368" s="25">
        <v>0</v>
      </c>
      <c r="M368" s="25">
        <v>3</v>
      </c>
      <c r="N368" s="25">
        <v>0</v>
      </c>
      <c r="O368" s="25">
        <v>0</v>
      </c>
      <c r="P368" s="25">
        <v>0</v>
      </c>
      <c r="Q368" s="25">
        <v>0</v>
      </c>
      <c r="R368" s="25">
        <v>0</v>
      </c>
      <c r="S368" s="25">
        <v>0</v>
      </c>
      <c r="T368" s="25">
        <v>0</v>
      </c>
      <c r="U368" s="25">
        <v>0</v>
      </c>
      <c r="V368" s="25">
        <v>0</v>
      </c>
      <c r="W368" s="25">
        <v>0</v>
      </c>
      <c r="X368" s="25">
        <v>0</v>
      </c>
      <c r="Y368" s="25">
        <v>0</v>
      </c>
      <c r="Z368" s="25">
        <v>3</v>
      </c>
      <c r="AA368" s="25">
        <v>3</v>
      </c>
      <c r="AB368" s="25">
        <v>0</v>
      </c>
      <c r="AC368" s="25">
        <v>0</v>
      </c>
      <c r="AD368" s="25">
        <v>0</v>
      </c>
      <c r="AE368" s="25">
        <v>0</v>
      </c>
      <c r="AF368" s="25">
        <v>0</v>
      </c>
      <c r="AG368" s="25">
        <v>0.36</v>
      </c>
      <c r="AH368" s="25">
        <v>0.30864197500000001</v>
      </c>
      <c r="AI368" s="25" t="s">
        <v>1571</v>
      </c>
      <c r="AJ368" s="14" t="s">
        <v>33</v>
      </c>
    </row>
    <row r="369" spans="1:36" x14ac:dyDescent="0.25">
      <c r="A369" s="1">
        <v>324</v>
      </c>
      <c r="B369" s="14" t="s">
        <v>1637</v>
      </c>
      <c r="C369" s="14" t="s">
        <v>2054</v>
      </c>
      <c r="D369" s="14" t="s">
        <v>16</v>
      </c>
      <c r="E369" s="29" t="s">
        <v>166</v>
      </c>
      <c r="F369" s="14">
        <v>140.26</v>
      </c>
      <c r="G369" s="14">
        <v>29.9</v>
      </c>
      <c r="H369" s="14">
        <v>0</v>
      </c>
      <c r="I369" s="14">
        <v>0</v>
      </c>
      <c r="J369" s="14">
        <v>0</v>
      </c>
      <c r="K369" s="14">
        <v>0</v>
      </c>
      <c r="L369" s="14">
        <v>1</v>
      </c>
      <c r="M369" s="14">
        <v>3</v>
      </c>
      <c r="N369" s="14">
        <v>0</v>
      </c>
      <c r="O369" s="14">
        <v>0</v>
      </c>
      <c r="P369" s="14">
        <v>0</v>
      </c>
      <c r="Q369" s="14">
        <v>0</v>
      </c>
      <c r="R369" s="14">
        <v>0</v>
      </c>
      <c r="S369" s="14">
        <v>0</v>
      </c>
      <c r="T369" s="14">
        <v>0</v>
      </c>
      <c r="U369" s="14">
        <v>0</v>
      </c>
      <c r="V369" s="14">
        <v>0</v>
      </c>
      <c r="W369" s="14">
        <v>0</v>
      </c>
      <c r="X369" s="14">
        <v>0</v>
      </c>
      <c r="Y369" s="14">
        <v>0</v>
      </c>
      <c r="Z369" s="14">
        <v>1</v>
      </c>
      <c r="AA369" s="14">
        <v>5</v>
      </c>
      <c r="AB369" s="14">
        <v>0</v>
      </c>
      <c r="AC369" s="14">
        <v>0</v>
      </c>
      <c r="AD369" s="25">
        <v>0</v>
      </c>
      <c r="AE369" s="25">
        <v>0</v>
      </c>
      <c r="AF369" s="25">
        <v>0</v>
      </c>
      <c r="AG369" s="25">
        <v>0.427734375</v>
      </c>
      <c r="AH369" s="25">
        <v>0.36499999999999999</v>
      </c>
      <c r="AI369" s="14" t="s">
        <v>1571</v>
      </c>
      <c r="AJ369" s="14" t="s">
        <v>33</v>
      </c>
    </row>
    <row r="370" spans="1:36" x14ac:dyDescent="0.25">
      <c r="A370" s="1">
        <v>326</v>
      </c>
      <c r="B370" s="25" t="s">
        <v>730</v>
      </c>
      <c r="C370" s="25" t="s">
        <v>401</v>
      </c>
      <c r="D370" s="25" t="s">
        <v>19</v>
      </c>
      <c r="E370" s="25" t="s">
        <v>107</v>
      </c>
      <c r="F370" s="25">
        <v>86.17</v>
      </c>
      <c r="G370" s="25">
        <v>30</v>
      </c>
      <c r="H370" s="25">
        <v>0</v>
      </c>
      <c r="I370" s="25">
        <v>0</v>
      </c>
      <c r="J370" s="25">
        <v>0</v>
      </c>
      <c r="K370" s="25">
        <v>0</v>
      </c>
      <c r="L370" s="25">
        <v>0</v>
      </c>
      <c r="M370" s="25">
        <v>3</v>
      </c>
      <c r="N370" s="25">
        <v>2</v>
      </c>
      <c r="O370" s="25">
        <v>0</v>
      </c>
      <c r="P370" s="25">
        <v>0</v>
      </c>
      <c r="Q370" s="25">
        <v>0</v>
      </c>
      <c r="R370" s="25">
        <v>0</v>
      </c>
      <c r="S370" s="25">
        <v>0</v>
      </c>
      <c r="T370" s="25">
        <v>0</v>
      </c>
      <c r="U370" s="25">
        <v>0</v>
      </c>
      <c r="V370" s="25">
        <v>1</v>
      </c>
      <c r="W370" s="25">
        <v>0</v>
      </c>
      <c r="X370" s="25">
        <v>0</v>
      </c>
      <c r="Y370" s="25">
        <v>0</v>
      </c>
      <c r="Z370" s="25">
        <v>0</v>
      </c>
      <c r="AA370" s="25">
        <v>0</v>
      </c>
      <c r="AB370" s="25">
        <v>0</v>
      </c>
      <c r="AC370" s="25">
        <v>0</v>
      </c>
      <c r="AD370" s="25">
        <v>0</v>
      </c>
      <c r="AE370" s="25">
        <v>0</v>
      </c>
      <c r="AF370" s="25">
        <v>0</v>
      </c>
      <c r="AG370" s="25">
        <v>0.26</v>
      </c>
      <c r="AH370" s="25">
        <v>0.26</v>
      </c>
      <c r="AI370" s="25" t="s">
        <v>1098</v>
      </c>
      <c r="AJ370" s="14" t="s">
        <v>33</v>
      </c>
    </row>
    <row r="371" spans="1:36" x14ac:dyDescent="0.25">
      <c r="A371" s="1">
        <v>327</v>
      </c>
      <c r="B371" s="14" t="s">
        <v>1580</v>
      </c>
      <c r="C371" s="14" t="s">
        <v>1375</v>
      </c>
      <c r="D371" s="14" t="s">
        <v>19</v>
      </c>
      <c r="E371" s="29" t="s">
        <v>85</v>
      </c>
      <c r="F371" s="14">
        <v>100.19799999999999</v>
      </c>
      <c r="G371" s="14">
        <v>30</v>
      </c>
      <c r="H371" s="14">
        <v>0</v>
      </c>
      <c r="I371" s="14">
        <v>0</v>
      </c>
      <c r="J371" s="14">
        <v>0</v>
      </c>
      <c r="K371" s="14">
        <v>0</v>
      </c>
      <c r="L371" s="14">
        <v>1</v>
      </c>
      <c r="M371" s="14">
        <v>4</v>
      </c>
      <c r="N371" s="14">
        <v>2</v>
      </c>
      <c r="O371" s="14">
        <v>0</v>
      </c>
      <c r="P371" s="14">
        <v>0</v>
      </c>
      <c r="Q371" s="14">
        <v>0</v>
      </c>
      <c r="R371" s="14">
        <v>0</v>
      </c>
      <c r="S371" s="14">
        <v>0</v>
      </c>
      <c r="T371" s="14">
        <v>0</v>
      </c>
      <c r="U371" s="14">
        <v>0</v>
      </c>
      <c r="V371" s="14">
        <v>0</v>
      </c>
      <c r="W371" s="14">
        <v>0</v>
      </c>
      <c r="X371" s="14">
        <v>0</v>
      </c>
      <c r="Y371" s="14">
        <v>0</v>
      </c>
      <c r="Z371" s="14">
        <v>0</v>
      </c>
      <c r="AA371" s="14">
        <v>0</v>
      </c>
      <c r="AB371" s="14">
        <v>0</v>
      </c>
      <c r="AC371" s="14">
        <v>0</v>
      </c>
      <c r="AD371" s="25">
        <v>0</v>
      </c>
      <c r="AE371" s="25">
        <v>0</v>
      </c>
      <c r="AF371" s="25">
        <v>0</v>
      </c>
      <c r="AG371" s="25">
        <v>0.3359375</v>
      </c>
      <c r="AH371" s="25">
        <v>0.31944444399999999</v>
      </c>
      <c r="AI371" s="14" t="s">
        <v>1571</v>
      </c>
      <c r="AJ371" s="14" t="s">
        <v>33</v>
      </c>
    </row>
    <row r="372" spans="1:36" x14ac:dyDescent="0.25">
      <c r="A372" s="1">
        <v>328</v>
      </c>
      <c r="B372" s="25" t="s">
        <v>751</v>
      </c>
      <c r="C372" s="25" t="s">
        <v>450</v>
      </c>
      <c r="D372" s="25" t="s">
        <v>20</v>
      </c>
      <c r="E372" s="25" t="s">
        <v>190</v>
      </c>
      <c r="F372" s="25">
        <v>114.18</v>
      </c>
      <c r="G372" s="25">
        <v>30</v>
      </c>
      <c r="H372" s="25">
        <v>0</v>
      </c>
      <c r="I372" s="25">
        <v>0</v>
      </c>
      <c r="J372" s="25">
        <v>0</v>
      </c>
      <c r="K372" s="25">
        <v>0</v>
      </c>
      <c r="L372" s="25">
        <v>0</v>
      </c>
      <c r="M372" s="25">
        <v>2</v>
      </c>
      <c r="N372" s="25">
        <v>4</v>
      </c>
      <c r="O372" s="25">
        <v>0</v>
      </c>
      <c r="P372" s="25">
        <v>0</v>
      </c>
      <c r="Q372" s="25">
        <v>0</v>
      </c>
      <c r="R372" s="25">
        <v>1</v>
      </c>
      <c r="S372" s="25">
        <v>0</v>
      </c>
      <c r="T372" s="25">
        <v>0</v>
      </c>
      <c r="U372" s="25">
        <v>0</v>
      </c>
      <c r="V372" s="25">
        <v>0</v>
      </c>
      <c r="W372" s="25">
        <v>0</v>
      </c>
      <c r="X372" s="25">
        <v>0</v>
      </c>
      <c r="Y372" s="25">
        <v>0</v>
      </c>
      <c r="Z372" s="25">
        <v>0</v>
      </c>
      <c r="AA372" s="25">
        <v>0</v>
      </c>
      <c r="AB372" s="25">
        <v>0</v>
      </c>
      <c r="AC372" s="25">
        <v>0</v>
      </c>
      <c r="AD372" s="25">
        <v>0</v>
      </c>
      <c r="AE372" s="25">
        <v>0</v>
      </c>
      <c r="AF372" s="25">
        <v>0</v>
      </c>
      <c r="AG372" s="25">
        <v>0.375</v>
      </c>
      <c r="AH372" s="25">
        <v>0.3984375</v>
      </c>
      <c r="AI372" s="25" t="s">
        <v>1146</v>
      </c>
      <c r="AJ372" s="14" t="s">
        <v>33</v>
      </c>
    </row>
    <row r="373" spans="1:36" x14ac:dyDescent="0.25">
      <c r="A373" s="1">
        <v>330</v>
      </c>
      <c r="B373" s="25" t="s">
        <v>797</v>
      </c>
      <c r="C373" s="25" t="s">
        <v>469</v>
      </c>
      <c r="D373" s="25" t="s">
        <v>21</v>
      </c>
      <c r="E373" s="25" t="s">
        <v>114</v>
      </c>
      <c r="F373" s="25">
        <v>154.25</v>
      </c>
      <c r="G373" s="25">
        <v>30</v>
      </c>
      <c r="H373" s="25">
        <v>0</v>
      </c>
      <c r="I373" s="25">
        <v>1</v>
      </c>
      <c r="J373" s="25">
        <v>0</v>
      </c>
      <c r="K373" s="25">
        <v>1</v>
      </c>
      <c r="L373" s="25">
        <v>0</v>
      </c>
      <c r="M373" s="25">
        <v>3</v>
      </c>
      <c r="N373" s="25">
        <v>0</v>
      </c>
      <c r="O373" s="25">
        <v>0</v>
      </c>
      <c r="P373" s="25">
        <v>0</v>
      </c>
      <c r="Q373" s="25">
        <v>1</v>
      </c>
      <c r="R373" s="25">
        <v>0</v>
      </c>
      <c r="S373" s="25">
        <v>0</v>
      </c>
      <c r="T373" s="25">
        <v>0</v>
      </c>
      <c r="U373" s="25">
        <v>0</v>
      </c>
      <c r="V373" s="25">
        <v>0</v>
      </c>
      <c r="W373" s="25">
        <v>1</v>
      </c>
      <c r="X373" s="25">
        <v>0</v>
      </c>
      <c r="Y373" s="25">
        <v>0</v>
      </c>
      <c r="Z373" s="25">
        <v>2</v>
      </c>
      <c r="AA373" s="25">
        <v>3</v>
      </c>
      <c r="AB373" s="25">
        <v>0</v>
      </c>
      <c r="AC373" s="25">
        <v>0</v>
      </c>
      <c r="AD373" s="25">
        <v>0</v>
      </c>
      <c r="AE373" s="25">
        <v>0</v>
      </c>
      <c r="AF373" s="25">
        <v>0</v>
      </c>
      <c r="AG373" s="25">
        <v>0.38581314900000002</v>
      </c>
      <c r="AH373" s="25">
        <v>0.40625</v>
      </c>
      <c r="AI373" s="25" t="s">
        <v>1165</v>
      </c>
      <c r="AJ373" s="14" t="s">
        <v>33</v>
      </c>
    </row>
    <row r="374" spans="1:36" x14ac:dyDescent="0.25">
      <c r="A374" s="1">
        <v>331</v>
      </c>
      <c r="B374" s="25" t="s">
        <v>894</v>
      </c>
      <c r="C374" s="25" t="s">
        <v>533</v>
      </c>
      <c r="D374" s="25" t="s">
        <v>16</v>
      </c>
      <c r="E374" s="25" t="s">
        <v>105</v>
      </c>
      <c r="F374" s="25">
        <v>126.24</v>
      </c>
      <c r="G374" s="25">
        <v>30.5</v>
      </c>
      <c r="H374" s="25">
        <v>0</v>
      </c>
      <c r="I374" s="25">
        <v>0</v>
      </c>
      <c r="J374" s="25">
        <v>0</v>
      </c>
      <c r="K374" s="25">
        <v>0</v>
      </c>
      <c r="L374" s="25">
        <v>0</v>
      </c>
      <c r="M374" s="25">
        <v>3</v>
      </c>
      <c r="N374" s="25">
        <v>0</v>
      </c>
      <c r="O374" s="25">
        <v>0</v>
      </c>
      <c r="P374" s="25">
        <v>0</v>
      </c>
      <c r="Q374" s="25">
        <v>0</v>
      </c>
      <c r="R374" s="25">
        <v>0</v>
      </c>
      <c r="S374" s="25">
        <v>0</v>
      </c>
      <c r="T374" s="25">
        <v>0</v>
      </c>
      <c r="U374" s="25">
        <v>0</v>
      </c>
      <c r="V374" s="25">
        <v>0</v>
      </c>
      <c r="W374" s="25">
        <v>0</v>
      </c>
      <c r="X374" s="25">
        <v>0</v>
      </c>
      <c r="Y374" s="25">
        <v>0</v>
      </c>
      <c r="Z374" s="25">
        <v>3</v>
      </c>
      <c r="AA374" s="25">
        <v>3</v>
      </c>
      <c r="AB374" s="25">
        <v>0</v>
      </c>
      <c r="AC374" s="25">
        <v>0</v>
      </c>
      <c r="AD374" s="25">
        <v>0</v>
      </c>
      <c r="AE374" s="25">
        <v>0</v>
      </c>
      <c r="AF374" s="25">
        <v>0</v>
      </c>
      <c r="AG374" s="25">
        <v>0.33</v>
      </c>
      <c r="AH374" s="25">
        <v>0.33333333300000001</v>
      </c>
      <c r="AI374" s="25" t="s">
        <v>1230</v>
      </c>
      <c r="AJ374" s="14" t="s">
        <v>33</v>
      </c>
    </row>
    <row r="375" spans="1:36" x14ac:dyDescent="0.25">
      <c r="A375" s="1">
        <v>332</v>
      </c>
      <c r="B375" s="25" t="s">
        <v>1616</v>
      </c>
      <c r="C375" s="25" t="s">
        <v>1391</v>
      </c>
      <c r="D375" s="25" t="s">
        <v>16</v>
      </c>
      <c r="E375" s="25" t="s">
        <v>1615</v>
      </c>
      <c r="F375" s="25">
        <v>112.208</v>
      </c>
      <c r="G375" s="25">
        <v>30.5</v>
      </c>
      <c r="H375" s="25">
        <v>0</v>
      </c>
      <c r="I375" s="25">
        <v>0</v>
      </c>
      <c r="J375" s="25">
        <v>0</v>
      </c>
      <c r="K375" s="25">
        <v>0</v>
      </c>
      <c r="L375" s="25">
        <v>0</v>
      </c>
      <c r="M375" s="25">
        <v>2</v>
      </c>
      <c r="N375" s="25">
        <v>0</v>
      </c>
      <c r="O375" s="25">
        <v>0</v>
      </c>
      <c r="P375" s="25">
        <v>0</v>
      </c>
      <c r="Q375" s="25">
        <v>0</v>
      </c>
      <c r="R375" s="25">
        <v>0</v>
      </c>
      <c r="S375" s="25">
        <v>0</v>
      </c>
      <c r="T375" s="25">
        <v>0</v>
      </c>
      <c r="U375" s="25">
        <v>0</v>
      </c>
      <c r="V375" s="25">
        <v>0</v>
      </c>
      <c r="W375" s="25">
        <v>0</v>
      </c>
      <c r="X375" s="25">
        <v>0</v>
      </c>
      <c r="Y375" s="25">
        <v>0</v>
      </c>
      <c r="Z375" s="25">
        <v>2</v>
      </c>
      <c r="AA375" s="25">
        <v>4</v>
      </c>
      <c r="AB375" s="25">
        <v>0</v>
      </c>
      <c r="AC375" s="25">
        <v>0</v>
      </c>
      <c r="AD375" s="25">
        <v>0</v>
      </c>
      <c r="AE375" s="25">
        <v>0</v>
      </c>
      <c r="AF375" s="25">
        <v>0</v>
      </c>
      <c r="AG375" s="25">
        <v>0.28892733599999998</v>
      </c>
      <c r="AH375" s="25">
        <v>0.28125</v>
      </c>
      <c r="AI375" s="25" t="s">
        <v>1571</v>
      </c>
      <c r="AJ375" s="14" t="s">
        <v>33</v>
      </c>
    </row>
    <row r="376" spans="1:36" x14ac:dyDescent="0.25">
      <c r="A376" s="1">
        <v>333</v>
      </c>
      <c r="B376" s="25" t="s">
        <v>1922</v>
      </c>
      <c r="C376" s="25" t="s">
        <v>2055</v>
      </c>
      <c r="D376" s="25" t="s">
        <v>1537</v>
      </c>
      <c r="E376" s="25" t="s">
        <v>113</v>
      </c>
      <c r="F376" s="25">
        <v>280.43599999999998</v>
      </c>
      <c r="G376" s="25">
        <v>31</v>
      </c>
      <c r="H376" s="25">
        <v>0</v>
      </c>
      <c r="I376" s="25">
        <v>2</v>
      </c>
      <c r="J376" s="25">
        <v>0</v>
      </c>
      <c r="K376" s="25">
        <v>2</v>
      </c>
      <c r="L376" s="25">
        <v>0</v>
      </c>
      <c r="M376" s="25">
        <v>1</v>
      </c>
      <c r="N376" s="25">
        <v>12</v>
      </c>
      <c r="O376" s="25">
        <v>0</v>
      </c>
      <c r="P376" s="25">
        <v>0</v>
      </c>
      <c r="Q376" s="25">
        <v>0</v>
      </c>
      <c r="R376" s="25">
        <v>0</v>
      </c>
      <c r="S376" s="25">
        <v>0</v>
      </c>
      <c r="T376" s="25">
        <v>0</v>
      </c>
      <c r="U376" s="25">
        <v>0</v>
      </c>
      <c r="V376" s="25">
        <v>0</v>
      </c>
      <c r="W376" s="25">
        <v>4</v>
      </c>
      <c r="X376" s="25">
        <v>0</v>
      </c>
      <c r="Y376" s="25">
        <v>0</v>
      </c>
      <c r="Z376" s="25">
        <v>0</v>
      </c>
      <c r="AA376" s="25">
        <v>0</v>
      </c>
      <c r="AB376" s="25">
        <v>0</v>
      </c>
      <c r="AC376" s="25">
        <v>0</v>
      </c>
      <c r="AD376" s="25">
        <v>0</v>
      </c>
      <c r="AE376" s="25">
        <v>0</v>
      </c>
      <c r="AF376" s="25">
        <v>1</v>
      </c>
      <c r="AG376" s="25">
        <v>0.60640495900000002</v>
      </c>
      <c r="AH376" s="25">
        <v>0.61673553699999994</v>
      </c>
      <c r="AI376" s="25" t="s">
        <v>1571</v>
      </c>
      <c r="AJ376" s="14" t="s">
        <v>33</v>
      </c>
    </row>
    <row r="377" spans="1:36" x14ac:dyDescent="0.25">
      <c r="A377" s="1">
        <v>334</v>
      </c>
      <c r="B377" s="25" t="s">
        <v>900</v>
      </c>
      <c r="C377" s="25" t="s">
        <v>390</v>
      </c>
      <c r="D377" s="25" t="s">
        <v>16</v>
      </c>
      <c r="E377" s="25" t="s">
        <v>61</v>
      </c>
      <c r="F377" s="25">
        <v>244.41</v>
      </c>
      <c r="G377" s="25">
        <v>31</v>
      </c>
      <c r="H377" s="25">
        <v>0</v>
      </c>
      <c r="I377" s="25">
        <v>0</v>
      </c>
      <c r="J377" s="25">
        <v>0</v>
      </c>
      <c r="K377" s="25">
        <v>0</v>
      </c>
      <c r="L377" s="25">
        <v>0</v>
      </c>
      <c r="M377" s="25">
        <v>1</v>
      </c>
      <c r="N377" s="25">
        <v>7</v>
      </c>
      <c r="O377" s="25">
        <v>0</v>
      </c>
      <c r="P377" s="25">
        <v>0</v>
      </c>
      <c r="Q377" s="25">
        <v>0</v>
      </c>
      <c r="R377" s="25">
        <v>0</v>
      </c>
      <c r="S377" s="25">
        <v>0</v>
      </c>
      <c r="T377" s="25">
        <v>0</v>
      </c>
      <c r="U377" s="25">
        <v>0</v>
      </c>
      <c r="V377" s="25">
        <v>0</v>
      </c>
      <c r="W377" s="25">
        <v>0</v>
      </c>
      <c r="X377" s="25">
        <v>0</v>
      </c>
      <c r="Y377" s="25">
        <v>0</v>
      </c>
      <c r="Z377" s="25">
        <v>3</v>
      </c>
      <c r="AA377" s="25">
        <v>7</v>
      </c>
      <c r="AB377" s="25">
        <v>0</v>
      </c>
      <c r="AC377" s="25">
        <v>0</v>
      </c>
      <c r="AD377" s="25">
        <v>0</v>
      </c>
      <c r="AE377" s="25">
        <v>0</v>
      </c>
      <c r="AF377" s="25">
        <v>0</v>
      </c>
      <c r="AG377" s="25">
        <v>0.48639455799999998</v>
      </c>
      <c r="AH377" s="25">
        <v>0.51939058199999999</v>
      </c>
      <c r="AI377" s="25" t="s">
        <v>2056</v>
      </c>
      <c r="AJ377" s="14" t="s">
        <v>33</v>
      </c>
    </row>
    <row r="378" spans="1:36" x14ac:dyDescent="0.25">
      <c r="A378" s="1">
        <v>335</v>
      </c>
      <c r="B378" s="25" t="s">
        <v>899</v>
      </c>
      <c r="C378" s="25" t="s">
        <v>534</v>
      </c>
      <c r="D378" s="25" t="s">
        <v>16</v>
      </c>
      <c r="E378" s="25" t="s">
        <v>68</v>
      </c>
      <c r="F378" s="25">
        <v>188.31</v>
      </c>
      <c r="G378" s="25">
        <v>31</v>
      </c>
      <c r="H378" s="25">
        <v>0</v>
      </c>
      <c r="I378" s="25">
        <v>0</v>
      </c>
      <c r="J378" s="25">
        <v>0</v>
      </c>
      <c r="K378" s="25">
        <v>0</v>
      </c>
      <c r="L378" s="25">
        <v>0</v>
      </c>
      <c r="M378" s="25">
        <v>1</v>
      </c>
      <c r="N378" s="25">
        <v>3</v>
      </c>
      <c r="O378" s="25">
        <v>0</v>
      </c>
      <c r="P378" s="25">
        <v>0</v>
      </c>
      <c r="Q378" s="25">
        <v>0</v>
      </c>
      <c r="R378" s="25">
        <v>0</v>
      </c>
      <c r="S378" s="25">
        <v>0</v>
      </c>
      <c r="T378" s="25">
        <v>0</v>
      </c>
      <c r="U378" s="25">
        <v>0</v>
      </c>
      <c r="V378" s="25">
        <v>0</v>
      </c>
      <c r="W378" s="25">
        <v>0</v>
      </c>
      <c r="X378" s="25">
        <v>0</v>
      </c>
      <c r="Y378" s="25">
        <v>0</v>
      </c>
      <c r="Z378" s="25">
        <v>3</v>
      </c>
      <c r="AA378" s="25">
        <v>7</v>
      </c>
      <c r="AB378" s="25">
        <v>0</v>
      </c>
      <c r="AC378" s="25">
        <v>0</v>
      </c>
      <c r="AD378" s="25">
        <v>0</v>
      </c>
      <c r="AE378" s="25">
        <v>0</v>
      </c>
      <c r="AF378" s="25">
        <v>0</v>
      </c>
      <c r="AG378" s="25">
        <v>0.41349480999999999</v>
      </c>
      <c r="AH378" s="25">
        <v>0.42444444399999998</v>
      </c>
      <c r="AI378" s="25" t="s">
        <v>2057</v>
      </c>
      <c r="AJ378" s="14" t="s">
        <v>33</v>
      </c>
    </row>
    <row r="379" spans="1:36" x14ac:dyDescent="0.25">
      <c r="A379" s="1">
        <v>336</v>
      </c>
      <c r="B379" s="14" t="s">
        <v>1645</v>
      </c>
      <c r="C379" s="14" t="s">
        <v>2058</v>
      </c>
      <c r="D379" s="14" t="s">
        <v>16</v>
      </c>
      <c r="E379" s="29" t="s">
        <v>228</v>
      </c>
      <c r="F379" s="14">
        <v>194.34800000000001</v>
      </c>
      <c r="G379" s="14">
        <v>31</v>
      </c>
      <c r="H379" s="14">
        <v>0</v>
      </c>
      <c r="I379" s="14">
        <v>0</v>
      </c>
      <c r="J379" s="14">
        <v>0</v>
      </c>
      <c r="K379" s="14">
        <v>0</v>
      </c>
      <c r="L379" s="14">
        <v>0</v>
      </c>
      <c r="M379" s="14">
        <v>1</v>
      </c>
      <c r="N379" s="14">
        <v>3</v>
      </c>
      <c r="O379" s="14">
        <v>0</v>
      </c>
      <c r="P379" s="14">
        <v>0</v>
      </c>
      <c r="Q379" s="14">
        <v>0</v>
      </c>
      <c r="R379" s="14">
        <v>0</v>
      </c>
      <c r="S379" s="14">
        <v>0</v>
      </c>
      <c r="T379" s="14">
        <v>0</v>
      </c>
      <c r="U379" s="14">
        <v>0</v>
      </c>
      <c r="V379" s="14">
        <v>0</v>
      </c>
      <c r="W379" s="14">
        <v>0</v>
      </c>
      <c r="X379" s="14">
        <v>0</v>
      </c>
      <c r="Y379" s="14">
        <v>0</v>
      </c>
      <c r="Z379" s="14">
        <v>3</v>
      </c>
      <c r="AA379" s="14">
        <v>7</v>
      </c>
      <c r="AB379" s="14">
        <v>0</v>
      </c>
      <c r="AC379" s="14">
        <v>0</v>
      </c>
      <c r="AD379" s="25">
        <v>0</v>
      </c>
      <c r="AE379" s="25">
        <v>0</v>
      </c>
      <c r="AF379" s="25">
        <v>0</v>
      </c>
      <c r="AG379" s="25">
        <v>0.41349480999999999</v>
      </c>
      <c r="AH379" s="25">
        <v>0.43777777800000001</v>
      </c>
      <c r="AI379" s="14" t="s">
        <v>1571</v>
      </c>
      <c r="AJ379" s="14" t="s">
        <v>33</v>
      </c>
    </row>
    <row r="380" spans="1:36" x14ac:dyDescent="0.25">
      <c r="A380" s="1">
        <v>338</v>
      </c>
      <c r="B380" s="14" t="s">
        <v>1764</v>
      </c>
      <c r="C380" s="14" t="s">
        <v>1474</v>
      </c>
      <c r="D380" s="14" t="s">
        <v>1930</v>
      </c>
      <c r="E380" s="29" t="s">
        <v>1765</v>
      </c>
      <c r="F380" s="14">
        <v>172.26</v>
      </c>
      <c r="G380" s="14">
        <v>31</v>
      </c>
      <c r="H380" s="14">
        <v>0</v>
      </c>
      <c r="I380" s="14">
        <v>0</v>
      </c>
      <c r="J380" s="14">
        <v>0</v>
      </c>
      <c r="K380" s="14">
        <v>0</v>
      </c>
      <c r="L380" s="14">
        <v>0</v>
      </c>
      <c r="M380" s="14">
        <v>2</v>
      </c>
      <c r="N380" s="14">
        <v>7</v>
      </c>
      <c r="O380" s="14">
        <v>0</v>
      </c>
      <c r="P380" s="14">
        <v>0</v>
      </c>
      <c r="Q380" s="14">
        <v>0</v>
      </c>
      <c r="R380" s="14">
        <v>0</v>
      </c>
      <c r="S380" s="14">
        <v>0</v>
      </c>
      <c r="T380" s="14">
        <v>0</v>
      </c>
      <c r="U380" s="14">
        <v>1</v>
      </c>
      <c r="V380" s="14">
        <v>0</v>
      </c>
      <c r="W380" s="14">
        <v>0</v>
      </c>
      <c r="X380" s="14">
        <v>0</v>
      </c>
      <c r="Y380" s="14">
        <v>0</v>
      </c>
      <c r="Z380" s="14">
        <v>0</v>
      </c>
      <c r="AA380" s="14">
        <v>0</v>
      </c>
      <c r="AB380" s="14">
        <v>0</v>
      </c>
      <c r="AC380" s="14">
        <v>0</v>
      </c>
      <c r="AD380" s="25">
        <v>0</v>
      </c>
      <c r="AE380" s="25">
        <v>0</v>
      </c>
      <c r="AF380" s="25">
        <v>0</v>
      </c>
      <c r="AG380" s="25">
        <v>0.48958333300000001</v>
      </c>
      <c r="AH380" s="25">
        <v>0.49652777799999998</v>
      </c>
      <c r="AI380" s="14" t="s">
        <v>1571</v>
      </c>
      <c r="AJ380" s="14" t="s">
        <v>33</v>
      </c>
    </row>
    <row r="381" spans="1:36" x14ac:dyDescent="0.25">
      <c r="A381" s="1">
        <v>339</v>
      </c>
      <c r="B381" s="14" t="s">
        <v>599</v>
      </c>
      <c r="C381" s="14" t="s">
        <v>308</v>
      </c>
      <c r="D381" s="14" t="s">
        <v>21</v>
      </c>
      <c r="E381" s="29" t="s">
        <v>113</v>
      </c>
      <c r="F381" s="14">
        <v>280.44</v>
      </c>
      <c r="G381" s="14">
        <v>31</v>
      </c>
      <c r="H381" s="14">
        <v>0</v>
      </c>
      <c r="I381" s="14">
        <v>2</v>
      </c>
      <c r="J381" s="14">
        <v>0</v>
      </c>
      <c r="K381" s="14">
        <v>2</v>
      </c>
      <c r="L381" s="14">
        <v>0</v>
      </c>
      <c r="M381" s="14">
        <v>1</v>
      </c>
      <c r="N381" s="14">
        <v>12</v>
      </c>
      <c r="O381" s="14">
        <v>0</v>
      </c>
      <c r="P381" s="14">
        <v>0</v>
      </c>
      <c r="Q381" s="14">
        <v>0</v>
      </c>
      <c r="R381" s="14">
        <v>0</v>
      </c>
      <c r="S381" s="14">
        <v>0</v>
      </c>
      <c r="T381" s="14">
        <v>0</v>
      </c>
      <c r="U381" s="14">
        <v>0</v>
      </c>
      <c r="V381" s="14">
        <v>0</v>
      </c>
      <c r="W381" s="14">
        <v>4</v>
      </c>
      <c r="X381" s="14">
        <v>0</v>
      </c>
      <c r="Y381" s="14">
        <v>0</v>
      </c>
      <c r="Z381" s="14">
        <v>0</v>
      </c>
      <c r="AA381" s="14">
        <v>0</v>
      </c>
      <c r="AB381" s="14">
        <v>0</v>
      </c>
      <c r="AC381" s="14">
        <v>0</v>
      </c>
      <c r="AD381" s="25">
        <v>0</v>
      </c>
      <c r="AE381" s="25">
        <v>0</v>
      </c>
      <c r="AF381" s="25">
        <v>1</v>
      </c>
      <c r="AG381" s="25">
        <v>0.59326171900000002</v>
      </c>
      <c r="AH381" s="25">
        <v>0.61466942099999999</v>
      </c>
      <c r="AI381" s="14" t="s">
        <v>999</v>
      </c>
      <c r="AJ381" s="14" t="s">
        <v>33</v>
      </c>
    </row>
    <row r="382" spans="1:36" x14ac:dyDescent="0.25">
      <c r="A382" s="1">
        <v>341</v>
      </c>
      <c r="B382" s="14" t="s">
        <v>722</v>
      </c>
      <c r="C382" s="14" t="s">
        <v>293</v>
      </c>
      <c r="D382" s="14" t="s">
        <v>18</v>
      </c>
      <c r="E382" s="29" t="s">
        <v>100</v>
      </c>
      <c r="F382" s="14">
        <v>104.15</v>
      </c>
      <c r="G382" s="14">
        <v>31.3</v>
      </c>
      <c r="H382" s="14">
        <v>0</v>
      </c>
      <c r="I382" s="14">
        <v>0</v>
      </c>
      <c r="J382" s="14">
        <v>0</v>
      </c>
      <c r="K382" s="14">
        <v>0</v>
      </c>
      <c r="L382" s="14">
        <v>0</v>
      </c>
      <c r="M382" s="14">
        <v>4</v>
      </c>
      <c r="N382" s="14">
        <v>0</v>
      </c>
      <c r="O382" s="14">
        <v>0</v>
      </c>
      <c r="P382" s="14">
        <v>2</v>
      </c>
      <c r="Q382" s="14">
        <v>0</v>
      </c>
      <c r="R382" s="14">
        <v>0</v>
      </c>
      <c r="S382" s="14">
        <v>0</v>
      </c>
      <c r="T382" s="14">
        <v>0</v>
      </c>
      <c r="U382" s="14">
        <v>0</v>
      </c>
      <c r="V382" s="14">
        <v>0</v>
      </c>
      <c r="W382" s="14">
        <v>0</v>
      </c>
      <c r="X382" s="14">
        <v>0</v>
      </c>
      <c r="Y382" s="14">
        <v>0</v>
      </c>
      <c r="Z382" s="14">
        <v>0</v>
      </c>
      <c r="AA382" s="14">
        <v>0</v>
      </c>
      <c r="AB382" s="14">
        <v>0</v>
      </c>
      <c r="AC382" s="14">
        <v>0</v>
      </c>
      <c r="AD382" s="25">
        <v>0</v>
      </c>
      <c r="AE382" s="25">
        <v>0</v>
      </c>
      <c r="AF382" s="25">
        <v>0</v>
      </c>
      <c r="AG382" s="25">
        <v>0.30246913600000003</v>
      </c>
      <c r="AH382" s="25">
        <v>0.29166666699999999</v>
      </c>
      <c r="AI382" s="14" t="s">
        <v>982</v>
      </c>
      <c r="AJ382" s="14" t="s">
        <v>33</v>
      </c>
    </row>
    <row r="383" spans="1:36" x14ac:dyDescent="0.25">
      <c r="A383" s="1">
        <v>343</v>
      </c>
      <c r="B383" s="25" t="s">
        <v>1655</v>
      </c>
      <c r="C383" s="25" t="s">
        <v>1407</v>
      </c>
      <c r="D383" s="25" t="s">
        <v>12</v>
      </c>
      <c r="E383" s="25" t="s">
        <v>167</v>
      </c>
      <c r="F383" s="25">
        <v>98.182000000000002</v>
      </c>
      <c r="G383" s="25">
        <v>32</v>
      </c>
      <c r="H383" s="25">
        <v>0</v>
      </c>
      <c r="I383" s="25">
        <v>1</v>
      </c>
      <c r="J383" s="25">
        <v>0</v>
      </c>
      <c r="K383" s="25">
        <v>1</v>
      </c>
      <c r="L383" s="25">
        <v>0</v>
      </c>
      <c r="M383" s="25">
        <v>1</v>
      </c>
      <c r="N383" s="25">
        <v>4</v>
      </c>
      <c r="O383" s="25">
        <v>0</v>
      </c>
      <c r="P383" s="25">
        <v>0</v>
      </c>
      <c r="Q383" s="25">
        <v>0</v>
      </c>
      <c r="R383" s="25">
        <v>0</v>
      </c>
      <c r="S383" s="25">
        <v>0</v>
      </c>
      <c r="T383" s="25">
        <v>0</v>
      </c>
      <c r="U383" s="25">
        <v>0</v>
      </c>
      <c r="V383" s="25">
        <v>0</v>
      </c>
      <c r="W383" s="25">
        <v>1</v>
      </c>
      <c r="X383" s="25">
        <v>0</v>
      </c>
      <c r="Y383" s="25">
        <v>1</v>
      </c>
      <c r="Z383" s="25">
        <v>0</v>
      </c>
      <c r="AA383" s="25">
        <v>0</v>
      </c>
      <c r="AB383" s="25">
        <v>0</v>
      </c>
      <c r="AC383" s="25">
        <v>0</v>
      </c>
      <c r="AD383" s="25">
        <v>0</v>
      </c>
      <c r="AE383" s="25">
        <v>0</v>
      </c>
      <c r="AF383" s="25">
        <v>0</v>
      </c>
      <c r="AG383" s="25">
        <v>0.37755102000000001</v>
      </c>
      <c r="AH383" s="25">
        <v>0.37755102000000001</v>
      </c>
      <c r="AI383" s="25" t="s">
        <v>1571</v>
      </c>
      <c r="AJ383" s="14" t="s">
        <v>33</v>
      </c>
    </row>
    <row r="384" spans="1:36" x14ac:dyDescent="0.25">
      <c r="A384" s="1">
        <v>344</v>
      </c>
      <c r="B384" s="25" t="s">
        <v>1660</v>
      </c>
      <c r="C384" s="25" t="s">
        <v>2059</v>
      </c>
      <c r="D384" s="25" t="s">
        <v>12</v>
      </c>
      <c r="E384" s="25" t="s">
        <v>54</v>
      </c>
      <c r="F384" s="25">
        <v>112.208</v>
      </c>
      <c r="G384" s="25">
        <v>32</v>
      </c>
      <c r="H384" s="25">
        <v>0</v>
      </c>
      <c r="I384" s="25">
        <v>2</v>
      </c>
      <c r="J384" s="25">
        <v>0</v>
      </c>
      <c r="K384" s="25">
        <v>2</v>
      </c>
      <c r="L384" s="25">
        <v>0</v>
      </c>
      <c r="M384" s="25">
        <v>0</v>
      </c>
      <c r="N384" s="25">
        <v>0</v>
      </c>
      <c r="O384" s="25">
        <v>0</v>
      </c>
      <c r="P384" s="25">
        <v>0</v>
      </c>
      <c r="Q384" s="25">
        <v>0</v>
      </c>
      <c r="R384" s="25">
        <v>0</v>
      </c>
      <c r="S384" s="25">
        <v>0</v>
      </c>
      <c r="T384" s="25">
        <v>0</v>
      </c>
      <c r="U384" s="25">
        <v>0</v>
      </c>
      <c r="V384" s="25">
        <v>0</v>
      </c>
      <c r="W384" s="25">
        <v>1</v>
      </c>
      <c r="X384" s="25">
        <v>2</v>
      </c>
      <c r="Y384" s="25">
        <v>1</v>
      </c>
      <c r="Z384" s="25">
        <v>1</v>
      </c>
      <c r="AA384" s="25">
        <v>3</v>
      </c>
      <c r="AB384" s="25">
        <v>0</v>
      </c>
      <c r="AC384" s="25">
        <v>0</v>
      </c>
      <c r="AD384" s="25">
        <v>0</v>
      </c>
      <c r="AE384" s="25">
        <v>0</v>
      </c>
      <c r="AF384" s="25">
        <v>0</v>
      </c>
      <c r="AG384" s="25">
        <v>0.34499999999999997</v>
      </c>
      <c r="AH384" s="25">
        <v>0.34499999999999997</v>
      </c>
      <c r="AI384" s="25" t="s">
        <v>1571</v>
      </c>
      <c r="AJ384" s="14" t="s">
        <v>33</v>
      </c>
    </row>
    <row r="385" spans="1:36" x14ac:dyDescent="0.25">
      <c r="A385" s="1">
        <v>345</v>
      </c>
      <c r="B385" s="14" t="s">
        <v>1670</v>
      </c>
      <c r="C385" s="14" t="s">
        <v>1418</v>
      </c>
      <c r="D385" s="14" t="s">
        <v>12</v>
      </c>
      <c r="E385" s="29" t="s">
        <v>1671</v>
      </c>
      <c r="F385" s="14">
        <v>204.34200000000001</v>
      </c>
      <c r="G385" s="14">
        <v>32</v>
      </c>
      <c r="H385" s="14">
        <v>0</v>
      </c>
      <c r="I385" s="14">
        <v>4</v>
      </c>
      <c r="J385" s="14">
        <v>0</v>
      </c>
      <c r="K385" s="14">
        <v>4</v>
      </c>
      <c r="L385" s="14">
        <v>0</v>
      </c>
      <c r="M385" s="14">
        <v>4</v>
      </c>
      <c r="N385" s="14">
        <v>3</v>
      </c>
      <c r="O385" s="14">
        <v>0</v>
      </c>
      <c r="P385" s="14">
        <v>0</v>
      </c>
      <c r="Q385" s="14">
        <v>0</v>
      </c>
      <c r="R385" s="14">
        <v>0</v>
      </c>
      <c r="S385" s="14">
        <v>0</v>
      </c>
      <c r="T385" s="14">
        <v>0</v>
      </c>
      <c r="U385" s="14">
        <v>0</v>
      </c>
      <c r="V385" s="14">
        <v>0</v>
      </c>
      <c r="W385" s="14">
        <v>4</v>
      </c>
      <c r="X385" s="14">
        <v>0</v>
      </c>
      <c r="Y385" s="14">
        <v>1</v>
      </c>
      <c r="Z385" s="14">
        <v>0</v>
      </c>
      <c r="AA385" s="14">
        <v>0</v>
      </c>
      <c r="AB385" s="14">
        <v>0</v>
      </c>
      <c r="AC385" s="14">
        <v>0</v>
      </c>
      <c r="AD385" s="25">
        <v>0</v>
      </c>
      <c r="AE385" s="25">
        <v>0</v>
      </c>
      <c r="AF385" s="25">
        <v>0</v>
      </c>
      <c r="AG385" s="25">
        <v>0.52625</v>
      </c>
      <c r="AH385" s="25">
        <v>0.557098765</v>
      </c>
      <c r="AI385" s="14" t="s">
        <v>1571</v>
      </c>
      <c r="AJ385" s="14" t="s">
        <v>33</v>
      </c>
    </row>
    <row r="386" spans="1:36" x14ac:dyDescent="0.25">
      <c r="A386" s="1">
        <v>346</v>
      </c>
      <c r="B386" s="14" t="s">
        <v>1891</v>
      </c>
      <c r="C386" s="14" t="s">
        <v>1533</v>
      </c>
      <c r="D386" s="14" t="s">
        <v>13</v>
      </c>
      <c r="E386" s="29" t="s">
        <v>93</v>
      </c>
      <c r="F386" s="14">
        <v>190.316</v>
      </c>
      <c r="G386" s="14">
        <v>32</v>
      </c>
      <c r="H386" s="14">
        <v>6</v>
      </c>
      <c r="I386" s="14">
        <v>0</v>
      </c>
      <c r="J386" s="14">
        <v>6</v>
      </c>
      <c r="K386" s="14">
        <v>3</v>
      </c>
      <c r="L386" s="14">
        <v>0</v>
      </c>
      <c r="M386" s="14">
        <v>1</v>
      </c>
      <c r="N386" s="14">
        <v>7</v>
      </c>
      <c r="O386" s="14">
        <v>0</v>
      </c>
      <c r="P386" s="14">
        <v>0</v>
      </c>
      <c r="Q386" s="14">
        <v>0</v>
      </c>
      <c r="R386" s="14">
        <v>0</v>
      </c>
      <c r="S386" s="14">
        <v>0</v>
      </c>
      <c r="T386" s="14">
        <v>0</v>
      </c>
      <c r="U386" s="14">
        <v>0</v>
      </c>
      <c r="V386" s="14">
        <v>0</v>
      </c>
      <c r="W386" s="14">
        <v>0</v>
      </c>
      <c r="X386" s="14">
        <v>5</v>
      </c>
      <c r="Y386" s="14">
        <v>0</v>
      </c>
      <c r="Z386" s="14">
        <v>0</v>
      </c>
      <c r="AA386" s="14">
        <v>0</v>
      </c>
      <c r="AB386" s="14">
        <v>0</v>
      </c>
      <c r="AC386" s="14">
        <v>0</v>
      </c>
      <c r="AD386" s="25">
        <v>0</v>
      </c>
      <c r="AE386" s="25">
        <v>0</v>
      </c>
      <c r="AF386" s="25">
        <v>0</v>
      </c>
      <c r="AG386" s="25">
        <v>0.48611111099999998</v>
      </c>
      <c r="AH386" s="25">
        <v>0.47231833899999998</v>
      </c>
      <c r="AI386" s="14" t="s">
        <v>1571</v>
      </c>
      <c r="AJ386" s="14" t="s">
        <v>33</v>
      </c>
    </row>
    <row r="387" spans="1:36" x14ac:dyDescent="0.25">
      <c r="A387" s="1">
        <v>347</v>
      </c>
      <c r="B387" s="14" t="s">
        <v>884</v>
      </c>
      <c r="C387" s="14" t="s">
        <v>2060</v>
      </c>
      <c r="D387" s="14" t="s">
        <v>17</v>
      </c>
      <c r="E387" s="29" t="s">
        <v>939</v>
      </c>
      <c r="F387" s="14">
        <v>879.38</v>
      </c>
      <c r="G387" s="14">
        <v>32</v>
      </c>
      <c r="H387" s="14">
        <v>0</v>
      </c>
      <c r="I387" s="14">
        <v>6</v>
      </c>
      <c r="J387" s="14">
        <v>0</v>
      </c>
      <c r="K387" s="14">
        <v>6</v>
      </c>
      <c r="L387" s="14">
        <v>0</v>
      </c>
      <c r="M387" s="14">
        <v>3</v>
      </c>
      <c r="N387" s="14">
        <v>38</v>
      </c>
      <c r="O387" s="14">
        <v>0</v>
      </c>
      <c r="P387" s="14">
        <v>0</v>
      </c>
      <c r="Q387" s="14">
        <v>0</v>
      </c>
      <c r="R387" s="14">
        <v>0</v>
      </c>
      <c r="S387" s="14">
        <v>0</v>
      </c>
      <c r="T387" s="14">
        <v>0</v>
      </c>
      <c r="U387" s="14">
        <v>3</v>
      </c>
      <c r="V387" s="14">
        <v>1</v>
      </c>
      <c r="W387" s="14">
        <v>12</v>
      </c>
      <c r="X387" s="14">
        <v>0</v>
      </c>
      <c r="Y387" s="14">
        <v>0</v>
      </c>
      <c r="Z387" s="14">
        <v>0</v>
      </c>
      <c r="AA387" s="14">
        <v>0</v>
      </c>
      <c r="AB387" s="14">
        <v>0</v>
      </c>
      <c r="AC387" s="14">
        <v>0</v>
      </c>
      <c r="AD387" s="25">
        <v>0</v>
      </c>
      <c r="AE387" s="25">
        <v>0</v>
      </c>
      <c r="AF387" s="25">
        <v>0</v>
      </c>
      <c r="AG387" s="25">
        <v>0.75826855699999995</v>
      </c>
      <c r="AH387" s="25">
        <v>0.77306090100000002</v>
      </c>
      <c r="AI387" s="14" t="s">
        <v>940</v>
      </c>
      <c r="AJ387" s="14" t="s">
        <v>33</v>
      </c>
    </row>
    <row r="388" spans="1:36" x14ac:dyDescent="0.25">
      <c r="A388" s="1">
        <v>349</v>
      </c>
      <c r="B388" s="25" t="s">
        <v>647</v>
      </c>
      <c r="C388" s="25" t="s">
        <v>1403</v>
      </c>
      <c r="D388" s="25" t="s">
        <v>16</v>
      </c>
      <c r="E388" s="25" t="s">
        <v>1646</v>
      </c>
      <c r="F388" s="25">
        <v>204.34200000000001</v>
      </c>
      <c r="G388" s="25">
        <v>32.200000000000003</v>
      </c>
      <c r="H388" s="25">
        <v>0</v>
      </c>
      <c r="I388" s="25">
        <v>3</v>
      </c>
      <c r="J388" s="25">
        <v>0</v>
      </c>
      <c r="K388" s="25">
        <v>3</v>
      </c>
      <c r="L388" s="25">
        <v>0</v>
      </c>
      <c r="M388" s="25">
        <v>4</v>
      </c>
      <c r="N388" s="25">
        <v>2</v>
      </c>
      <c r="O388" s="25">
        <v>0</v>
      </c>
      <c r="P388" s="25">
        <v>0</v>
      </c>
      <c r="Q388" s="25">
        <v>0</v>
      </c>
      <c r="R388" s="25">
        <v>0</v>
      </c>
      <c r="S388" s="25">
        <v>0</v>
      </c>
      <c r="T388" s="25">
        <v>0</v>
      </c>
      <c r="U388" s="25">
        <v>0</v>
      </c>
      <c r="V388" s="25">
        <v>0</v>
      </c>
      <c r="W388" s="25">
        <v>1</v>
      </c>
      <c r="X388" s="25">
        <v>1</v>
      </c>
      <c r="Y388" s="25">
        <v>0</v>
      </c>
      <c r="Z388" s="25">
        <v>0</v>
      </c>
      <c r="AA388" s="25">
        <v>3</v>
      </c>
      <c r="AB388" s="25">
        <v>0</v>
      </c>
      <c r="AC388" s="25">
        <v>0</v>
      </c>
      <c r="AD388" s="25">
        <v>0</v>
      </c>
      <c r="AE388" s="25">
        <v>0</v>
      </c>
      <c r="AF388" s="25">
        <v>0</v>
      </c>
      <c r="AG388" s="25">
        <v>0.49537037</v>
      </c>
      <c r="AH388" s="25">
        <v>0.49537037</v>
      </c>
      <c r="AI388" s="25" t="s">
        <v>1571</v>
      </c>
      <c r="AJ388" s="14" t="s">
        <v>33</v>
      </c>
    </row>
    <row r="389" spans="1:36" x14ac:dyDescent="0.25">
      <c r="A389" s="1">
        <v>351</v>
      </c>
      <c r="B389" s="25" t="s">
        <v>1276</v>
      </c>
      <c r="C389" s="25" t="s">
        <v>2061</v>
      </c>
      <c r="D389" s="25" t="s">
        <v>13</v>
      </c>
      <c r="E389" s="25" t="s">
        <v>93</v>
      </c>
      <c r="F389" s="25">
        <v>190.32499910000001</v>
      </c>
      <c r="G389" s="25">
        <v>33</v>
      </c>
      <c r="H389" s="25">
        <v>6</v>
      </c>
      <c r="I389" s="25">
        <v>0</v>
      </c>
      <c r="J389" s="25">
        <v>6</v>
      </c>
      <c r="K389" s="25">
        <v>3</v>
      </c>
      <c r="L389" s="25">
        <v>0</v>
      </c>
      <c r="M389" s="25">
        <v>2</v>
      </c>
      <c r="N389" s="25">
        <v>5</v>
      </c>
      <c r="O389" s="25">
        <v>0</v>
      </c>
      <c r="P389" s="25">
        <v>0</v>
      </c>
      <c r="Q389" s="25">
        <v>0</v>
      </c>
      <c r="R389" s="25">
        <v>0</v>
      </c>
      <c r="S389" s="25">
        <v>0</v>
      </c>
      <c r="T389" s="25">
        <v>0</v>
      </c>
      <c r="U389" s="25">
        <v>0</v>
      </c>
      <c r="V389" s="25">
        <v>1</v>
      </c>
      <c r="W389" s="25">
        <v>0</v>
      </c>
      <c r="X389" s="25">
        <v>5</v>
      </c>
      <c r="Y389" s="25">
        <v>0</v>
      </c>
      <c r="Z389" s="25">
        <v>0</v>
      </c>
      <c r="AA389" s="25">
        <v>0</v>
      </c>
      <c r="AB389" s="25">
        <v>0</v>
      </c>
      <c r="AC389" s="25">
        <v>0</v>
      </c>
      <c r="AD389" s="25">
        <v>0</v>
      </c>
      <c r="AE389" s="25">
        <v>0</v>
      </c>
      <c r="AF389" s="25">
        <v>0</v>
      </c>
      <c r="AG389" s="25">
        <v>0.419375</v>
      </c>
      <c r="AH389" s="25">
        <v>0.47231833899999998</v>
      </c>
      <c r="AI389" s="25" t="s">
        <v>1306</v>
      </c>
      <c r="AJ389" s="14" t="s">
        <v>33</v>
      </c>
    </row>
    <row r="390" spans="1:36" x14ac:dyDescent="0.25">
      <c r="A390" s="1">
        <v>352</v>
      </c>
      <c r="B390" s="14" t="s">
        <v>1279</v>
      </c>
      <c r="C390" s="14" t="s">
        <v>2062</v>
      </c>
      <c r="D390" s="14" t="s">
        <v>13</v>
      </c>
      <c r="E390" s="29" t="s">
        <v>93</v>
      </c>
      <c r="F390" s="14">
        <v>190.32499910000001</v>
      </c>
      <c r="G390" s="14">
        <v>33</v>
      </c>
      <c r="H390" s="14">
        <v>6</v>
      </c>
      <c r="I390" s="14">
        <v>0</v>
      </c>
      <c r="J390" s="14">
        <v>6</v>
      </c>
      <c r="K390" s="14">
        <v>3</v>
      </c>
      <c r="L390" s="14">
        <v>0</v>
      </c>
      <c r="M390" s="14">
        <v>2</v>
      </c>
      <c r="N390" s="14">
        <v>5</v>
      </c>
      <c r="O390" s="14">
        <v>0</v>
      </c>
      <c r="P390" s="14">
        <v>0</v>
      </c>
      <c r="Q390" s="14">
        <v>0</v>
      </c>
      <c r="R390" s="14">
        <v>0</v>
      </c>
      <c r="S390" s="14">
        <v>0</v>
      </c>
      <c r="T390" s="14">
        <v>0</v>
      </c>
      <c r="U390" s="14">
        <v>0</v>
      </c>
      <c r="V390" s="14">
        <v>1</v>
      </c>
      <c r="W390" s="14">
        <v>0</v>
      </c>
      <c r="X390" s="14">
        <v>5</v>
      </c>
      <c r="Y390" s="14">
        <v>0</v>
      </c>
      <c r="Z390" s="14">
        <v>0</v>
      </c>
      <c r="AA390" s="14">
        <v>0</v>
      </c>
      <c r="AB390" s="14">
        <v>0</v>
      </c>
      <c r="AC390" s="14">
        <v>0</v>
      </c>
      <c r="AD390" s="25">
        <v>0</v>
      </c>
      <c r="AE390" s="25">
        <v>0</v>
      </c>
      <c r="AF390" s="25">
        <v>0</v>
      </c>
      <c r="AG390" s="25">
        <v>0.419375</v>
      </c>
      <c r="AH390" s="25">
        <v>0.47231833899999998</v>
      </c>
      <c r="AI390" s="14" t="s">
        <v>1306</v>
      </c>
      <c r="AJ390" s="14" t="s">
        <v>33</v>
      </c>
    </row>
    <row r="391" spans="1:36" x14ac:dyDescent="0.25">
      <c r="A391" s="1">
        <v>353</v>
      </c>
      <c r="B391" s="14" t="s">
        <v>690</v>
      </c>
      <c r="C391" s="14" t="s">
        <v>492</v>
      </c>
      <c r="D391" s="14" t="s">
        <v>17</v>
      </c>
      <c r="E391" s="29" t="s">
        <v>75</v>
      </c>
      <c r="F391" s="14">
        <v>144.21</v>
      </c>
      <c r="G391" s="14">
        <v>33.5</v>
      </c>
      <c r="H391" s="14">
        <v>0</v>
      </c>
      <c r="I391" s="14">
        <v>0</v>
      </c>
      <c r="J391" s="14">
        <v>0</v>
      </c>
      <c r="K391" s="14">
        <v>0</v>
      </c>
      <c r="L391" s="14">
        <v>0</v>
      </c>
      <c r="M391" s="14">
        <v>2</v>
      </c>
      <c r="N391" s="14">
        <v>5</v>
      </c>
      <c r="O391" s="14">
        <v>0</v>
      </c>
      <c r="P391" s="14">
        <v>0</v>
      </c>
      <c r="Q391" s="14">
        <v>0</v>
      </c>
      <c r="R391" s="14">
        <v>0</v>
      </c>
      <c r="S391" s="14">
        <v>0</v>
      </c>
      <c r="T391" s="14">
        <v>0</v>
      </c>
      <c r="U391" s="14">
        <v>1</v>
      </c>
      <c r="V391" s="14">
        <v>0</v>
      </c>
      <c r="W391" s="14">
        <v>0</v>
      </c>
      <c r="X391" s="14">
        <v>0</v>
      </c>
      <c r="Y391" s="14">
        <v>0</v>
      </c>
      <c r="Z391" s="14">
        <v>0</v>
      </c>
      <c r="AA391" s="14">
        <v>0</v>
      </c>
      <c r="AB391" s="14">
        <v>0</v>
      </c>
      <c r="AC391" s="14">
        <v>0</v>
      </c>
      <c r="AD391" s="25">
        <v>0</v>
      </c>
      <c r="AE391" s="25">
        <v>0</v>
      </c>
      <c r="AF391" s="25">
        <v>0</v>
      </c>
      <c r="AG391" s="25">
        <v>0.41319444399999999</v>
      </c>
      <c r="AH391" s="25">
        <v>0.44500000000000001</v>
      </c>
      <c r="AI391" s="14" t="s">
        <v>1187</v>
      </c>
      <c r="AJ391" s="14" t="s">
        <v>33</v>
      </c>
    </row>
    <row r="392" spans="1:36" x14ac:dyDescent="0.25">
      <c r="A392" s="1">
        <v>355</v>
      </c>
      <c r="B392" s="25" t="s">
        <v>705</v>
      </c>
      <c r="C392" s="25" t="s">
        <v>268</v>
      </c>
      <c r="D392" s="25" t="s">
        <v>17</v>
      </c>
      <c r="E392" s="25" t="s">
        <v>75</v>
      </c>
      <c r="F392" s="25">
        <v>144.21</v>
      </c>
      <c r="G392" s="25">
        <v>33.799999999999997</v>
      </c>
      <c r="H392" s="25">
        <v>0</v>
      </c>
      <c r="I392" s="25">
        <v>0</v>
      </c>
      <c r="J392" s="25">
        <v>0</v>
      </c>
      <c r="K392" s="25">
        <v>0</v>
      </c>
      <c r="L392" s="25">
        <v>0</v>
      </c>
      <c r="M392" s="25">
        <v>2</v>
      </c>
      <c r="N392" s="25">
        <v>5</v>
      </c>
      <c r="O392" s="25">
        <v>0</v>
      </c>
      <c r="P392" s="25">
        <v>0</v>
      </c>
      <c r="Q392" s="25">
        <v>0</v>
      </c>
      <c r="R392" s="25">
        <v>0</v>
      </c>
      <c r="S392" s="25">
        <v>0</v>
      </c>
      <c r="T392" s="25">
        <v>0</v>
      </c>
      <c r="U392" s="25">
        <v>1</v>
      </c>
      <c r="V392" s="25">
        <v>0</v>
      </c>
      <c r="W392" s="25">
        <v>0</v>
      </c>
      <c r="X392" s="25">
        <v>0</v>
      </c>
      <c r="Y392" s="25">
        <v>0</v>
      </c>
      <c r="Z392" s="25">
        <v>0</v>
      </c>
      <c r="AA392" s="25">
        <v>0</v>
      </c>
      <c r="AB392" s="25">
        <v>0</v>
      </c>
      <c r="AC392" s="25">
        <v>0</v>
      </c>
      <c r="AD392" s="25">
        <v>0</v>
      </c>
      <c r="AE392" s="25">
        <v>0</v>
      </c>
      <c r="AF392" s="25">
        <v>0</v>
      </c>
      <c r="AG392" s="25">
        <v>0.41319444399999999</v>
      </c>
      <c r="AH392" s="25">
        <v>0.46500000000000002</v>
      </c>
      <c r="AI392" s="25" t="s">
        <v>955</v>
      </c>
      <c r="AJ392" s="14" t="s">
        <v>33</v>
      </c>
    </row>
    <row r="393" spans="1:36" x14ac:dyDescent="0.25">
      <c r="A393" s="1">
        <v>356</v>
      </c>
      <c r="B393" s="14" t="s">
        <v>1761</v>
      </c>
      <c r="C393" s="14" t="s">
        <v>1471</v>
      </c>
      <c r="D393" s="14" t="s">
        <v>1930</v>
      </c>
      <c r="E393" s="29" t="s">
        <v>75</v>
      </c>
      <c r="F393" s="14">
        <v>144.208</v>
      </c>
      <c r="G393" s="14">
        <v>33.799999999999997</v>
      </c>
      <c r="H393" s="14">
        <v>0</v>
      </c>
      <c r="I393" s="14">
        <v>0</v>
      </c>
      <c r="J393" s="14">
        <v>0</v>
      </c>
      <c r="K393" s="14">
        <v>0</v>
      </c>
      <c r="L393" s="14">
        <v>0</v>
      </c>
      <c r="M393" s="14">
        <v>2</v>
      </c>
      <c r="N393" s="14">
        <v>5</v>
      </c>
      <c r="O393" s="14">
        <v>0</v>
      </c>
      <c r="P393" s="14">
        <v>0</v>
      </c>
      <c r="Q393" s="14">
        <v>0</v>
      </c>
      <c r="R393" s="14">
        <v>0</v>
      </c>
      <c r="S393" s="14">
        <v>0</v>
      </c>
      <c r="T393" s="14">
        <v>0</v>
      </c>
      <c r="U393" s="14">
        <v>1</v>
      </c>
      <c r="V393" s="14">
        <v>0</v>
      </c>
      <c r="W393" s="14">
        <v>0</v>
      </c>
      <c r="X393" s="14">
        <v>0</v>
      </c>
      <c r="Y393" s="14">
        <v>0</v>
      </c>
      <c r="Z393" s="14">
        <v>0</v>
      </c>
      <c r="AA393" s="14">
        <v>0</v>
      </c>
      <c r="AB393" s="14">
        <v>0</v>
      </c>
      <c r="AC393" s="14">
        <v>0</v>
      </c>
      <c r="AD393" s="25">
        <v>0</v>
      </c>
      <c r="AE393" s="25">
        <v>0</v>
      </c>
      <c r="AF393" s="25">
        <v>0</v>
      </c>
      <c r="AG393" s="25">
        <v>0.456632653</v>
      </c>
      <c r="AH393" s="25">
        <v>0.46500000000000002</v>
      </c>
      <c r="AI393" s="14" t="s">
        <v>1571</v>
      </c>
      <c r="AJ393" s="14" t="s">
        <v>33</v>
      </c>
    </row>
    <row r="394" spans="1:36" x14ac:dyDescent="0.25">
      <c r="A394" s="1">
        <v>357</v>
      </c>
      <c r="B394" s="25" t="s">
        <v>646</v>
      </c>
      <c r="C394" s="25" t="s">
        <v>420</v>
      </c>
      <c r="D394" s="25" t="s">
        <v>12</v>
      </c>
      <c r="E394" s="25" t="s">
        <v>54</v>
      </c>
      <c r="F394" s="25">
        <v>112.21</v>
      </c>
      <c r="G394" s="25">
        <v>34</v>
      </c>
      <c r="H394" s="25">
        <v>0</v>
      </c>
      <c r="I394" s="25">
        <v>1</v>
      </c>
      <c r="J394" s="25">
        <v>0</v>
      </c>
      <c r="K394" s="25">
        <v>1</v>
      </c>
      <c r="L394" s="25">
        <v>0</v>
      </c>
      <c r="M394" s="25">
        <v>2</v>
      </c>
      <c r="N394" s="25">
        <v>4</v>
      </c>
      <c r="O394" s="25">
        <v>0</v>
      </c>
      <c r="P394" s="25">
        <v>0</v>
      </c>
      <c r="Q394" s="25">
        <v>0</v>
      </c>
      <c r="R394" s="25">
        <v>0</v>
      </c>
      <c r="S394" s="25">
        <v>0</v>
      </c>
      <c r="T394" s="25">
        <v>0</v>
      </c>
      <c r="U394" s="25">
        <v>0</v>
      </c>
      <c r="V394" s="25">
        <v>0</v>
      </c>
      <c r="W394" s="25">
        <v>2</v>
      </c>
      <c r="X394" s="25">
        <v>0</v>
      </c>
      <c r="Y394" s="25">
        <v>0</v>
      </c>
      <c r="Z394" s="25">
        <v>0</v>
      </c>
      <c r="AA394" s="25">
        <v>0</v>
      </c>
      <c r="AB394" s="25">
        <v>0</v>
      </c>
      <c r="AC394" s="25">
        <v>0</v>
      </c>
      <c r="AD394" s="25">
        <v>0</v>
      </c>
      <c r="AE394" s="25">
        <v>0</v>
      </c>
      <c r="AF394" s="25">
        <v>0</v>
      </c>
      <c r="AG394" s="25">
        <v>0.3828125</v>
      </c>
      <c r="AH394" s="25">
        <v>0.3828125</v>
      </c>
      <c r="AI394" s="25" t="s">
        <v>1117</v>
      </c>
      <c r="AJ394" s="14" t="s">
        <v>33</v>
      </c>
    </row>
    <row r="395" spans="1:36" x14ac:dyDescent="0.25">
      <c r="A395" s="1">
        <v>358</v>
      </c>
      <c r="B395" s="25" t="s">
        <v>1659</v>
      </c>
      <c r="C395" s="25" t="s">
        <v>1412</v>
      </c>
      <c r="D395" s="25" t="s">
        <v>12</v>
      </c>
      <c r="E395" s="25" t="s">
        <v>1615</v>
      </c>
      <c r="F395" s="25">
        <v>112.208</v>
      </c>
      <c r="G395" s="25">
        <v>34</v>
      </c>
      <c r="H395" s="25">
        <v>0</v>
      </c>
      <c r="I395" s="25">
        <v>1</v>
      </c>
      <c r="J395" s="25">
        <v>0</v>
      </c>
      <c r="K395" s="25">
        <v>1</v>
      </c>
      <c r="L395" s="25">
        <v>0</v>
      </c>
      <c r="M395" s="25">
        <v>2</v>
      </c>
      <c r="N395" s="25">
        <v>4</v>
      </c>
      <c r="O395" s="25">
        <v>0</v>
      </c>
      <c r="P395" s="25">
        <v>0</v>
      </c>
      <c r="Q395" s="25">
        <v>0</v>
      </c>
      <c r="R395" s="25">
        <v>0</v>
      </c>
      <c r="S395" s="25">
        <v>0</v>
      </c>
      <c r="T395" s="25">
        <v>0</v>
      </c>
      <c r="U395" s="25">
        <v>0</v>
      </c>
      <c r="V395" s="25">
        <v>0</v>
      </c>
      <c r="W395" s="25">
        <v>2</v>
      </c>
      <c r="X395" s="25">
        <v>0</v>
      </c>
      <c r="Y395" s="25">
        <v>0</v>
      </c>
      <c r="Z395" s="25">
        <v>0</v>
      </c>
      <c r="AA395" s="25">
        <v>0</v>
      </c>
      <c r="AB395" s="25">
        <v>0</v>
      </c>
      <c r="AC395" s="25">
        <v>0</v>
      </c>
      <c r="AD395" s="25">
        <v>0</v>
      </c>
      <c r="AE395" s="25">
        <v>0</v>
      </c>
      <c r="AF395" s="25">
        <v>0</v>
      </c>
      <c r="AG395" s="25">
        <v>0.3828125</v>
      </c>
      <c r="AH395" s="25">
        <v>0.3828125</v>
      </c>
      <c r="AI395" s="25" t="s">
        <v>1571</v>
      </c>
      <c r="AJ395" s="14" t="s">
        <v>33</v>
      </c>
    </row>
    <row r="396" spans="1:36" x14ac:dyDescent="0.25">
      <c r="A396" s="1">
        <v>361</v>
      </c>
      <c r="B396" s="25" t="s">
        <v>1310</v>
      </c>
      <c r="C396" s="25" t="s">
        <v>2063</v>
      </c>
      <c r="D396" s="25" t="s">
        <v>21</v>
      </c>
      <c r="E396" s="25" t="s">
        <v>228</v>
      </c>
      <c r="F396" s="25">
        <v>194.35676219999999</v>
      </c>
      <c r="G396" s="25">
        <v>34</v>
      </c>
      <c r="H396" s="25">
        <v>0</v>
      </c>
      <c r="I396" s="25">
        <v>0</v>
      </c>
      <c r="J396" s="25">
        <v>0</v>
      </c>
      <c r="K396" s="25">
        <v>0</v>
      </c>
      <c r="L396" s="25">
        <v>0</v>
      </c>
      <c r="M396" s="25">
        <v>2</v>
      </c>
      <c r="N396" s="25">
        <v>1</v>
      </c>
      <c r="O396" s="25">
        <v>0</v>
      </c>
      <c r="P396" s="25">
        <v>0</v>
      </c>
      <c r="Q396" s="25">
        <v>0</v>
      </c>
      <c r="R396" s="25">
        <v>0</v>
      </c>
      <c r="S396" s="25">
        <v>0</v>
      </c>
      <c r="T396" s="25">
        <v>0</v>
      </c>
      <c r="U396" s="25">
        <v>0</v>
      </c>
      <c r="V396" s="25">
        <v>1</v>
      </c>
      <c r="W396" s="25">
        <v>0</v>
      </c>
      <c r="X396" s="25">
        <v>0</v>
      </c>
      <c r="Y396" s="25">
        <v>0</v>
      </c>
      <c r="Z396" s="25">
        <v>3</v>
      </c>
      <c r="AA396" s="25">
        <v>7</v>
      </c>
      <c r="AB396" s="25">
        <v>0</v>
      </c>
      <c r="AC396" s="25">
        <v>0</v>
      </c>
      <c r="AD396" s="25">
        <v>0</v>
      </c>
      <c r="AE396" s="25">
        <v>0</v>
      </c>
      <c r="AF396" s="25">
        <v>0</v>
      </c>
      <c r="AG396" s="25">
        <v>0.41349480999999999</v>
      </c>
      <c r="AH396" s="25">
        <v>0.42444444399999998</v>
      </c>
      <c r="AI396" s="25" t="s">
        <v>1306</v>
      </c>
      <c r="AJ396" s="14" t="s">
        <v>33</v>
      </c>
    </row>
    <row r="397" spans="1:36" x14ac:dyDescent="0.25">
      <c r="A397" s="1">
        <v>362</v>
      </c>
      <c r="B397" s="14" t="s">
        <v>604</v>
      </c>
      <c r="C397" s="14" t="s">
        <v>311</v>
      </c>
      <c r="D397" s="14" t="s">
        <v>21</v>
      </c>
      <c r="E397" s="29" t="s">
        <v>116</v>
      </c>
      <c r="F397" s="14">
        <v>114.14</v>
      </c>
      <c r="G397" s="14">
        <v>34</v>
      </c>
      <c r="H397" s="14">
        <v>0</v>
      </c>
      <c r="I397" s="14">
        <v>1</v>
      </c>
      <c r="J397" s="14">
        <v>0</v>
      </c>
      <c r="K397" s="14">
        <v>1</v>
      </c>
      <c r="L397" s="14">
        <v>0</v>
      </c>
      <c r="M397" s="14">
        <v>1</v>
      </c>
      <c r="N397" s="14">
        <v>2</v>
      </c>
      <c r="O397" s="14">
        <v>0</v>
      </c>
      <c r="P397" s="14">
        <v>0</v>
      </c>
      <c r="Q397" s="14">
        <v>0</v>
      </c>
      <c r="R397" s="14">
        <v>0</v>
      </c>
      <c r="S397" s="14">
        <v>0</v>
      </c>
      <c r="T397" s="14">
        <v>0</v>
      </c>
      <c r="U397" s="14">
        <v>1</v>
      </c>
      <c r="V397" s="14">
        <v>0</v>
      </c>
      <c r="W397" s="14">
        <v>1</v>
      </c>
      <c r="X397" s="14">
        <v>0</v>
      </c>
      <c r="Y397" s="14">
        <v>1</v>
      </c>
      <c r="Z397" s="14">
        <v>0</v>
      </c>
      <c r="AA397" s="14">
        <v>0</v>
      </c>
      <c r="AB397" s="14">
        <v>0</v>
      </c>
      <c r="AC397" s="14">
        <v>0</v>
      </c>
      <c r="AD397" s="25">
        <v>0</v>
      </c>
      <c r="AE397" s="25">
        <v>0</v>
      </c>
      <c r="AF397" s="25">
        <v>0</v>
      </c>
      <c r="AG397" s="25">
        <v>0.40123456800000001</v>
      </c>
      <c r="AH397" s="25">
        <v>0.40123456800000001</v>
      </c>
      <c r="AI397" s="14" t="s">
        <v>1002</v>
      </c>
      <c r="AJ397" s="14" t="s">
        <v>33</v>
      </c>
    </row>
    <row r="398" spans="1:36" x14ac:dyDescent="0.25">
      <c r="A398" s="1">
        <v>363</v>
      </c>
      <c r="B398" s="14" t="s">
        <v>731</v>
      </c>
      <c r="C398" s="14" t="s">
        <v>448</v>
      </c>
      <c r="D398" s="14" t="s">
        <v>19</v>
      </c>
      <c r="E398" s="29" t="s">
        <v>85</v>
      </c>
      <c r="F398" s="14">
        <v>100.2</v>
      </c>
      <c r="G398" s="14">
        <v>34.1</v>
      </c>
      <c r="H398" s="14">
        <v>0</v>
      </c>
      <c r="I398" s="14">
        <v>0</v>
      </c>
      <c r="J398" s="14">
        <v>0</v>
      </c>
      <c r="K398" s="14">
        <v>0</v>
      </c>
      <c r="L398" s="14">
        <v>0</v>
      </c>
      <c r="M398" s="14">
        <v>3</v>
      </c>
      <c r="N398" s="14">
        <v>3</v>
      </c>
      <c r="O398" s="14">
        <v>0</v>
      </c>
      <c r="P398" s="14">
        <v>0</v>
      </c>
      <c r="Q398" s="14">
        <v>0</v>
      </c>
      <c r="R398" s="14">
        <v>0</v>
      </c>
      <c r="S398" s="14">
        <v>0</v>
      </c>
      <c r="T398" s="14">
        <v>0</v>
      </c>
      <c r="U398" s="14">
        <v>0</v>
      </c>
      <c r="V398" s="14">
        <v>1</v>
      </c>
      <c r="W398" s="14">
        <v>0</v>
      </c>
      <c r="X398" s="14">
        <v>0</v>
      </c>
      <c r="Y398" s="14">
        <v>0</v>
      </c>
      <c r="Z398" s="14">
        <v>0</v>
      </c>
      <c r="AA398" s="14">
        <v>0</v>
      </c>
      <c r="AB398" s="14">
        <v>0</v>
      </c>
      <c r="AC398" s="14">
        <v>0</v>
      </c>
      <c r="AD398" s="25">
        <v>0</v>
      </c>
      <c r="AE398" s="25">
        <v>0</v>
      </c>
      <c r="AF398" s="25">
        <v>0</v>
      </c>
      <c r="AG398" s="25">
        <v>0.29166666699999999</v>
      </c>
      <c r="AH398" s="25">
        <v>0.29166666699999999</v>
      </c>
      <c r="AI398" s="14" t="s">
        <v>1144</v>
      </c>
      <c r="AJ398" s="14" t="s">
        <v>33</v>
      </c>
    </row>
    <row r="399" spans="1:36" x14ac:dyDescent="0.25">
      <c r="A399" s="1">
        <v>364</v>
      </c>
      <c r="B399" s="14" t="s">
        <v>1619</v>
      </c>
      <c r="C399" s="14" t="s">
        <v>2064</v>
      </c>
      <c r="D399" s="14" t="s">
        <v>16</v>
      </c>
      <c r="E399" s="29" t="s">
        <v>1620</v>
      </c>
      <c r="F399" s="14">
        <v>124.218</v>
      </c>
      <c r="G399" s="14">
        <v>34.200000000000003</v>
      </c>
      <c r="H399" s="14">
        <v>0</v>
      </c>
      <c r="I399" s="14">
        <v>0</v>
      </c>
      <c r="J399" s="14">
        <v>0</v>
      </c>
      <c r="K399" s="14">
        <v>0</v>
      </c>
      <c r="L399" s="14">
        <v>1</v>
      </c>
      <c r="M399" s="14">
        <v>4</v>
      </c>
      <c r="N399" s="14">
        <v>0</v>
      </c>
      <c r="O399" s="14">
        <v>0</v>
      </c>
      <c r="P399" s="14">
        <v>0</v>
      </c>
      <c r="Q399" s="14">
        <v>0</v>
      </c>
      <c r="R399" s="14">
        <v>0</v>
      </c>
      <c r="S399" s="14">
        <v>0</v>
      </c>
      <c r="T399" s="14">
        <v>0</v>
      </c>
      <c r="U399" s="14">
        <v>0</v>
      </c>
      <c r="V399" s="14">
        <v>0</v>
      </c>
      <c r="W399" s="14">
        <v>0</v>
      </c>
      <c r="X399" s="14">
        <v>0</v>
      </c>
      <c r="Y399" s="14">
        <v>0</v>
      </c>
      <c r="Z399" s="14">
        <v>2</v>
      </c>
      <c r="AA399" s="14">
        <v>2</v>
      </c>
      <c r="AB399" s="14">
        <v>0</v>
      </c>
      <c r="AC399" s="14">
        <v>0</v>
      </c>
      <c r="AD399" s="25">
        <v>0</v>
      </c>
      <c r="AE399" s="25">
        <v>0</v>
      </c>
      <c r="AF399" s="25">
        <v>0</v>
      </c>
      <c r="AG399" s="25">
        <v>0.33333333300000001</v>
      </c>
      <c r="AH399" s="25">
        <v>0.33333333300000001</v>
      </c>
      <c r="AI399" s="14" t="s">
        <v>1571</v>
      </c>
      <c r="AJ399" s="14" t="s">
        <v>33</v>
      </c>
    </row>
    <row r="400" spans="1:36" x14ac:dyDescent="0.25">
      <c r="A400" s="1">
        <v>365</v>
      </c>
      <c r="B400" s="25" t="s">
        <v>1576</v>
      </c>
      <c r="C400" s="25" t="s">
        <v>1372</v>
      </c>
      <c r="D400" s="25" t="s">
        <v>19</v>
      </c>
      <c r="E400" s="25" t="s">
        <v>107</v>
      </c>
      <c r="F400" s="25">
        <v>86.171999999999997</v>
      </c>
      <c r="G400" s="25">
        <v>34.5</v>
      </c>
      <c r="H400" s="25">
        <v>0</v>
      </c>
      <c r="I400" s="25">
        <v>0</v>
      </c>
      <c r="J400" s="25">
        <v>0</v>
      </c>
      <c r="K400" s="25">
        <v>0</v>
      </c>
      <c r="L400" s="25">
        <v>0</v>
      </c>
      <c r="M400" s="25">
        <v>3</v>
      </c>
      <c r="N400" s="25">
        <v>2</v>
      </c>
      <c r="O400" s="25">
        <v>0</v>
      </c>
      <c r="P400" s="25">
        <v>0</v>
      </c>
      <c r="Q400" s="25">
        <v>0</v>
      </c>
      <c r="R400" s="25">
        <v>0</v>
      </c>
      <c r="S400" s="25">
        <v>0</v>
      </c>
      <c r="T400" s="25">
        <v>0</v>
      </c>
      <c r="U400" s="25">
        <v>0</v>
      </c>
      <c r="V400" s="25">
        <v>1</v>
      </c>
      <c r="W400" s="25">
        <v>0</v>
      </c>
      <c r="X400" s="25">
        <v>0</v>
      </c>
      <c r="Y400" s="25">
        <v>0</v>
      </c>
      <c r="Z400" s="25">
        <v>0</v>
      </c>
      <c r="AA400" s="25">
        <v>0</v>
      </c>
      <c r="AB400" s="25">
        <v>0</v>
      </c>
      <c r="AC400" s="25">
        <v>0</v>
      </c>
      <c r="AD400" s="25">
        <v>0</v>
      </c>
      <c r="AE400" s="25">
        <v>0</v>
      </c>
      <c r="AF400" s="25">
        <v>0</v>
      </c>
      <c r="AG400" s="25">
        <v>0.3359375</v>
      </c>
      <c r="AH400" s="25">
        <v>0.3</v>
      </c>
      <c r="AI400" s="25" t="s">
        <v>1571</v>
      </c>
      <c r="AJ400" s="14" t="s">
        <v>33</v>
      </c>
    </row>
    <row r="401" spans="1:36" x14ac:dyDescent="0.25">
      <c r="A401" s="1">
        <v>367</v>
      </c>
      <c r="B401" s="25" t="s">
        <v>901</v>
      </c>
      <c r="C401" s="25" t="s">
        <v>535</v>
      </c>
      <c r="D401" s="25" t="s">
        <v>16</v>
      </c>
      <c r="E401" s="25" t="s">
        <v>126</v>
      </c>
      <c r="F401" s="25">
        <v>174.28</v>
      </c>
      <c r="G401" s="25">
        <v>35</v>
      </c>
      <c r="H401" s="25">
        <v>0</v>
      </c>
      <c r="I401" s="25">
        <v>0</v>
      </c>
      <c r="J401" s="25">
        <v>0</v>
      </c>
      <c r="K401" s="25">
        <v>0</v>
      </c>
      <c r="L401" s="25">
        <v>0</v>
      </c>
      <c r="M401" s="25">
        <v>1</v>
      </c>
      <c r="N401" s="25">
        <v>2</v>
      </c>
      <c r="O401" s="25">
        <v>0</v>
      </c>
      <c r="P401" s="25">
        <v>0</v>
      </c>
      <c r="Q401" s="25">
        <v>0</v>
      </c>
      <c r="R401" s="25">
        <v>0</v>
      </c>
      <c r="S401" s="25">
        <v>0</v>
      </c>
      <c r="T401" s="25">
        <v>0</v>
      </c>
      <c r="U401" s="25">
        <v>0</v>
      </c>
      <c r="V401" s="25">
        <v>0</v>
      </c>
      <c r="W401" s="25">
        <v>0</v>
      </c>
      <c r="X401" s="25">
        <v>0</v>
      </c>
      <c r="Y401" s="25">
        <v>0</v>
      </c>
      <c r="Z401" s="25">
        <v>3</v>
      </c>
      <c r="AA401" s="25">
        <v>7</v>
      </c>
      <c r="AB401" s="25">
        <v>0</v>
      </c>
      <c r="AC401" s="25">
        <v>0</v>
      </c>
      <c r="AD401" s="25">
        <v>0</v>
      </c>
      <c r="AE401" s="25">
        <v>0</v>
      </c>
      <c r="AF401" s="25">
        <v>0</v>
      </c>
      <c r="AG401" s="25">
        <v>0.380859375</v>
      </c>
      <c r="AH401" s="25">
        <v>0.408163265</v>
      </c>
      <c r="AI401" s="25" t="s">
        <v>2065</v>
      </c>
      <c r="AJ401" s="14" t="s">
        <v>33</v>
      </c>
    </row>
    <row r="402" spans="1:36" x14ac:dyDescent="0.25">
      <c r="A402" s="1">
        <v>368</v>
      </c>
      <c r="B402" s="25" t="s">
        <v>1640</v>
      </c>
      <c r="C402" s="25" t="s">
        <v>2066</v>
      </c>
      <c r="D402" s="25" t="s">
        <v>16</v>
      </c>
      <c r="E402" s="25" t="s">
        <v>1641</v>
      </c>
      <c r="F402" s="25">
        <v>180.322</v>
      </c>
      <c r="G402" s="25">
        <v>35</v>
      </c>
      <c r="H402" s="25">
        <v>0</v>
      </c>
      <c r="I402" s="25">
        <v>0</v>
      </c>
      <c r="J402" s="25">
        <v>0</v>
      </c>
      <c r="K402" s="25">
        <v>0</v>
      </c>
      <c r="L402" s="25">
        <v>0</v>
      </c>
      <c r="M402" s="25">
        <v>1</v>
      </c>
      <c r="N402" s="25">
        <v>2</v>
      </c>
      <c r="O402" s="25">
        <v>0</v>
      </c>
      <c r="P402" s="25">
        <v>0</v>
      </c>
      <c r="Q402" s="25">
        <v>0</v>
      </c>
      <c r="R402" s="25">
        <v>0</v>
      </c>
      <c r="S402" s="25">
        <v>0</v>
      </c>
      <c r="T402" s="25">
        <v>0</v>
      </c>
      <c r="U402" s="25">
        <v>0</v>
      </c>
      <c r="V402" s="25">
        <v>0</v>
      </c>
      <c r="W402" s="25">
        <v>0</v>
      </c>
      <c r="X402" s="25">
        <v>0</v>
      </c>
      <c r="Y402" s="25">
        <v>0</v>
      </c>
      <c r="Z402" s="25">
        <v>3</v>
      </c>
      <c r="AA402" s="25">
        <v>7</v>
      </c>
      <c r="AB402" s="25">
        <v>0</v>
      </c>
      <c r="AC402" s="25">
        <v>0</v>
      </c>
      <c r="AD402" s="25">
        <v>0</v>
      </c>
      <c r="AE402" s="25">
        <v>0</v>
      </c>
      <c r="AF402" s="25">
        <v>0</v>
      </c>
      <c r="AG402" s="25">
        <v>0.37111111099999999</v>
      </c>
      <c r="AH402" s="25">
        <v>0.38265306100000002</v>
      </c>
      <c r="AI402" s="25" t="s">
        <v>1571</v>
      </c>
      <c r="AJ402" s="14" t="s">
        <v>33</v>
      </c>
    </row>
    <row r="403" spans="1:36" x14ac:dyDescent="0.25">
      <c r="A403" s="1">
        <v>370</v>
      </c>
      <c r="B403" s="25" t="s">
        <v>913</v>
      </c>
      <c r="C403" s="25" t="s">
        <v>494</v>
      </c>
      <c r="D403" s="25" t="s">
        <v>16</v>
      </c>
      <c r="E403" s="25" t="s">
        <v>55</v>
      </c>
      <c r="F403" s="25">
        <v>138.25</v>
      </c>
      <c r="G403" s="25">
        <v>35.9</v>
      </c>
      <c r="H403" s="25">
        <v>0</v>
      </c>
      <c r="I403" s="25">
        <v>0</v>
      </c>
      <c r="J403" s="25">
        <v>0</v>
      </c>
      <c r="K403" s="25">
        <v>0</v>
      </c>
      <c r="L403" s="25">
        <v>0</v>
      </c>
      <c r="M403" s="25">
        <v>0</v>
      </c>
      <c r="N403" s="25">
        <v>0</v>
      </c>
      <c r="O403" s="25">
        <v>0</v>
      </c>
      <c r="P403" s="25">
        <v>0</v>
      </c>
      <c r="Q403" s="25">
        <v>0</v>
      </c>
      <c r="R403" s="25">
        <v>0</v>
      </c>
      <c r="S403" s="25">
        <v>0</v>
      </c>
      <c r="T403" s="25">
        <v>0</v>
      </c>
      <c r="U403" s="25">
        <v>0</v>
      </c>
      <c r="V403" s="25">
        <v>0</v>
      </c>
      <c r="W403" s="25">
        <v>0</v>
      </c>
      <c r="X403" s="25">
        <v>0</v>
      </c>
      <c r="Y403" s="25">
        <v>0</v>
      </c>
      <c r="Z403" s="25">
        <v>2</v>
      </c>
      <c r="AA403" s="25">
        <v>8</v>
      </c>
      <c r="AB403" s="25">
        <v>0</v>
      </c>
      <c r="AC403" s="25">
        <v>0</v>
      </c>
      <c r="AD403" s="25">
        <v>0</v>
      </c>
      <c r="AE403" s="25">
        <v>0</v>
      </c>
      <c r="AF403" s="25">
        <v>0</v>
      </c>
      <c r="AG403" s="25">
        <v>0.255859375</v>
      </c>
      <c r="AH403" s="25">
        <v>0.30165289299999998</v>
      </c>
      <c r="AI403" s="25" t="s">
        <v>1188</v>
      </c>
      <c r="AJ403" s="14" t="s">
        <v>33</v>
      </c>
    </row>
    <row r="404" spans="1:36" x14ac:dyDescent="0.25">
      <c r="A404" s="1">
        <v>371</v>
      </c>
      <c r="B404" s="25" t="s">
        <v>640</v>
      </c>
      <c r="C404" s="25" t="s">
        <v>333</v>
      </c>
      <c r="D404" s="25" t="s">
        <v>12</v>
      </c>
      <c r="E404" s="25" t="s">
        <v>128</v>
      </c>
      <c r="F404" s="25">
        <v>238.45</v>
      </c>
      <c r="G404" s="25">
        <v>36</v>
      </c>
      <c r="H404" s="25">
        <v>0</v>
      </c>
      <c r="I404" s="25">
        <v>1</v>
      </c>
      <c r="J404" s="25">
        <v>0</v>
      </c>
      <c r="K404" s="25">
        <v>1</v>
      </c>
      <c r="L404" s="25">
        <v>0</v>
      </c>
      <c r="M404" s="25">
        <v>2</v>
      </c>
      <c r="N404" s="25">
        <v>12</v>
      </c>
      <c r="O404" s="25">
        <v>0</v>
      </c>
      <c r="P404" s="25">
        <v>0</v>
      </c>
      <c r="Q404" s="25">
        <v>0</v>
      </c>
      <c r="R404" s="25">
        <v>0</v>
      </c>
      <c r="S404" s="25">
        <v>0</v>
      </c>
      <c r="T404" s="25">
        <v>0</v>
      </c>
      <c r="U404" s="25">
        <v>0</v>
      </c>
      <c r="V404" s="25">
        <v>1</v>
      </c>
      <c r="W404" s="25">
        <v>1</v>
      </c>
      <c r="X404" s="25">
        <v>0</v>
      </c>
      <c r="Y404" s="25">
        <v>1</v>
      </c>
      <c r="Z404" s="25">
        <v>0</v>
      </c>
      <c r="AA404" s="25">
        <v>0</v>
      </c>
      <c r="AB404" s="25">
        <v>0</v>
      </c>
      <c r="AC404" s="25">
        <v>0</v>
      </c>
      <c r="AD404" s="25">
        <v>0</v>
      </c>
      <c r="AE404" s="25">
        <v>0</v>
      </c>
      <c r="AF404" s="25">
        <v>0</v>
      </c>
      <c r="AG404" s="25">
        <v>0.55363321799999998</v>
      </c>
      <c r="AH404" s="25">
        <v>0.57093425600000003</v>
      </c>
      <c r="AI404" s="25" t="s">
        <v>1025</v>
      </c>
      <c r="AJ404" s="14" t="s">
        <v>33</v>
      </c>
    </row>
    <row r="405" spans="1:36" x14ac:dyDescent="0.25">
      <c r="A405" s="1">
        <v>372</v>
      </c>
      <c r="B405" s="25" t="s">
        <v>1367</v>
      </c>
      <c r="C405" s="25" t="s">
        <v>2067</v>
      </c>
      <c r="D405" s="25" t="s">
        <v>12</v>
      </c>
      <c r="E405" s="25" t="s">
        <v>128</v>
      </c>
      <c r="F405" s="25">
        <v>238.4524959</v>
      </c>
      <c r="G405" s="25">
        <v>36</v>
      </c>
      <c r="H405" s="25">
        <v>0</v>
      </c>
      <c r="I405" s="25">
        <v>1</v>
      </c>
      <c r="J405" s="25">
        <v>0</v>
      </c>
      <c r="K405" s="25">
        <v>1</v>
      </c>
      <c r="L405" s="25">
        <v>0</v>
      </c>
      <c r="M405" s="25">
        <v>2</v>
      </c>
      <c r="N405" s="25">
        <v>12</v>
      </c>
      <c r="O405" s="25">
        <v>0</v>
      </c>
      <c r="P405" s="25">
        <v>0</v>
      </c>
      <c r="Q405" s="25">
        <v>0</v>
      </c>
      <c r="R405" s="25">
        <v>0</v>
      </c>
      <c r="S405" s="25">
        <v>0</v>
      </c>
      <c r="T405" s="25">
        <v>0</v>
      </c>
      <c r="U405" s="25">
        <v>0</v>
      </c>
      <c r="V405" s="25">
        <v>1</v>
      </c>
      <c r="W405" s="25">
        <v>1</v>
      </c>
      <c r="X405" s="25">
        <v>0</v>
      </c>
      <c r="Y405" s="25">
        <v>1</v>
      </c>
      <c r="Z405" s="25">
        <v>0</v>
      </c>
      <c r="AA405" s="25">
        <v>0</v>
      </c>
      <c r="AB405" s="25">
        <v>0</v>
      </c>
      <c r="AC405" s="25">
        <v>0</v>
      </c>
      <c r="AD405" s="25">
        <v>0</v>
      </c>
      <c r="AE405" s="25">
        <v>0</v>
      </c>
      <c r="AF405" s="25">
        <v>0</v>
      </c>
      <c r="AG405" s="25">
        <v>0.55363321799999998</v>
      </c>
      <c r="AH405" s="25">
        <v>0.57093425600000003</v>
      </c>
      <c r="AI405" s="25" t="s">
        <v>1306</v>
      </c>
      <c r="AJ405" s="14" t="s">
        <v>33</v>
      </c>
    </row>
    <row r="406" spans="1:36" x14ac:dyDescent="0.25">
      <c r="A406" s="1">
        <v>373</v>
      </c>
      <c r="B406" s="14" t="s">
        <v>1368</v>
      </c>
      <c r="C406" s="14" t="s">
        <v>2068</v>
      </c>
      <c r="D406" s="14" t="s">
        <v>12</v>
      </c>
      <c r="E406" s="29" t="s">
        <v>128</v>
      </c>
      <c r="F406" s="14">
        <v>238.4524959</v>
      </c>
      <c r="G406" s="14">
        <v>36</v>
      </c>
      <c r="H406" s="14">
        <v>0</v>
      </c>
      <c r="I406" s="14">
        <v>1</v>
      </c>
      <c r="J406" s="14">
        <v>0</v>
      </c>
      <c r="K406" s="14">
        <v>1</v>
      </c>
      <c r="L406" s="14">
        <v>0</v>
      </c>
      <c r="M406" s="14">
        <v>2</v>
      </c>
      <c r="N406" s="14">
        <v>12</v>
      </c>
      <c r="O406" s="14">
        <v>0</v>
      </c>
      <c r="P406" s="14">
        <v>0</v>
      </c>
      <c r="Q406" s="14">
        <v>0</v>
      </c>
      <c r="R406" s="14">
        <v>0</v>
      </c>
      <c r="S406" s="14">
        <v>0</v>
      </c>
      <c r="T406" s="14">
        <v>0</v>
      </c>
      <c r="U406" s="14">
        <v>0</v>
      </c>
      <c r="V406" s="14">
        <v>1</v>
      </c>
      <c r="W406" s="14">
        <v>1</v>
      </c>
      <c r="X406" s="14">
        <v>0</v>
      </c>
      <c r="Y406" s="14">
        <v>1</v>
      </c>
      <c r="Z406" s="14">
        <v>0</v>
      </c>
      <c r="AA406" s="14">
        <v>0</v>
      </c>
      <c r="AB406" s="14">
        <v>0</v>
      </c>
      <c r="AC406" s="14">
        <v>0</v>
      </c>
      <c r="AD406" s="25">
        <v>0</v>
      </c>
      <c r="AE406" s="25">
        <v>0</v>
      </c>
      <c r="AF406" s="25">
        <v>0</v>
      </c>
      <c r="AG406" s="25">
        <v>0.55363321799999998</v>
      </c>
      <c r="AH406" s="25">
        <v>0.57093425600000003</v>
      </c>
      <c r="AI406" s="14" t="s">
        <v>1306</v>
      </c>
      <c r="AJ406" s="14" t="s">
        <v>33</v>
      </c>
    </row>
    <row r="407" spans="1:36" x14ac:dyDescent="0.25">
      <c r="A407" s="1">
        <v>375</v>
      </c>
      <c r="B407" s="14" t="s">
        <v>1639</v>
      </c>
      <c r="C407" s="14" t="s">
        <v>2069</v>
      </c>
      <c r="D407" s="14" t="s">
        <v>16</v>
      </c>
      <c r="E407" s="29" t="s">
        <v>168</v>
      </c>
      <c r="F407" s="14">
        <v>168.31200000000001</v>
      </c>
      <c r="G407" s="14">
        <v>36</v>
      </c>
      <c r="H407" s="14">
        <v>0</v>
      </c>
      <c r="I407" s="14">
        <v>0</v>
      </c>
      <c r="J407" s="14">
        <v>0</v>
      </c>
      <c r="K407" s="14">
        <v>0</v>
      </c>
      <c r="L407" s="14">
        <v>0</v>
      </c>
      <c r="M407" s="14">
        <v>1</v>
      </c>
      <c r="N407" s="14">
        <v>5</v>
      </c>
      <c r="O407" s="14">
        <v>0</v>
      </c>
      <c r="P407" s="14">
        <v>0</v>
      </c>
      <c r="Q407" s="14">
        <v>0</v>
      </c>
      <c r="R407" s="14">
        <v>0</v>
      </c>
      <c r="S407" s="14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0</v>
      </c>
      <c r="Z407" s="14">
        <v>1</v>
      </c>
      <c r="AA407" s="14">
        <v>5</v>
      </c>
      <c r="AB407" s="14">
        <v>0</v>
      </c>
      <c r="AC407" s="14">
        <v>0</v>
      </c>
      <c r="AD407" s="25">
        <v>0</v>
      </c>
      <c r="AE407" s="25">
        <v>0</v>
      </c>
      <c r="AF407" s="25">
        <v>0</v>
      </c>
      <c r="AG407" s="25">
        <v>0.42708333300000001</v>
      </c>
      <c r="AH407" s="25">
        <v>0.43402777799999998</v>
      </c>
      <c r="AI407" s="14" t="s">
        <v>1571</v>
      </c>
      <c r="AJ407" s="14" t="s">
        <v>33</v>
      </c>
    </row>
    <row r="408" spans="1:36" x14ac:dyDescent="0.25">
      <c r="A408" s="1">
        <v>376</v>
      </c>
      <c r="B408" s="14" t="s">
        <v>755</v>
      </c>
      <c r="C408" s="14" t="s">
        <v>547</v>
      </c>
      <c r="D408" s="14" t="s">
        <v>20</v>
      </c>
      <c r="E408" s="29" t="s">
        <v>110</v>
      </c>
      <c r="F408" s="14">
        <v>128.21</v>
      </c>
      <c r="G408" s="14">
        <v>36</v>
      </c>
      <c r="H408" s="14">
        <v>0</v>
      </c>
      <c r="I408" s="14">
        <v>0</v>
      </c>
      <c r="J408" s="14">
        <v>0</v>
      </c>
      <c r="K408" s="14">
        <v>0</v>
      </c>
      <c r="L408" s="14">
        <v>0</v>
      </c>
      <c r="M408" s="14">
        <v>2</v>
      </c>
      <c r="N408" s="14">
        <v>5</v>
      </c>
      <c r="O408" s="14">
        <v>0</v>
      </c>
      <c r="P408" s="14">
        <v>0</v>
      </c>
      <c r="Q408" s="14">
        <v>0</v>
      </c>
      <c r="R408" s="14">
        <v>1</v>
      </c>
      <c r="S408" s="14">
        <v>0</v>
      </c>
      <c r="T408" s="14">
        <v>0</v>
      </c>
      <c r="U408" s="14">
        <v>0</v>
      </c>
      <c r="V408" s="14">
        <v>0</v>
      </c>
      <c r="W408" s="14">
        <v>0</v>
      </c>
      <c r="X408" s="14">
        <v>0</v>
      </c>
      <c r="Y408" s="14">
        <v>0</v>
      </c>
      <c r="Z408" s="14">
        <v>0</v>
      </c>
      <c r="AA408" s="14">
        <v>0</v>
      </c>
      <c r="AB408" s="14">
        <v>0</v>
      </c>
      <c r="AC408" s="14">
        <v>0</v>
      </c>
      <c r="AD408" s="25">
        <v>0</v>
      </c>
      <c r="AE408" s="25">
        <v>0</v>
      </c>
      <c r="AF408" s="25">
        <v>0</v>
      </c>
      <c r="AG408" s="25">
        <v>0.40123456800000001</v>
      </c>
      <c r="AH408" s="25">
        <v>0.40123456800000001</v>
      </c>
      <c r="AI408" s="14" t="s">
        <v>1241</v>
      </c>
      <c r="AJ408" s="14" t="s">
        <v>33</v>
      </c>
    </row>
    <row r="409" spans="1:36" x14ac:dyDescent="0.25">
      <c r="A409" s="1">
        <v>378</v>
      </c>
      <c r="B409" s="14" t="s">
        <v>1565</v>
      </c>
      <c r="C409" s="14" t="s">
        <v>2070</v>
      </c>
      <c r="D409" s="14" t="s">
        <v>21</v>
      </c>
      <c r="E409" s="29" t="s">
        <v>168</v>
      </c>
      <c r="F409" s="14">
        <v>168.31940890000001</v>
      </c>
      <c r="G409" s="14">
        <v>36</v>
      </c>
      <c r="H409" s="14">
        <v>0</v>
      </c>
      <c r="I409" s="14">
        <v>0</v>
      </c>
      <c r="J409" s="14">
        <v>0</v>
      </c>
      <c r="K409" s="14">
        <v>0</v>
      </c>
      <c r="L409" s="14">
        <v>0</v>
      </c>
      <c r="M409" s="14">
        <v>2</v>
      </c>
      <c r="N409" s="14">
        <v>3</v>
      </c>
      <c r="O409" s="14">
        <v>0</v>
      </c>
      <c r="P409" s="14">
        <v>0</v>
      </c>
      <c r="Q409" s="14">
        <v>0</v>
      </c>
      <c r="R409" s="14">
        <v>0</v>
      </c>
      <c r="S409" s="14">
        <v>0</v>
      </c>
      <c r="T409" s="14">
        <v>0</v>
      </c>
      <c r="U409" s="14">
        <v>0</v>
      </c>
      <c r="V409" s="14">
        <v>1</v>
      </c>
      <c r="W409" s="14">
        <v>0</v>
      </c>
      <c r="X409" s="14">
        <v>0</v>
      </c>
      <c r="Y409" s="14">
        <v>0</v>
      </c>
      <c r="Z409" s="14">
        <v>1</v>
      </c>
      <c r="AA409" s="14">
        <v>5</v>
      </c>
      <c r="AB409" s="14">
        <v>0</v>
      </c>
      <c r="AC409" s="14">
        <v>0</v>
      </c>
      <c r="AD409" s="25">
        <v>0</v>
      </c>
      <c r="AE409" s="25">
        <v>0</v>
      </c>
      <c r="AF409" s="25">
        <v>0</v>
      </c>
      <c r="AG409" s="25">
        <v>0.48611111099999998</v>
      </c>
      <c r="AH409" s="25">
        <v>0.43402777799999998</v>
      </c>
      <c r="AI409" s="14" t="s">
        <v>1306</v>
      </c>
      <c r="AJ409" s="14" t="s">
        <v>33</v>
      </c>
    </row>
    <row r="410" spans="1:36" x14ac:dyDescent="0.25">
      <c r="A410" s="1">
        <v>379</v>
      </c>
      <c r="B410" s="25" t="s">
        <v>1566</v>
      </c>
      <c r="C410" s="25" t="s">
        <v>2071</v>
      </c>
      <c r="D410" s="25" t="s">
        <v>21</v>
      </c>
      <c r="E410" s="25" t="s">
        <v>168</v>
      </c>
      <c r="F410" s="25">
        <v>168.31940890000001</v>
      </c>
      <c r="G410" s="25">
        <v>36</v>
      </c>
      <c r="H410" s="25">
        <v>0</v>
      </c>
      <c r="I410" s="25">
        <v>0</v>
      </c>
      <c r="J410" s="25">
        <v>0</v>
      </c>
      <c r="K410" s="25">
        <v>0</v>
      </c>
      <c r="L410" s="25">
        <v>0</v>
      </c>
      <c r="M410" s="25">
        <v>2</v>
      </c>
      <c r="N410" s="25">
        <v>3</v>
      </c>
      <c r="O410" s="25">
        <v>0</v>
      </c>
      <c r="P410" s="25">
        <v>0</v>
      </c>
      <c r="Q410" s="25">
        <v>0</v>
      </c>
      <c r="R410" s="25">
        <v>0</v>
      </c>
      <c r="S410" s="25">
        <v>0</v>
      </c>
      <c r="T410" s="25">
        <v>0</v>
      </c>
      <c r="U410" s="25">
        <v>0</v>
      </c>
      <c r="V410" s="25">
        <v>1</v>
      </c>
      <c r="W410" s="25">
        <v>0</v>
      </c>
      <c r="X410" s="25">
        <v>0</v>
      </c>
      <c r="Y410" s="25">
        <v>0</v>
      </c>
      <c r="Z410" s="25">
        <v>1</v>
      </c>
      <c r="AA410" s="25">
        <v>5</v>
      </c>
      <c r="AB410" s="25">
        <v>0</v>
      </c>
      <c r="AC410" s="25">
        <v>0</v>
      </c>
      <c r="AD410" s="25">
        <v>0</v>
      </c>
      <c r="AE410" s="25">
        <v>0</v>
      </c>
      <c r="AF410" s="25">
        <v>0</v>
      </c>
      <c r="AG410" s="25">
        <v>0.48611111099999998</v>
      </c>
      <c r="AH410" s="25">
        <v>0.43402777799999998</v>
      </c>
      <c r="AI410" s="25" t="s">
        <v>1306</v>
      </c>
      <c r="AJ410" s="14" t="s">
        <v>33</v>
      </c>
    </row>
    <row r="411" spans="1:36" x14ac:dyDescent="0.25">
      <c r="A411" s="1">
        <v>380</v>
      </c>
      <c r="B411" s="25" t="s">
        <v>774</v>
      </c>
      <c r="C411" s="25" t="s">
        <v>457</v>
      </c>
      <c r="D411" s="25" t="s">
        <v>21</v>
      </c>
      <c r="E411" s="25" t="s">
        <v>195</v>
      </c>
      <c r="F411" s="25">
        <v>132.19999999999999</v>
      </c>
      <c r="G411" s="25">
        <v>36.1</v>
      </c>
      <c r="H411" s="25">
        <v>0</v>
      </c>
      <c r="I411" s="25">
        <v>0</v>
      </c>
      <c r="J411" s="25">
        <v>0</v>
      </c>
      <c r="K411" s="25">
        <v>0</v>
      </c>
      <c r="L411" s="25">
        <v>0</v>
      </c>
      <c r="M411" s="25">
        <v>2</v>
      </c>
      <c r="N411" s="25">
        <v>4</v>
      </c>
      <c r="O411" s="25">
        <v>1</v>
      </c>
      <c r="P411" s="25">
        <v>1</v>
      </c>
      <c r="Q411" s="25">
        <v>0</v>
      </c>
      <c r="R411" s="25">
        <v>0</v>
      </c>
      <c r="S411" s="25">
        <v>0</v>
      </c>
      <c r="T411" s="25">
        <v>0</v>
      </c>
      <c r="U411" s="25">
        <v>0</v>
      </c>
      <c r="V411" s="25">
        <v>1</v>
      </c>
      <c r="W411" s="25">
        <v>0</v>
      </c>
      <c r="X411" s="25">
        <v>0</v>
      </c>
      <c r="Y411" s="25">
        <v>0</v>
      </c>
      <c r="Z411" s="25">
        <v>0</v>
      </c>
      <c r="AA411" s="25">
        <v>0</v>
      </c>
      <c r="AB411" s="25">
        <v>0</v>
      </c>
      <c r="AC411" s="25">
        <v>1</v>
      </c>
      <c r="AD411" s="25">
        <v>0</v>
      </c>
      <c r="AE411" s="25">
        <v>0</v>
      </c>
      <c r="AF411" s="25">
        <v>0</v>
      </c>
      <c r="AG411" s="25">
        <v>0.42307692299999999</v>
      </c>
      <c r="AH411" s="25">
        <v>0.4140625</v>
      </c>
      <c r="AI411" s="25" t="s">
        <v>1154</v>
      </c>
      <c r="AJ411" s="14" t="s">
        <v>33</v>
      </c>
    </row>
    <row r="412" spans="1:36" x14ac:dyDescent="0.25">
      <c r="A412" s="1">
        <v>383</v>
      </c>
      <c r="B412" s="25" t="s">
        <v>1617</v>
      </c>
      <c r="C412" s="25" t="s">
        <v>2072</v>
      </c>
      <c r="D412" s="25" t="s">
        <v>16</v>
      </c>
      <c r="E412" s="25" t="s">
        <v>1615</v>
      </c>
      <c r="F412" s="25">
        <v>112.208</v>
      </c>
      <c r="G412" s="25">
        <v>37</v>
      </c>
      <c r="H412" s="25">
        <v>0</v>
      </c>
      <c r="I412" s="25">
        <v>0</v>
      </c>
      <c r="J412" s="25">
        <v>0</v>
      </c>
      <c r="K412" s="25">
        <v>0</v>
      </c>
      <c r="L412" s="25">
        <v>0</v>
      </c>
      <c r="M412" s="25">
        <v>1</v>
      </c>
      <c r="N412" s="25">
        <v>2</v>
      </c>
      <c r="O412" s="25">
        <v>0</v>
      </c>
      <c r="P412" s="25">
        <v>0</v>
      </c>
      <c r="Q412" s="25">
        <v>0</v>
      </c>
      <c r="R412" s="25">
        <v>0</v>
      </c>
      <c r="S412" s="25">
        <v>0</v>
      </c>
      <c r="T412" s="25">
        <v>0</v>
      </c>
      <c r="U412" s="25">
        <v>0</v>
      </c>
      <c r="V412" s="25">
        <v>0</v>
      </c>
      <c r="W412" s="25">
        <v>0</v>
      </c>
      <c r="X412" s="25">
        <v>0</v>
      </c>
      <c r="Y412" s="25">
        <v>0</v>
      </c>
      <c r="Z412" s="25">
        <v>1</v>
      </c>
      <c r="AA412" s="25">
        <v>4</v>
      </c>
      <c r="AB412" s="25">
        <v>0</v>
      </c>
      <c r="AC412" s="25">
        <v>0</v>
      </c>
      <c r="AD412" s="25">
        <v>0</v>
      </c>
      <c r="AE412" s="25">
        <v>0</v>
      </c>
      <c r="AF412" s="25">
        <v>0</v>
      </c>
      <c r="AG412" s="25">
        <v>0.29585798800000002</v>
      </c>
      <c r="AH412" s="25">
        <v>0.3046875</v>
      </c>
      <c r="AI412" s="25" t="s">
        <v>1571</v>
      </c>
      <c r="AJ412" s="14" t="s">
        <v>33</v>
      </c>
    </row>
    <row r="413" spans="1:36" x14ac:dyDescent="0.25">
      <c r="A413" s="1">
        <v>384</v>
      </c>
      <c r="B413" s="14" t="s">
        <v>1595</v>
      </c>
      <c r="C413" s="14" t="s">
        <v>2073</v>
      </c>
      <c r="D413" s="14" t="s">
        <v>19</v>
      </c>
      <c r="E413" s="29" t="s">
        <v>1594</v>
      </c>
      <c r="F413" s="14">
        <v>128.25</v>
      </c>
      <c r="G413" s="14">
        <v>37.200000000000003</v>
      </c>
      <c r="H413" s="14">
        <v>0</v>
      </c>
      <c r="I413" s="14">
        <v>0</v>
      </c>
      <c r="J413" s="14">
        <v>0</v>
      </c>
      <c r="K413" s="14">
        <v>0</v>
      </c>
      <c r="L413" s="14">
        <v>1</v>
      </c>
      <c r="M413" s="14">
        <v>4</v>
      </c>
      <c r="N413" s="14">
        <v>4</v>
      </c>
      <c r="O413" s="14">
        <v>0</v>
      </c>
      <c r="P413" s="14">
        <v>0</v>
      </c>
      <c r="Q413" s="14">
        <v>0</v>
      </c>
      <c r="R413" s="14">
        <v>0</v>
      </c>
      <c r="S413" s="14">
        <v>0</v>
      </c>
      <c r="T413" s="14">
        <v>0</v>
      </c>
      <c r="U413" s="14">
        <v>0</v>
      </c>
      <c r="V413" s="14">
        <v>0</v>
      </c>
      <c r="W413" s="14">
        <v>0</v>
      </c>
      <c r="X413" s="14">
        <v>0</v>
      </c>
      <c r="Y413" s="14">
        <v>0</v>
      </c>
      <c r="Z413" s="14">
        <v>0</v>
      </c>
      <c r="AA413" s="14">
        <v>0</v>
      </c>
      <c r="AB413" s="14">
        <v>0</v>
      </c>
      <c r="AC413" s="14">
        <v>0</v>
      </c>
      <c r="AD413" s="25">
        <v>0</v>
      </c>
      <c r="AE413" s="25">
        <v>0</v>
      </c>
      <c r="AF413" s="25">
        <v>0</v>
      </c>
      <c r="AG413" s="25">
        <v>0.38888888900000002</v>
      </c>
      <c r="AH413" s="25">
        <v>0.3984375</v>
      </c>
      <c r="AI413" s="14" t="s">
        <v>1571</v>
      </c>
      <c r="AJ413" s="14" t="s">
        <v>33</v>
      </c>
    </row>
    <row r="414" spans="1:36" x14ac:dyDescent="0.25">
      <c r="A414" s="1">
        <v>385</v>
      </c>
      <c r="B414" s="25" t="s">
        <v>1822</v>
      </c>
      <c r="C414" s="25" t="s">
        <v>1497</v>
      </c>
      <c r="D414" s="25" t="s">
        <v>1931</v>
      </c>
      <c r="E414" s="25" t="s">
        <v>1823</v>
      </c>
      <c r="F414" s="25">
        <v>312.47800000000001</v>
      </c>
      <c r="G414" s="25">
        <v>37.4</v>
      </c>
      <c r="H414" s="25">
        <v>0</v>
      </c>
      <c r="I414" s="25">
        <v>1</v>
      </c>
      <c r="J414" s="25">
        <v>0</v>
      </c>
      <c r="K414" s="25">
        <v>1</v>
      </c>
      <c r="L414" s="25">
        <v>0</v>
      </c>
      <c r="M414" s="25">
        <v>2</v>
      </c>
      <c r="N414" s="25">
        <v>13</v>
      </c>
      <c r="O414" s="25">
        <v>1</v>
      </c>
      <c r="P414" s="25">
        <v>0</v>
      </c>
      <c r="Q414" s="25">
        <v>0</v>
      </c>
      <c r="R414" s="25">
        <v>0</v>
      </c>
      <c r="S414" s="25">
        <v>0</v>
      </c>
      <c r="T414" s="25">
        <v>0</v>
      </c>
      <c r="U414" s="25">
        <v>1</v>
      </c>
      <c r="V414" s="25">
        <v>1</v>
      </c>
      <c r="W414" s="25">
        <v>2</v>
      </c>
      <c r="X414" s="25">
        <v>0</v>
      </c>
      <c r="Y414" s="25">
        <v>0</v>
      </c>
      <c r="Z414" s="25">
        <v>0</v>
      </c>
      <c r="AA414" s="25">
        <v>0</v>
      </c>
      <c r="AB414" s="25">
        <v>0</v>
      </c>
      <c r="AC414" s="25">
        <v>1</v>
      </c>
      <c r="AD414" s="25">
        <v>1</v>
      </c>
      <c r="AE414" s="25">
        <v>0</v>
      </c>
      <c r="AF414" s="25">
        <v>0</v>
      </c>
      <c r="AG414" s="25">
        <v>0.62287334599999999</v>
      </c>
      <c r="AH414" s="25">
        <v>0.61531190899999999</v>
      </c>
      <c r="AI414" s="25" t="s">
        <v>1571</v>
      </c>
      <c r="AJ414" s="14" t="s">
        <v>33</v>
      </c>
    </row>
    <row r="415" spans="1:36" x14ac:dyDescent="0.25">
      <c r="A415" s="1">
        <v>386</v>
      </c>
      <c r="B415" s="25" t="s">
        <v>795</v>
      </c>
      <c r="C415" s="25" t="s">
        <v>274</v>
      </c>
      <c r="D415" s="25" t="s">
        <v>21</v>
      </c>
      <c r="E415" s="25" t="s">
        <v>80</v>
      </c>
      <c r="F415" s="25">
        <v>312.49</v>
      </c>
      <c r="G415" s="25">
        <v>37.4</v>
      </c>
      <c r="H415" s="25">
        <v>0</v>
      </c>
      <c r="I415" s="25">
        <v>1</v>
      </c>
      <c r="J415" s="25">
        <v>0</v>
      </c>
      <c r="K415" s="25">
        <v>1</v>
      </c>
      <c r="L415" s="25">
        <v>0</v>
      </c>
      <c r="M415" s="25">
        <v>2</v>
      </c>
      <c r="N415" s="25">
        <v>13</v>
      </c>
      <c r="O415" s="25">
        <v>1</v>
      </c>
      <c r="P415" s="25">
        <v>0</v>
      </c>
      <c r="Q415" s="25">
        <v>0</v>
      </c>
      <c r="R415" s="25">
        <v>0</v>
      </c>
      <c r="S415" s="25">
        <v>0</v>
      </c>
      <c r="T415" s="25">
        <v>0</v>
      </c>
      <c r="U415" s="25">
        <v>1</v>
      </c>
      <c r="V415" s="25">
        <v>1</v>
      </c>
      <c r="W415" s="25">
        <v>2</v>
      </c>
      <c r="X415" s="25">
        <v>0</v>
      </c>
      <c r="Y415" s="25">
        <v>0</v>
      </c>
      <c r="Z415" s="25">
        <v>0</v>
      </c>
      <c r="AA415" s="25">
        <v>0</v>
      </c>
      <c r="AB415" s="25">
        <v>0</v>
      </c>
      <c r="AC415" s="25">
        <v>1</v>
      </c>
      <c r="AD415" s="25">
        <v>0</v>
      </c>
      <c r="AE415" s="25">
        <v>0</v>
      </c>
      <c r="AF415" s="25">
        <v>0</v>
      </c>
      <c r="AG415" s="25">
        <v>0.61033163300000004</v>
      </c>
      <c r="AH415" s="25">
        <v>0.624763705</v>
      </c>
      <c r="AI415" s="25" t="s">
        <v>961</v>
      </c>
      <c r="AJ415" s="14" t="s">
        <v>33</v>
      </c>
    </row>
    <row r="416" spans="1:36" x14ac:dyDescent="0.25">
      <c r="A416" s="1">
        <v>388</v>
      </c>
      <c r="B416" s="14" t="s">
        <v>1661</v>
      </c>
      <c r="C416" s="14" t="s">
        <v>2074</v>
      </c>
      <c r="D416" s="14" t="s">
        <v>12</v>
      </c>
      <c r="E416" s="29" t="s">
        <v>54</v>
      </c>
      <c r="F416" s="14">
        <v>112.208</v>
      </c>
      <c r="G416" s="14">
        <v>38</v>
      </c>
      <c r="H416" s="14">
        <v>0</v>
      </c>
      <c r="I416" s="14">
        <v>1</v>
      </c>
      <c r="J416" s="14">
        <v>0</v>
      </c>
      <c r="K416" s="14">
        <v>1</v>
      </c>
      <c r="L416" s="14">
        <v>0</v>
      </c>
      <c r="M416" s="14">
        <v>0</v>
      </c>
      <c r="N416" s="14">
        <v>0</v>
      </c>
      <c r="O416" s="14">
        <v>0</v>
      </c>
      <c r="P416" s="14">
        <v>0</v>
      </c>
      <c r="Q416" s="14">
        <v>0</v>
      </c>
      <c r="R416" s="14">
        <v>0</v>
      </c>
      <c r="S416" s="14">
        <v>0</v>
      </c>
      <c r="T416" s="14">
        <v>0</v>
      </c>
      <c r="U416" s="14">
        <v>0</v>
      </c>
      <c r="V416" s="14">
        <v>0</v>
      </c>
      <c r="W416" s="14">
        <v>1</v>
      </c>
      <c r="X416" s="14">
        <v>0</v>
      </c>
      <c r="Y416" s="14">
        <v>1</v>
      </c>
      <c r="Z416" s="14">
        <v>1</v>
      </c>
      <c r="AA416" s="14">
        <v>5</v>
      </c>
      <c r="AB416" s="14">
        <v>0</v>
      </c>
      <c r="AC416" s="14">
        <v>0</v>
      </c>
      <c r="AD416" s="25">
        <v>0</v>
      </c>
      <c r="AE416" s="25">
        <v>0</v>
      </c>
      <c r="AF416" s="25">
        <v>0</v>
      </c>
      <c r="AG416" s="25">
        <v>0.30165289299999998</v>
      </c>
      <c r="AH416" s="25">
        <v>0.32716049400000002</v>
      </c>
      <c r="AI416" s="14" t="s">
        <v>1571</v>
      </c>
      <c r="AJ416" s="14" t="s">
        <v>33</v>
      </c>
    </row>
    <row r="417" spans="1:36" x14ac:dyDescent="0.25">
      <c r="A417" s="1">
        <v>389</v>
      </c>
      <c r="B417" s="14" t="s">
        <v>1915</v>
      </c>
      <c r="C417" s="14" t="s">
        <v>2075</v>
      </c>
      <c r="D417" s="14" t="s">
        <v>1929</v>
      </c>
      <c r="E417" s="29" t="s">
        <v>1916</v>
      </c>
      <c r="F417" s="14">
        <v>278.33600000000001</v>
      </c>
      <c r="G417" s="14">
        <v>38</v>
      </c>
      <c r="H417" s="14">
        <v>6</v>
      </c>
      <c r="I417" s="14">
        <v>0</v>
      </c>
      <c r="J417" s="14">
        <v>6</v>
      </c>
      <c r="K417" s="14">
        <v>3</v>
      </c>
      <c r="L417" s="14">
        <v>0</v>
      </c>
      <c r="M417" s="14">
        <v>2</v>
      </c>
      <c r="N417" s="14">
        <v>6</v>
      </c>
      <c r="O417" s="14">
        <v>0</v>
      </c>
      <c r="P417" s="14">
        <v>0</v>
      </c>
      <c r="Q417" s="14">
        <v>0</v>
      </c>
      <c r="R417" s="14">
        <v>0</v>
      </c>
      <c r="S417" s="14">
        <v>0</v>
      </c>
      <c r="T417" s="14">
        <v>0</v>
      </c>
      <c r="U417" s="14">
        <v>2</v>
      </c>
      <c r="V417" s="14">
        <v>0</v>
      </c>
      <c r="W417" s="14">
        <v>0</v>
      </c>
      <c r="X417" s="14">
        <v>4</v>
      </c>
      <c r="Y417" s="14">
        <v>0</v>
      </c>
      <c r="Z417" s="14">
        <v>0</v>
      </c>
      <c r="AA417" s="14">
        <v>0</v>
      </c>
      <c r="AB417" s="14">
        <v>0</v>
      </c>
      <c r="AC417" s="14">
        <v>0</v>
      </c>
      <c r="AD417" s="25">
        <v>0</v>
      </c>
      <c r="AE417" s="25">
        <v>0</v>
      </c>
      <c r="AF417" s="25">
        <v>0</v>
      </c>
      <c r="AG417" s="25">
        <v>0.61631944400000005</v>
      </c>
      <c r="AH417" s="25">
        <v>0.58960000000000001</v>
      </c>
      <c r="AI417" s="14" t="s">
        <v>1571</v>
      </c>
      <c r="AJ417" s="14" t="s">
        <v>33</v>
      </c>
    </row>
    <row r="418" spans="1:36" x14ac:dyDescent="0.25">
      <c r="A418" s="1">
        <v>390</v>
      </c>
      <c r="B418" s="14" t="s">
        <v>1658</v>
      </c>
      <c r="C418" s="14" t="s">
        <v>1411</v>
      </c>
      <c r="D418" s="14" t="s">
        <v>12</v>
      </c>
      <c r="E418" s="29" t="s">
        <v>1615</v>
      </c>
      <c r="F418" s="14">
        <v>112.208</v>
      </c>
      <c r="G418" s="14">
        <v>38.1</v>
      </c>
      <c r="H418" s="14">
        <v>0</v>
      </c>
      <c r="I418" s="14">
        <v>1</v>
      </c>
      <c r="J418" s="14">
        <v>0</v>
      </c>
      <c r="K418" s="14">
        <v>1</v>
      </c>
      <c r="L418" s="14">
        <v>0</v>
      </c>
      <c r="M418" s="14">
        <v>2</v>
      </c>
      <c r="N418" s="14">
        <v>4</v>
      </c>
      <c r="O418" s="14">
        <v>0</v>
      </c>
      <c r="P418" s="14">
        <v>0</v>
      </c>
      <c r="Q418" s="14">
        <v>0</v>
      </c>
      <c r="R418" s="14">
        <v>0</v>
      </c>
      <c r="S418" s="14">
        <v>0</v>
      </c>
      <c r="T418" s="14">
        <v>0</v>
      </c>
      <c r="U418" s="14">
        <v>0</v>
      </c>
      <c r="V418" s="14">
        <v>0</v>
      </c>
      <c r="W418" s="14">
        <v>2</v>
      </c>
      <c r="X418" s="14">
        <v>0</v>
      </c>
      <c r="Y418" s="14">
        <v>0</v>
      </c>
      <c r="Z418" s="14">
        <v>0</v>
      </c>
      <c r="AA418" s="14">
        <v>0</v>
      </c>
      <c r="AB418" s="14">
        <v>0</v>
      </c>
      <c r="AC418" s="14">
        <v>0</v>
      </c>
      <c r="AD418" s="25">
        <v>0</v>
      </c>
      <c r="AE418" s="25">
        <v>0</v>
      </c>
      <c r="AF418" s="25">
        <v>0</v>
      </c>
      <c r="AG418" s="25">
        <v>0.3828125</v>
      </c>
      <c r="AH418" s="25">
        <v>0.3828125</v>
      </c>
      <c r="AI418" s="14" t="s">
        <v>1571</v>
      </c>
      <c r="AJ418" s="14" t="s">
        <v>33</v>
      </c>
    </row>
    <row r="419" spans="1:36" x14ac:dyDescent="0.25">
      <c r="A419" s="1">
        <v>391</v>
      </c>
      <c r="B419" s="14" t="s">
        <v>1568</v>
      </c>
      <c r="C419" s="14" t="s">
        <v>1569</v>
      </c>
      <c r="D419" s="14" t="s">
        <v>21</v>
      </c>
      <c r="E419" s="29" t="s">
        <v>55</v>
      </c>
      <c r="F419" s="14">
        <v>138.2502925</v>
      </c>
      <c r="G419" s="14">
        <v>38.1</v>
      </c>
      <c r="H419" s="14">
        <v>0</v>
      </c>
      <c r="I419" s="14">
        <v>0</v>
      </c>
      <c r="J419" s="14">
        <v>0</v>
      </c>
      <c r="K419" s="14">
        <v>0</v>
      </c>
      <c r="L419" s="14">
        <v>0</v>
      </c>
      <c r="M419" s="14">
        <v>0</v>
      </c>
      <c r="N419" s="14">
        <v>0</v>
      </c>
      <c r="O419" s="14">
        <v>0</v>
      </c>
      <c r="P419" s="14">
        <v>0</v>
      </c>
      <c r="Q419" s="14">
        <v>0</v>
      </c>
      <c r="R419" s="14">
        <v>0</v>
      </c>
      <c r="S419" s="14">
        <v>0</v>
      </c>
      <c r="T419" s="14">
        <v>0</v>
      </c>
      <c r="U419" s="14">
        <v>0</v>
      </c>
      <c r="V419" s="14">
        <v>0</v>
      </c>
      <c r="W419" s="14">
        <v>0</v>
      </c>
      <c r="X419" s="14">
        <v>0</v>
      </c>
      <c r="Y419" s="14">
        <v>0</v>
      </c>
      <c r="Z419" s="14">
        <v>2</v>
      </c>
      <c r="AA419" s="14">
        <v>8</v>
      </c>
      <c r="AB419" s="14">
        <v>0</v>
      </c>
      <c r="AC419" s="14">
        <v>0</v>
      </c>
      <c r="AD419" s="25">
        <v>0</v>
      </c>
      <c r="AE419" s="25">
        <v>0</v>
      </c>
      <c r="AF419" s="25">
        <v>0</v>
      </c>
      <c r="AG419" s="25">
        <v>0.255859375</v>
      </c>
      <c r="AH419" s="25">
        <v>0.29338842999999998</v>
      </c>
      <c r="AI419" s="14" t="s">
        <v>1306</v>
      </c>
      <c r="AJ419" s="14" t="s">
        <v>33</v>
      </c>
    </row>
    <row r="420" spans="1:36" x14ac:dyDescent="0.25">
      <c r="A420" s="1">
        <v>392</v>
      </c>
      <c r="B420" s="25" t="s">
        <v>672</v>
      </c>
      <c r="C420" s="25" t="s">
        <v>428</v>
      </c>
      <c r="D420" s="25" t="s">
        <v>14</v>
      </c>
      <c r="E420" s="25" t="s">
        <v>81</v>
      </c>
      <c r="F420" s="25">
        <v>86.13</v>
      </c>
      <c r="G420" s="25">
        <v>38.200000000000003</v>
      </c>
      <c r="H420" s="25">
        <v>0</v>
      </c>
      <c r="I420" s="25">
        <v>0</v>
      </c>
      <c r="J420" s="25">
        <v>0</v>
      </c>
      <c r="K420" s="25">
        <v>0</v>
      </c>
      <c r="L420" s="25">
        <v>0</v>
      </c>
      <c r="M420" s="25">
        <v>0</v>
      </c>
      <c r="N420" s="25">
        <v>0</v>
      </c>
      <c r="O420" s="25">
        <v>0</v>
      </c>
      <c r="P420" s="25">
        <v>0</v>
      </c>
      <c r="Q420" s="25">
        <v>1</v>
      </c>
      <c r="R420" s="25">
        <v>0</v>
      </c>
      <c r="S420" s="25">
        <v>0</v>
      </c>
      <c r="T420" s="25">
        <v>0</v>
      </c>
      <c r="U420" s="25">
        <v>0</v>
      </c>
      <c r="V420" s="25">
        <v>0</v>
      </c>
      <c r="W420" s="25">
        <v>0</v>
      </c>
      <c r="X420" s="25">
        <v>0</v>
      </c>
      <c r="Y420" s="25">
        <v>0</v>
      </c>
      <c r="Z420" s="25">
        <v>0</v>
      </c>
      <c r="AA420" s="25">
        <v>5</v>
      </c>
      <c r="AB420" s="25">
        <v>0</v>
      </c>
      <c r="AC420" s="25">
        <v>0</v>
      </c>
      <c r="AD420" s="25">
        <v>0</v>
      </c>
      <c r="AE420" s="25">
        <v>0</v>
      </c>
      <c r="AF420" s="25">
        <v>0</v>
      </c>
      <c r="AG420" s="25">
        <v>0.16666666699999999</v>
      </c>
      <c r="AH420" s="25">
        <v>0.16666666699999999</v>
      </c>
      <c r="AI420" s="25" t="s">
        <v>1125</v>
      </c>
      <c r="AJ420" s="14" t="s">
        <v>33</v>
      </c>
    </row>
    <row r="421" spans="1:36" x14ac:dyDescent="0.25">
      <c r="A421" s="1">
        <v>395</v>
      </c>
      <c r="B421" s="25" t="s">
        <v>799</v>
      </c>
      <c r="C421" s="25" t="s">
        <v>344</v>
      </c>
      <c r="D421" s="25" t="s">
        <v>21</v>
      </c>
      <c r="E421" s="25" t="s">
        <v>137</v>
      </c>
      <c r="F421" s="25">
        <v>120.15</v>
      </c>
      <c r="G421" s="25">
        <v>38.299999999999997</v>
      </c>
      <c r="H421" s="25">
        <v>0</v>
      </c>
      <c r="I421" s="25">
        <v>0</v>
      </c>
      <c r="J421" s="25">
        <v>0</v>
      </c>
      <c r="K421" s="25">
        <v>0</v>
      </c>
      <c r="L421" s="25">
        <v>0</v>
      </c>
      <c r="M421" s="25">
        <v>1</v>
      </c>
      <c r="N421" s="25">
        <v>4</v>
      </c>
      <c r="O421" s="25">
        <v>1</v>
      </c>
      <c r="P421" s="25">
        <v>2</v>
      </c>
      <c r="Q421" s="25">
        <v>0</v>
      </c>
      <c r="R421" s="25">
        <v>0</v>
      </c>
      <c r="S421" s="25">
        <v>0</v>
      </c>
      <c r="T421" s="25">
        <v>0</v>
      </c>
      <c r="U421" s="25">
        <v>0</v>
      </c>
      <c r="V421" s="25">
        <v>0</v>
      </c>
      <c r="W421" s="25">
        <v>0</v>
      </c>
      <c r="X421" s="25">
        <v>0</v>
      </c>
      <c r="Y421" s="25">
        <v>0</v>
      </c>
      <c r="Z421" s="25">
        <v>0</v>
      </c>
      <c r="AA421" s="25">
        <v>0</v>
      </c>
      <c r="AB421" s="25">
        <v>1</v>
      </c>
      <c r="AC421" s="25">
        <v>0</v>
      </c>
      <c r="AD421" s="25">
        <v>0</v>
      </c>
      <c r="AE421" s="25">
        <v>0</v>
      </c>
      <c r="AF421" s="25">
        <v>0</v>
      </c>
      <c r="AG421" s="25">
        <v>0.375</v>
      </c>
      <c r="AH421" s="25">
        <v>0.35714285699999998</v>
      </c>
      <c r="AI421" s="25" t="s">
        <v>1036</v>
      </c>
      <c r="AJ421" s="14" t="s">
        <v>33</v>
      </c>
    </row>
    <row r="422" spans="1:36" x14ac:dyDescent="0.25">
      <c r="A422" s="1">
        <v>396</v>
      </c>
      <c r="B422" s="14" t="s">
        <v>773</v>
      </c>
      <c r="C422" s="14" t="s">
        <v>549</v>
      </c>
      <c r="D422" s="14" t="s">
        <v>21</v>
      </c>
      <c r="E422" s="29" t="s">
        <v>123</v>
      </c>
      <c r="F422" s="14">
        <v>184.27</v>
      </c>
      <c r="G422" s="14">
        <v>38.299999999999997</v>
      </c>
      <c r="H422" s="14">
        <v>0</v>
      </c>
      <c r="I422" s="14">
        <v>1</v>
      </c>
      <c r="J422" s="14">
        <v>0</v>
      </c>
      <c r="K422" s="14">
        <v>1</v>
      </c>
      <c r="L422" s="14">
        <v>0</v>
      </c>
      <c r="M422" s="14">
        <v>1</v>
      </c>
      <c r="N422" s="14">
        <v>7</v>
      </c>
      <c r="O422" s="14">
        <v>0</v>
      </c>
      <c r="P422" s="14">
        <v>0</v>
      </c>
      <c r="Q422" s="14">
        <v>0</v>
      </c>
      <c r="R422" s="14">
        <v>0</v>
      </c>
      <c r="S422" s="14">
        <v>0</v>
      </c>
      <c r="T422" s="14">
        <v>0</v>
      </c>
      <c r="U422" s="14">
        <v>1</v>
      </c>
      <c r="V422" s="14">
        <v>0</v>
      </c>
      <c r="W422" s="14">
        <v>1</v>
      </c>
      <c r="X422" s="14">
        <v>0</v>
      </c>
      <c r="Y422" s="14">
        <v>1</v>
      </c>
      <c r="Z422" s="14">
        <v>0</v>
      </c>
      <c r="AA422" s="14">
        <v>0</v>
      </c>
      <c r="AB422" s="14">
        <v>0</v>
      </c>
      <c r="AC422" s="14">
        <v>0</v>
      </c>
      <c r="AD422" s="25">
        <v>0</v>
      </c>
      <c r="AE422" s="25">
        <v>0</v>
      </c>
      <c r="AF422" s="25">
        <v>0</v>
      </c>
      <c r="AG422" s="25">
        <v>0.494140625</v>
      </c>
      <c r="AH422" s="25">
        <v>0.528061224</v>
      </c>
      <c r="AI422" s="14" t="s">
        <v>1243</v>
      </c>
      <c r="AJ422" s="14" t="s">
        <v>33</v>
      </c>
    </row>
    <row r="423" spans="1:36" x14ac:dyDescent="0.25">
      <c r="A423" s="1">
        <v>397</v>
      </c>
      <c r="B423" s="14" t="s">
        <v>833</v>
      </c>
      <c r="C423" s="14" t="s">
        <v>2076</v>
      </c>
      <c r="D423" s="14" t="s">
        <v>16</v>
      </c>
      <c r="E423" s="29" t="s">
        <v>89</v>
      </c>
      <c r="F423" s="14">
        <v>192.34</v>
      </c>
      <c r="G423" s="14">
        <v>38.799999999999997</v>
      </c>
      <c r="H423" s="14">
        <v>0</v>
      </c>
      <c r="I423" s="14">
        <v>0</v>
      </c>
      <c r="J423" s="14">
        <v>0</v>
      </c>
      <c r="K423" s="14">
        <v>0</v>
      </c>
      <c r="L423" s="14">
        <v>0</v>
      </c>
      <c r="M423" s="14">
        <v>0</v>
      </c>
      <c r="N423" s="14">
        <v>0</v>
      </c>
      <c r="O423" s="14">
        <v>0</v>
      </c>
      <c r="P423" s="14">
        <v>0</v>
      </c>
      <c r="Q423" s="14">
        <v>0</v>
      </c>
      <c r="R423" s="14">
        <v>0</v>
      </c>
      <c r="S423" s="14">
        <v>0</v>
      </c>
      <c r="T423" s="14">
        <v>0</v>
      </c>
      <c r="U423" s="14">
        <v>0</v>
      </c>
      <c r="V423" s="14">
        <v>0</v>
      </c>
      <c r="W423" s="14">
        <v>0</v>
      </c>
      <c r="X423" s="14">
        <v>0</v>
      </c>
      <c r="Y423" s="14">
        <v>0</v>
      </c>
      <c r="Z423" s="14">
        <v>4</v>
      </c>
      <c r="AA423" s="14">
        <v>10</v>
      </c>
      <c r="AB423" s="14">
        <v>0</v>
      </c>
      <c r="AC423" s="14">
        <v>0</v>
      </c>
      <c r="AD423" s="25">
        <v>0</v>
      </c>
      <c r="AE423" s="25">
        <v>0</v>
      </c>
      <c r="AF423" s="25">
        <v>0</v>
      </c>
      <c r="AG423" s="25">
        <v>0.35339506199999998</v>
      </c>
      <c r="AH423" s="25">
        <v>0.4140625</v>
      </c>
      <c r="AI423" s="14" t="s">
        <v>970</v>
      </c>
      <c r="AJ423" s="14" t="s">
        <v>33</v>
      </c>
    </row>
    <row r="424" spans="1:36" x14ac:dyDescent="0.25">
      <c r="A424" s="1">
        <v>398</v>
      </c>
      <c r="B424" s="25" t="s">
        <v>1644</v>
      </c>
      <c r="C424" s="25" t="s">
        <v>1402</v>
      </c>
      <c r="D424" s="25" t="s">
        <v>16</v>
      </c>
      <c r="E424" s="25" t="s">
        <v>1643</v>
      </c>
      <c r="F424" s="25">
        <v>192.33199999999999</v>
      </c>
      <c r="G424" s="25">
        <v>38.799999999999997</v>
      </c>
      <c r="H424" s="25">
        <v>0</v>
      </c>
      <c r="I424" s="25">
        <v>0</v>
      </c>
      <c r="J424" s="25">
        <v>0</v>
      </c>
      <c r="K424" s="25">
        <v>0</v>
      </c>
      <c r="L424" s="25">
        <v>0</v>
      </c>
      <c r="M424" s="25">
        <v>0</v>
      </c>
      <c r="N424" s="25">
        <v>0</v>
      </c>
      <c r="O424" s="25">
        <v>0</v>
      </c>
      <c r="P424" s="25">
        <v>0</v>
      </c>
      <c r="Q424" s="25">
        <v>0</v>
      </c>
      <c r="R424" s="25">
        <v>0</v>
      </c>
      <c r="S424" s="25">
        <v>0</v>
      </c>
      <c r="T424" s="25">
        <v>0</v>
      </c>
      <c r="U424" s="25">
        <v>0</v>
      </c>
      <c r="V424" s="25">
        <v>0</v>
      </c>
      <c r="W424" s="25">
        <v>0</v>
      </c>
      <c r="X424" s="25">
        <v>0</v>
      </c>
      <c r="Y424" s="25">
        <v>0</v>
      </c>
      <c r="Z424" s="25">
        <v>4</v>
      </c>
      <c r="AA424" s="25">
        <v>10</v>
      </c>
      <c r="AB424" s="25">
        <v>0</v>
      </c>
      <c r="AC424" s="25">
        <v>0</v>
      </c>
      <c r="AD424" s="25">
        <v>0</v>
      </c>
      <c r="AE424" s="25">
        <v>0</v>
      </c>
      <c r="AF424" s="25">
        <v>0</v>
      </c>
      <c r="AG424" s="25">
        <v>0.41176470599999998</v>
      </c>
      <c r="AH424" s="25">
        <v>0.4140625</v>
      </c>
      <c r="AI424" s="25" t="s">
        <v>1571</v>
      </c>
      <c r="AJ424" s="14" t="s">
        <v>33</v>
      </c>
    </row>
    <row r="425" spans="1:36" x14ac:dyDescent="0.25">
      <c r="A425" s="1">
        <v>399</v>
      </c>
      <c r="B425" s="14" t="s">
        <v>625</v>
      </c>
      <c r="C425" s="14" t="s">
        <v>294</v>
      </c>
      <c r="D425" s="14" t="s">
        <v>10</v>
      </c>
      <c r="E425" s="29" t="s">
        <v>102</v>
      </c>
      <c r="F425" s="14">
        <v>130.22999999999999</v>
      </c>
      <c r="G425" s="14">
        <v>39</v>
      </c>
      <c r="H425" s="14">
        <v>0</v>
      </c>
      <c r="I425" s="14">
        <v>0</v>
      </c>
      <c r="J425" s="14">
        <v>0</v>
      </c>
      <c r="K425" s="14">
        <v>0</v>
      </c>
      <c r="L425" s="14">
        <v>0</v>
      </c>
      <c r="M425" s="14">
        <v>1</v>
      </c>
      <c r="N425" s="14">
        <v>7</v>
      </c>
      <c r="O425" s="14">
        <v>1</v>
      </c>
      <c r="P425" s="14">
        <v>0</v>
      </c>
      <c r="Q425" s="14">
        <v>0</v>
      </c>
      <c r="R425" s="14">
        <v>0</v>
      </c>
      <c r="S425" s="14">
        <v>0</v>
      </c>
      <c r="T425" s="14">
        <v>0</v>
      </c>
      <c r="U425" s="14">
        <v>0</v>
      </c>
      <c r="V425" s="14">
        <v>0</v>
      </c>
      <c r="W425" s="14">
        <v>0</v>
      </c>
      <c r="X425" s="14">
        <v>0</v>
      </c>
      <c r="Y425" s="14">
        <v>0</v>
      </c>
      <c r="Z425" s="14">
        <v>0</v>
      </c>
      <c r="AA425" s="14">
        <v>0</v>
      </c>
      <c r="AB425" s="14">
        <v>1</v>
      </c>
      <c r="AC425" s="14">
        <v>0</v>
      </c>
      <c r="AD425" s="25">
        <v>0</v>
      </c>
      <c r="AE425" s="25">
        <v>0</v>
      </c>
      <c r="AF425" s="25">
        <v>0</v>
      </c>
      <c r="AG425" s="25">
        <v>0.38888888900000002</v>
      </c>
      <c r="AH425" s="25">
        <v>0.4140625</v>
      </c>
      <c r="AI425" s="14" t="s">
        <v>984</v>
      </c>
      <c r="AJ425" s="14" t="s">
        <v>33</v>
      </c>
    </row>
    <row r="426" spans="1:36" x14ac:dyDescent="0.25">
      <c r="A426" s="1">
        <v>400</v>
      </c>
      <c r="B426" s="14" t="s">
        <v>669</v>
      </c>
      <c r="C426" s="14" t="s">
        <v>238</v>
      </c>
      <c r="D426" s="14" t="s">
        <v>13</v>
      </c>
      <c r="E426" s="29" t="s">
        <v>46</v>
      </c>
      <c r="F426" s="14">
        <v>302.54000000000002</v>
      </c>
      <c r="G426" s="14">
        <v>39</v>
      </c>
      <c r="H426" s="14">
        <v>6</v>
      </c>
      <c r="I426" s="14">
        <v>0</v>
      </c>
      <c r="J426" s="14">
        <v>6</v>
      </c>
      <c r="K426" s="14">
        <v>3</v>
      </c>
      <c r="L426" s="14">
        <v>1</v>
      </c>
      <c r="M426" s="14">
        <v>3</v>
      </c>
      <c r="N426" s="14">
        <v>12</v>
      </c>
      <c r="O426" s="14">
        <v>0</v>
      </c>
      <c r="P426" s="14">
        <v>0</v>
      </c>
      <c r="Q426" s="14">
        <v>0</v>
      </c>
      <c r="R426" s="14">
        <v>0</v>
      </c>
      <c r="S426" s="14">
        <v>0</v>
      </c>
      <c r="T426" s="14">
        <v>0</v>
      </c>
      <c r="U426" s="14">
        <v>0</v>
      </c>
      <c r="V426" s="14">
        <v>0</v>
      </c>
      <c r="W426" s="14">
        <v>0</v>
      </c>
      <c r="X426" s="14">
        <v>5</v>
      </c>
      <c r="Y426" s="14">
        <v>0</v>
      </c>
      <c r="Z426" s="14">
        <v>0</v>
      </c>
      <c r="AA426" s="14">
        <v>0</v>
      </c>
      <c r="AB426" s="14">
        <v>0</v>
      </c>
      <c r="AC426" s="14">
        <v>0</v>
      </c>
      <c r="AD426" s="25">
        <v>0</v>
      </c>
      <c r="AE426" s="25">
        <v>0</v>
      </c>
      <c r="AF426" s="25">
        <v>0</v>
      </c>
      <c r="AG426" s="25">
        <v>0.61426304300000001</v>
      </c>
      <c r="AH426" s="25">
        <v>0.60560000000000003</v>
      </c>
      <c r="AI426" s="14" t="s">
        <v>921</v>
      </c>
      <c r="AJ426" s="14" t="s">
        <v>33</v>
      </c>
    </row>
    <row r="427" spans="1:36" x14ac:dyDescent="0.25">
      <c r="A427" s="1">
        <v>401</v>
      </c>
      <c r="B427" s="25" t="s">
        <v>874</v>
      </c>
      <c r="C427" s="25" t="s">
        <v>2077</v>
      </c>
      <c r="D427" s="25" t="s">
        <v>13</v>
      </c>
      <c r="E427" s="25" t="s">
        <v>148</v>
      </c>
      <c r="F427" s="25">
        <v>358.64</v>
      </c>
      <c r="G427" s="25">
        <v>39</v>
      </c>
      <c r="H427" s="25">
        <v>6</v>
      </c>
      <c r="I427" s="25">
        <v>0</v>
      </c>
      <c r="J427" s="25">
        <v>6</v>
      </c>
      <c r="K427" s="25">
        <v>3</v>
      </c>
      <c r="L427" s="25">
        <v>0</v>
      </c>
      <c r="M427" s="25">
        <v>2</v>
      </c>
      <c r="N427" s="25">
        <v>17</v>
      </c>
      <c r="O427" s="25">
        <v>0</v>
      </c>
      <c r="P427" s="25">
        <v>0</v>
      </c>
      <c r="Q427" s="25">
        <v>0</v>
      </c>
      <c r="R427" s="25">
        <v>0</v>
      </c>
      <c r="S427" s="25">
        <v>0</v>
      </c>
      <c r="T427" s="25">
        <v>0</v>
      </c>
      <c r="U427" s="25">
        <v>0</v>
      </c>
      <c r="V427" s="25">
        <v>1</v>
      </c>
      <c r="W427" s="25">
        <v>0</v>
      </c>
      <c r="X427" s="25">
        <v>5</v>
      </c>
      <c r="Y427" s="25">
        <v>0</v>
      </c>
      <c r="Z427" s="25">
        <v>0</v>
      </c>
      <c r="AA427" s="25">
        <v>0</v>
      </c>
      <c r="AB427" s="25">
        <v>0</v>
      </c>
      <c r="AC427" s="25">
        <v>0</v>
      </c>
      <c r="AD427" s="25">
        <v>0</v>
      </c>
      <c r="AE427" s="25">
        <v>0</v>
      </c>
      <c r="AF427" s="25">
        <v>0</v>
      </c>
      <c r="AG427" s="25">
        <v>0.61648951500000004</v>
      </c>
      <c r="AH427" s="25">
        <v>0.64030915600000005</v>
      </c>
      <c r="AI427" s="25" t="s">
        <v>1054</v>
      </c>
      <c r="AJ427" s="14" t="s">
        <v>33</v>
      </c>
    </row>
    <row r="428" spans="1:36" x14ac:dyDescent="0.25">
      <c r="A428" s="1">
        <v>402</v>
      </c>
      <c r="B428" s="14" t="s">
        <v>907</v>
      </c>
      <c r="C428" s="14" t="s">
        <v>480</v>
      </c>
      <c r="D428" s="14" t="s">
        <v>13</v>
      </c>
      <c r="E428" s="29" t="s">
        <v>180</v>
      </c>
      <c r="F428" s="14">
        <v>330.59</v>
      </c>
      <c r="G428" s="14">
        <v>39</v>
      </c>
      <c r="H428" s="14">
        <v>6</v>
      </c>
      <c r="I428" s="14">
        <v>0</v>
      </c>
      <c r="J428" s="14">
        <v>6</v>
      </c>
      <c r="K428" s="14">
        <v>3</v>
      </c>
      <c r="L428" s="14">
        <v>1</v>
      </c>
      <c r="M428" s="14">
        <v>3</v>
      </c>
      <c r="N428" s="14">
        <v>14</v>
      </c>
      <c r="O428" s="14">
        <v>0</v>
      </c>
      <c r="P428" s="14">
        <v>0</v>
      </c>
      <c r="Q428" s="14">
        <v>0</v>
      </c>
      <c r="R428" s="14">
        <v>0</v>
      </c>
      <c r="S428" s="14">
        <v>0</v>
      </c>
      <c r="T428" s="14">
        <v>0</v>
      </c>
      <c r="U428" s="14">
        <v>0</v>
      </c>
      <c r="V428" s="14">
        <v>0</v>
      </c>
      <c r="W428" s="14">
        <v>0</v>
      </c>
      <c r="X428" s="14">
        <v>5</v>
      </c>
      <c r="Y428" s="14">
        <v>0</v>
      </c>
      <c r="Z428" s="14">
        <v>0</v>
      </c>
      <c r="AA428" s="14">
        <v>0</v>
      </c>
      <c r="AB428" s="14">
        <v>0</v>
      </c>
      <c r="AC428" s="14">
        <v>0</v>
      </c>
      <c r="AD428" s="25">
        <v>0</v>
      </c>
      <c r="AE428" s="25">
        <v>0</v>
      </c>
      <c r="AF428" s="25">
        <v>0</v>
      </c>
      <c r="AG428" s="25">
        <v>0.61426304300000001</v>
      </c>
      <c r="AH428" s="25">
        <v>0.62208504799999997</v>
      </c>
      <c r="AI428" s="14" t="s">
        <v>1175</v>
      </c>
      <c r="AJ428" s="14" t="s">
        <v>33</v>
      </c>
    </row>
    <row r="429" spans="1:36" x14ac:dyDescent="0.25">
      <c r="A429" s="1">
        <v>403</v>
      </c>
      <c r="B429" s="14" t="s">
        <v>1284</v>
      </c>
      <c r="C429" s="14" t="s">
        <v>2078</v>
      </c>
      <c r="D429" s="14" t="s">
        <v>13</v>
      </c>
      <c r="E429" s="29" t="s">
        <v>148</v>
      </c>
      <c r="F429" s="14">
        <v>358.644408</v>
      </c>
      <c r="G429" s="14">
        <v>39</v>
      </c>
      <c r="H429" s="14">
        <v>6</v>
      </c>
      <c r="I429" s="14">
        <v>0</v>
      </c>
      <c r="J429" s="14">
        <v>6</v>
      </c>
      <c r="K429" s="14">
        <v>3</v>
      </c>
      <c r="L429" s="14">
        <v>0</v>
      </c>
      <c r="M429" s="14">
        <v>2</v>
      </c>
      <c r="N429" s="14">
        <v>17</v>
      </c>
      <c r="O429" s="14">
        <v>0</v>
      </c>
      <c r="P429" s="14">
        <v>0</v>
      </c>
      <c r="Q429" s="14">
        <v>0</v>
      </c>
      <c r="R429" s="14">
        <v>0</v>
      </c>
      <c r="S429" s="14">
        <v>0</v>
      </c>
      <c r="T429" s="14">
        <v>0</v>
      </c>
      <c r="U429" s="14">
        <v>0</v>
      </c>
      <c r="V429" s="14">
        <v>1</v>
      </c>
      <c r="W429" s="14">
        <v>0</v>
      </c>
      <c r="X429" s="14">
        <v>5</v>
      </c>
      <c r="Y429" s="14">
        <v>0</v>
      </c>
      <c r="Z429" s="14">
        <v>0</v>
      </c>
      <c r="AA429" s="14">
        <v>0</v>
      </c>
      <c r="AB429" s="14">
        <v>0</v>
      </c>
      <c r="AC429" s="14">
        <v>0</v>
      </c>
      <c r="AD429" s="25">
        <v>0</v>
      </c>
      <c r="AE429" s="25">
        <v>0</v>
      </c>
      <c r="AF429" s="25">
        <v>0</v>
      </c>
      <c r="AG429" s="25">
        <v>0.61648951500000004</v>
      </c>
      <c r="AH429" s="25">
        <v>0.63793103399999995</v>
      </c>
      <c r="AI429" s="14" t="s">
        <v>1306</v>
      </c>
      <c r="AJ429" s="14" t="s">
        <v>33</v>
      </c>
    </row>
    <row r="430" spans="1:36" x14ac:dyDescent="0.25">
      <c r="A430" s="1">
        <v>405</v>
      </c>
      <c r="B430" s="14" t="s">
        <v>733</v>
      </c>
      <c r="C430" s="14" t="s">
        <v>447</v>
      </c>
      <c r="D430" s="14" t="s">
        <v>19</v>
      </c>
      <c r="E430" s="29" t="s">
        <v>127</v>
      </c>
      <c r="F430" s="14">
        <v>198.39</v>
      </c>
      <c r="G430" s="14">
        <v>39</v>
      </c>
      <c r="H430" s="14">
        <v>0</v>
      </c>
      <c r="I430" s="14">
        <v>0</v>
      </c>
      <c r="J430" s="14">
        <v>0</v>
      </c>
      <c r="K430" s="14">
        <v>0</v>
      </c>
      <c r="L430" s="14">
        <v>0</v>
      </c>
      <c r="M430" s="14">
        <v>6</v>
      </c>
      <c r="N430" s="14">
        <v>4</v>
      </c>
      <c r="O430" s="14">
        <v>0</v>
      </c>
      <c r="P430" s="14">
        <v>0</v>
      </c>
      <c r="Q430" s="14">
        <v>0</v>
      </c>
      <c r="R430" s="14">
        <v>0</v>
      </c>
      <c r="S430" s="14">
        <v>0</v>
      </c>
      <c r="T430" s="14">
        <v>0</v>
      </c>
      <c r="U430" s="14">
        <v>0</v>
      </c>
      <c r="V430" s="14">
        <v>4</v>
      </c>
      <c r="W430" s="14">
        <v>0</v>
      </c>
      <c r="X430" s="14">
        <v>0</v>
      </c>
      <c r="Y430" s="14">
        <v>0</v>
      </c>
      <c r="Z430" s="14">
        <v>0</v>
      </c>
      <c r="AA430" s="14">
        <v>0</v>
      </c>
      <c r="AB430" s="14">
        <v>0</v>
      </c>
      <c r="AC430" s="14">
        <v>0</v>
      </c>
      <c r="AD430" s="25">
        <v>0</v>
      </c>
      <c r="AE430" s="25">
        <v>0</v>
      </c>
      <c r="AF430" s="25">
        <v>0</v>
      </c>
      <c r="AG430" s="25">
        <v>0.52770083099999998</v>
      </c>
      <c r="AH430" s="25">
        <v>0.51775147899999996</v>
      </c>
      <c r="AI430" s="14" t="s">
        <v>1143</v>
      </c>
      <c r="AJ430" s="14" t="s">
        <v>33</v>
      </c>
    </row>
    <row r="431" spans="1:36" x14ac:dyDescent="0.25">
      <c r="A431" s="1">
        <v>406</v>
      </c>
      <c r="B431" s="25" t="s">
        <v>732</v>
      </c>
      <c r="C431" s="25" t="s">
        <v>537</v>
      </c>
      <c r="D431" s="25" t="s">
        <v>19</v>
      </c>
      <c r="E431" s="25" t="s">
        <v>172</v>
      </c>
      <c r="F431" s="25">
        <v>184.36</v>
      </c>
      <c r="G431" s="25">
        <v>39</v>
      </c>
      <c r="H431" s="25">
        <v>0</v>
      </c>
      <c r="I431" s="25">
        <v>0</v>
      </c>
      <c r="J431" s="25">
        <v>0</v>
      </c>
      <c r="K431" s="25">
        <v>0</v>
      </c>
      <c r="L431" s="25">
        <v>0</v>
      </c>
      <c r="M431" s="25">
        <v>3</v>
      </c>
      <c r="N431" s="25">
        <v>9</v>
      </c>
      <c r="O431" s="25">
        <v>0</v>
      </c>
      <c r="P431" s="25">
        <v>0</v>
      </c>
      <c r="Q431" s="25">
        <v>0</v>
      </c>
      <c r="R431" s="25">
        <v>0</v>
      </c>
      <c r="S431" s="25">
        <v>0</v>
      </c>
      <c r="T431" s="25">
        <v>0</v>
      </c>
      <c r="U431" s="25">
        <v>0</v>
      </c>
      <c r="V431" s="25">
        <v>1</v>
      </c>
      <c r="W431" s="25">
        <v>0</v>
      </c>
      <c r="X431" s="25">
        <v>0</v>
      </c>
      <c r="Y431" s="25">
        <v>0</v>
      </c>
      <c r="Z431" s="25">
        <v>0</v>
      </c>
      <c r="AA431" s="25">
        <v>0</v>
      </c>
      <c r="AB431" s="25">
        <v>0</v>
      </c>
      <c r="AC431" s="25">
        <v>0</v>
      </c>
      <c r="AD431" s="25">
        <v>0</v>
      </c>
      <c r="AE431" s="25">
        <v>0</v>
      </c>
      <c r="AF431" s="25">
        <v>0</v>
      </c>
      <c r="AG431" s="25">
        <v>0.464497041</v>
      </c>
      <c r="AH431" s="25">
        <v>0.49305555600000001</v>
      </c>
      <c r="AI431" s="25" t="s">
        <v>1232</v>
      </c>
      <c r="AJ431" s="14" t="s">
        <v>33</v>
      </c>
    </row>
    <row r="432" spans="1:36" x14ac:dyDescent="0.25">
      <c r="A432" s="1">
        <v>408</v>
      </c>
      <c r="B432" s="25" t="s">
        <v>1338</v>
      </c>
      <c r="C432" s="25" t="s">
        <v>2079</v>
      </c>
      <c r="D432" s="25" t="s">
        <v>7</v>
      </c>
      <c r="E432" s="25" t="s">
        <v>127</v>
      </c>
      <c r="F432" s="25">
        <v>198.3885252</v>
      </c>
      <c r="G432" s="25">
        <v>39</v>
      </c>
      <c r="H432" s="25">
        <v>0</v>
      </c>
      <c r="I432" s="25">
        <v>0</v>
      </c>
      <c r="J432" s="25">
        <v>0</v>
      </c>
      <c r="K432" s="25">
        <v>0</v>
      </c>
      <c r="L432" s="25">
        <v>0</v>
      </c>
      <c r="M432" s="25">
        <v>6</v>
      </c>
      <c r="N432" s="25">
        <v>4</v>
      </c>
      <c r="O432" s="25">
        <v>0</v>
      </c>
      <c r="P432" s="25">
        <v>0</v>
      </c>
      <c r="Q432" s="25">
        <v>0</v>
      </c>
      <c r="R432" s="25">
        <v>0</v>
      </c>
      <c r="S432" s="25">
        <v>0</v>
      </c>
      <c r="T432" s="25">
        <v>0</v>
      </c>
      <c r="U432" s="25">
        <v>0</v>
      </c>
      <c r="V432" s="25">
        <v>4</v>
      </c>
      <c r="W432" s="25">
        <v>0</v>
      </c>
      <c r="X432" s="25">
        <v>0</v>
      </c>
      <c r="Y432" s="25">
        <v>0</v>
      </c>
      <c r="Z432" s="25">
        <v>0</v>
      </c>
      <c r="AA432" s="25">
        <v>0</v>
      </c>
      <c r="AB432" s="25">
        <v>0</v>
      </c>
      <c r="AC432" s="25">
        <v>0</v>
      </c>
      <c r="AD432" s="25">
        <v>0</v>
      </c>
      <c r="AE432" s="25">
        <v>0</v>
      </c>
      <c r="AF432" s="25">
        <v>0</v>
      </c>
      <c r="AG432" s="25">
        <v>0.48724489799999998</v>
      </c>
      <c r="AH432" s="25">
        <v>0.51775147899999996</v>
      </c>
      <c r="AI432" s="25" t="s">
        <v>1306</v>
      </c>
      <c r="AJ432" s="14" t="s">
        <v>33</v>
      </c>
    </row>
    <row r="433" spans="1:36" x14ac:dyDescent="0.25">
      <c r="A433" s="1">
        <v>409</v>
      </c>
      <c r="B433" s="14" t="s">
        <v>1339</v>
      </c>
      <c r="C433" s="14" t="s">
        <v>2080</v>
      </c>
      <c r="D433" s="14" t="s">
        <v>7</v>
      </c>
      <c r="E433" s="29" t="s">
        <v>127</v>
      </c>
      <c r="F433" s="14">
        <v>198.3885252</v>
      </c>
      <c r="G433" s="14">
        <v>39</v>
      </c>
      <c r="H433" s="14">
        <v>0</v>
      </c>
      <c r="I433" s="14">
        <v>0</v>
      </c>
      <c r="J433" s="14">
        <v>0</v>
      </c>
      <c r="K433" s="14">
        <v>0</v>
      </c>
      <c r="L433" s="14">
        <v>0</v>
      </c>
      <c r="M433" s="14">
        <v>6</v>
      </c>
      <c r="N433" s="14">
        <v>4</v>
      </c>
      <c r="O433" s="14">
        <v>0</v>
      </c>
      <c r="P433" s="14">
        <v>0</v>
      </c>
      <c r="Q433" s="14">
        <v>0</v>
      </c>
      <c r="R433" s="14">
        <v>0</v>
      </c>
      <c r="S433" s="14">
        <v>0</v>
      </c>
      <c r="T433" s="14">
        <v>0</v>
      </c>
      <c r="U433" s="14">
        <v>0</v>
      </c>
      <c r="V433" s="14">
        <v>4</v>
      </c>
      <c r="W433" s="14">
        <v>0</v>
      </c>
      <c r="X433" s="14">
        <v>0</v>
      </c>
      <c r="Y433" s="14">
        <v>0</v>
      </c>
      <c r="Z433" s="14">
        <v>0</v>
      </c>
      <c r="AA433" s="14">
        <v>0</v>
      </c>
      <c r="AB433" s="14">
        <v>0</v>
      </c>
      <c r="AC433" s="14">
        <v>0</v>
      </c>
      <c r="AD433" s="25">
        <v>0</v>
      </c>
      <c r="AE433" s="25">
        <v>0</v>
      </c>
      <c r="AF433" s="25">
        <v>0</v>
      </c>
      <c r="AG433" s="25">
        <v>0.48724489799999998</v>
      </c>
      <c r="AH433" s="25">
        <v>0.51775147899999996</v>
      </c>
      <c r="AI433" s="14" t="s">
        <v>1306</v>
      </c>
      <c r="AJ433" s="14" t="s">
        <v>33</v>
      </c>
    </row>
    <row r="434" spans="1:36" x14ac:dyDescent="0.25">
      <c r="A434" s="1">
        <v>410</v>
      </c>
      <c r="B434" s="14" t="s">
        <v>1340</v>
      </c>
      <c r="C434" s="14" t="s">
        <v>2081</v>
      </c>
      <c r="D434" s="14" t="s">
        <v>7</v>
      </c>
      <c r="E434" s="29" t="s">
        <v>127</v>
      </c>
      <c r="F434" s="14">
        <v>198.3885252</v>
      </c>
      <c r="G434" s="14">
        <v>39</v>
      </c>
      <c r="H434" s="14">
        <v>0</v>
      </c>
      <c r="I434" s="14">
        <v>0</v>
      </c>
      <c r="J434" s="14">
        <v>0</v>
      </c>
      <c r="K434" s="14">
        <v>0</v>
      </c>
      <c r="L434" s="14">
        <v>0</v>
      </c>
      <c r="M434" s="14">
        <v>6</v>
      </c>
      <c r="N434" s="14">
        <v>4</v>
      </c>
      <c r="O434" s="14">
        <v>0</v>
      </c>
      <c r="P434" s="14">
        <v>0</v>
      </c>
      <c r="Q434" s="14">
        <v>0</v>
      </c>
      <c r="R434" s="14">
        <v>0</v>
      </c>
      <c r="S434" s="14">
        <v>0</v>
      </c>
      <c r="T434" s="14">
        <v>0</v>
      </c>
      <c r="U434" s="14">
        <v>0</v>
      </c>
      <c r="V434" s="14">
        <v>4</v>
      </c>
      <c r="W434" s="14">
        <v>0</v>
      </c>
      <c r="X434" s="14">
        <v>0</v>
      </c>
      <c r="Y434" s="14">
        <v>0</v>
      </c>
      <c r="Z434" s="14">
        <v>0</v>
      </c>
      <c r="AA434" s="14">
        <v>0</v>
      </c>
      <c r="AB434" s="14">
        <v>0</v>
      </c>
      <c r="AC434" s="14">
        <v>0</v>
      </c>
      <c r="AD434" s="25">
        <v>0</v>
      </c>
      <c r="AE434" s="25">
        <v>0</v>
      </c>
      <c r="AF434" s="25">
        <v>0</v>
      </c>
      <c r="AG434" s="25">
        <v>0.48724489799999998</v>
      </c>
      <c r="AH434" s="25">
        <v>0.51775147899999996</v>
      </c>
      <c r="AI434" s="14" t="s">
        <v>1306</v>
      </c>
      <c r="AJ434" s="14" t="s">
        <v>33</v>
      </c>
    </row>
    <row r="435" spans="1:36" x14ac:dyDescent="0.25">
      <c r="A435" s="1">
        <v>411</v>
      </c>
      <c r="B435" s="25" t="s">
        <v>1701</v>
      </c>
      <c r="C435" s="25" t="s">
        <v>1436</v>
      </c>
      <c r="D435" s="25" t="s">
        <v>10</v>
      </c>
      <c r="E435" s="25" t="s">
        <v>102</v>
      </c>
      <c r="F435" s="25">
        <v>130.22399999999999</v>
      </c>
      <c r="G435" s="25">
        <v>39.1</v>
      </c>
      <c r="H435" s="25">
        <v>0</v>
      </c>
      <c r="I435" s="25">
        <v>0</v>
      </c>
      <c r="J435" s="25">
        <v>0</v>
      </c>
      <c r="K435" s="25">
        <v>0</v>
      </c>
      <c r="L435" s="25">
        <v>0</v>
      </c>
      <c r="M435" s="25">
        <v>1</v>
      </c>
      <c r="N435" s="25">
        <v>7</v>
      </c>
      <c r="O435" s="25">
        <v>1</v>
      </c>
      <c r="P435" s="25">
        <v>0</v>
      </c>
      <c r="Q435" s="25">
        <v>0</v>
      </c>
      <c r="R435" s="25">
        <v>0</v>
      </c>
      <c r="S435" s="25">
        <v>0</v>
      </c>
      <c r="T435" s="25">
        <v>0</v>
      </c>
      <c r="U435" s="25">
        <v>0</v>
      </c>
      <c r="V435" s="25">
        <v>0</v>
      </c>
      <c r="W435" s="25">
        <v>0</v>
      </c>
      <c r="X435" s="25">
        <v>0</v>
      </c>
      <c r="Y435" s="25">
        <v>0</v>
      </c>
      <c r="Z435" s="25">
        <v>0</v>
      </c>
      <c r="AA435" s="25">
        <v>0</v>
      </c>
      <c r="AB435" s="25">
        <v>1</v>
      </c>
      <c r="AC435" s="25">
        <v>0</v>
      </c>
      <c r="AD435" s="25">
        <v>0</v>
      </c>
      <c r="AE435" s="25">
        <v>0</v>
      </c>
      <c r="AF435" s="25">
        <v>0</v>
      </c>
      <c r="AG435" s="25">
        <v>0.38888888900000002</v>
      </c>
      <c r="AH435" s="25">
        <v>0.4140625</v>
      </c>
      <c r="AI435" s="25" t="s">
        <v>1571</v>
      </c>
      <c r="AJ435" s="14" t="s">
        <v>33</v>
      </c>
    </row>
    <row r="436" spans="1:36" x14ac:dyDescent="0.25">
      <c r="A436" s="1">
        <v>413</v>
      </c>
      <c r="B436" s="25" t="s">
        <v>609</v>
      </c>
      <c r="C436" s="25" t="s">
        <v>412</v>
      </c>
      <c r="D436" s="25" t="s">
        <v>10</v>
      </c>
      <c r="E436" s="25" t="s">
        <v>177</v>
      </c>
      <c r="F436" s="25">
        <v>144.25</v>
      </c>
      <c r="G436" s="25">
        <v>39.6</v>
      </c>
      <c r="H436" s="25">
        <v>0</v>
      </c>
      <c r="I436" s="25">
        <v>0</v>
      </c>
      <c r="J436" s="25">
        <v>0</v>
      </c>
      <c r="K436" s="25">
        <v>0</v>
      </c>
      <c r="L436" s="25">
        <v>0</v>
      </c>
      <c r="M436" s="25">
        <v>2</v>
      </c>
      <c r="N436" s="25">
        <v>6</v>
      </c>
      <c r="O436" s="25">
        <v>1</v>
      </c>
      <c r="P436" s="25">
        <v>0</v>
      </c>
      <c r="Q436" s="25">
        <v>0</v>
      </c>
      <c r="R436" s="25">
        <v>0</v>
      </c>
      <c r="S436" s="25">
        <v>0</v>
      </c>
      <c r="T436" s="25">
        <v>0</v>
      </c>
      <c r="U436" s="25">
        <v>0</v>
      </c>
      <c r="V436" s="25">
        <v>1</v>
      </c>
      <c r="W436" s="25">
        <v>0</v>
      </c>
      <c r="X436" s="25">
        <v>0</v>
      </c>
      <c r="Y436" s="25">
        <v>0</v>
      </c>
      <c r="Z436" s="25">
        <v>0</v>
      </c>
      <c r="AA436" s="25">
        <v>0</v>
      </c>
      <c r="AB436" s="25">
        <v>0</v>
      </c>
      <c r="AC436" s="25">
        <v>1</v>
      </c>
      <c r="AD436" s="25">
        <v>0</v>
      </c>
      <c r="AE436" s="25">
        <v>0</v>
      </c>
      <c r="AF436" s="25">
        <v>0</v>
      </c>
      <c r="AG436" s="25">
        <v>0.39500000000000002</v>
      </c>
      <c r="AH436" s="25">
        <v>0.42592592600000001</v>
      </c>
      <c r="AI436" s="25" t="s">
        <v>1109</v>
      </c>
      <c r="AJ436" s="14" t="s">
        <v>33</v>
      </c>
    </row>
    <row r="437" spans="1:36" x14ac:dyDescent="0.25">
      <c r="A437" s="1">
        <v>415</v>
      </c>
      <c r="B437" s="14" t="s">
        <v>697</v>
      </c>
      <c r="C437" s="14" t="s">
        <v>371</v>
      </c>
      <c r="D437" s="14" t="s">
        <v>17</v>
      </c>
      <c r="E437" s="29" t="s">
        <v>155</v>
      </c>
      <c r="F437" s="14">
        <v>200.32</v>
      </c>
      <c r="G437" s="14">
        <v>39.6</v>
      </c>
      <c r="H437" s="14">
        <v>0</v>
      </c>
      <c r="I437" s="14">
        <v>0</v>
      </c>
      <c r="J437" s="14">
        <v>0</v>
      </c>
      <c r="K437" s="14">
        <v>0</v>
      </c>
      <c r="L437" s="14">
        <v>0</v>
      </c>
      <c r="M437" s="14">
        <v>2</v>
      </c>
      <c r="N437" s="14">
        <v>9</v>
      </c>
      <c r="O437" s="14">
        <v>0</v>
      </c>
      <c r="P437" s="14">
        <v>0</v>
      </c>
      <c r="Q437" s="14">
        <v>0</v>
      </c>
      <c r="R437" s="14">
        <v>0</v>
      </c>
      <c r="S437" s="14">
        <v>0</v>
      </c>
      <c r="T437" s="14">
        <v>0</v>
      </c>
      <c r="U437" s="14">
        <v>1</v>
      </c>
      <c r="V437" s="14">
        <v>0</v>
      </c>
      <c r="W437" s="14">
        <v>0</v>
      </c>
      <c r="X437" s="14">
        <v>0</v>
      </c>
      <c r="Y437" s="14">
        <v>0</v>
      </c>
      <c r="Z437" s="14">
        <v>0</v>
      </c>
      <c r="AA437" s="14">
        <v>0</v>
      </c>
      <c r="AB437" s="14">
        <v>0</v>
      </c>
      <c r="AC437" s="14">
        <v>0</v>
      </c>
      <c r="AD437" s="25">
        <v>0</v>
      </c>
      <c r="AE437" s="25">
        <v>0</v>
      </c>
      <c r="AF437" s="25">
        <v>0</v>
      </c>
      <c r="AG437" s="25">
        <v>0.52295918399999997</v>
      </c>
      <c r="AH437" s="25">
        <v>0.533163265</v>
      </c>
      <c r="AI437" s="14" t="s">
        <v>1067</v>
      </c>
      <c r="AJ437" s="14" t="s">
        <v>33</v>
      </c>
    </row>
    <row r="438" spans="1:36" x14ac:dyDescent="0.25">
      <c r="A438" s="1">
        <v>416</v>
      </c>
      <c r="B438" s="25" t="s">
        <v>1769</v>
      </c>
      <c r="C438" s="25" t="s">
        <v>1477</v>
      </c>
      <c r="D438" s="25" t="s">
        <v>1930</v>
      </c>
      <c r="E438" s="25" t="s">
        <v>1770</v>
      </c>
      <c r="F438" s="25">
        <v>200.31200000000001</v>
      </c>
      <c r="G438" s="25">
        <v>39.6</v>
      </c>
      <c r="H438" s="25">
        <v>0</v>
      </c>
      <c r="I438" s="25">
        <v>0</v>
      </c>
      <c r="J438" s="25">
        <v>0</v>
      </c>
      <c r="K438" s="25">
        <v>0</v>
      </c>
      <c r="L438" s="25">
        <v>0</v>
      </c>
      <c r="M438" s="25">
        <v>2</v>
      </c>
      <c r="N438" s="25">
        <v>9</v>
      </c>
      <c r="O438" s="25">
        <v>0</v>
      </c>
      <c r="P438" s="25">
        <v>0</v>
      </c>
      <c r="Q438" s="25">
        <v>0</v>
      </c>
      <c r="R438" s="25">
        <v>0</v>
      </c>
      <c r="S438" s="25">
        <v>0</v>
      </c>
      <c r="T438" s="25">
        <v>0</v>
      </c>
      <c r="U438" s="25">
        <v>1</v>
      </c>
      <c r="V438" s="25">
        <v>0</v>
      </c>
      <c r="W438" s="25">
        <v>0</v>
      </c>
      <c r="X438" s="25">
        <v>0</v>
      </c>
      <c r="Y438" s="25">
        <v>0</v>
      </c>
      <c r="Z438" s="25">
        <v>0</v>
      </c>
      <c r="AA438" s="25">
        <v>0</v>
      </c>
      <c r="AB438" s="25">
        <v>0</v>
      </c>
      <c r="AC438" s="25">
        <v>0</v>
      </c>
      <c r="AD438" s="25">
        <v>0</v>
      </c>
      <c r="AE438" s="25">
        <v>0</v>
      </c>
      <c r="AF438" s="25">
        <v>0</v>
      </c>
      <c r="AG438" s="25">
        <v>0.52295918399999997</v>
      </c>
      <c r="AH438" s="25">
        <v>0.533163265</v>
      </c>
      <c r="AI438" s="25" t="s">
        <v>1571</v>
      </c>
      <c r="AJ438" s="14" t="s">
        <v>33</v>
      </c>
    </row>
    <row r="439" spans="1:36" x14ac:dyDescent="0.25">
      <c r="A439" s="1">
        <v>418</v>
      </c>
      <c r="B439" s="14" t="s">
        <v>823</v>
      </c>
      <c r="C439" s="14" t="s">
        <v>248</v>
      </c>
      <c r="D439" s="14" t="s">
        <v>12</v>
      </c>
      <c r="E439" s="29" t="s">
        <v>55</v>
      </c>
      <c r="F439" s="14">
        <v>138.25</v>
      </c>
      <c r="G439" s="14">
        <v>40</v>
      </c>
      <c r="H439" s="14">
        <v>0</v>
      </c>
      <c r="I439" s="14">
        <v>2</v>
      </c>
      <c r="J439" s="14">
        <v>0</v>
      </c>
      <c r="K439" s="14">
        <v>2</v>
      </c>
      <c r="L439" s="14">
        <v>0</v>
      </c>
      <c r="M439" s="14">
        <v>0</v>
      </c>
      <c r="N439" s="14">
        <v>6</v>
      </c>
      <c r="O439" s="14">
        <v>0</v>
      </c>
      <c r="P439" s="14">
        <v>0</v>
      </c>
      <c r="Q439" s="14">
        <v>0</v>
      </c>
      <c r="R439" s="14">
        <v>0</v>
      </c>
      <c r="S439" s="14">
        <v>0</v>
      </c>
      <c r="T439" s="14">
        <v>0</v>
      </c>
      <c r="U439" s="14">
        <v>0</v>
      </c>
      <c r="V439" s="14">
        <v>0</v>
      </c>
      <c r="W439" s="14">
        <v>2</v>
      </c>
      <c r="X439" s="14">
        <v>0</v>
      </c>
      <c r="Y439" s="14">
        <v>2</v>
      </c>
      <c r="Z439" s="14">
        <v>0</v>
      </c>
      <c r="AA439" s="14">
        <v>0</v>
      </c>
      <c r="AB439" s="14">
        <v>0</v>
      </c>
      <c r="AC439" s="14">
        <v>0</v>
      </c>
      <c r="AD439" s="25">
        <v>0</v>
      </c>
      <c r="AE439" s="25">
        <v>0</v>
      </c>
      <c r="AF439" s="25">
        <v>0</v>
      </c>
      <c r="AG439" s="25">
        <v>0.46694214899999997</v>
      </c>
      <c r="AH439" s="25">
        <v>0.47520661199999997</v>
      </c>
      <c r="AI439" s="14" t="s">
        <v>931</v>
      </c>
      <c r="AJ439" s="14" t="s">
        <v>33</v>
      </c>
    </row>
    <row r="440" spans="1:36" x14ac:dyDescent="0.25">
      <c r="A440" s="1">
        <v>420</v>
      </c>
      <c r="B440" s="14" t="s">
        <v>1771</v>
      </c>
      <c r="C440" s="14" t="s">
        <v>1478</v>
      </c>
      <c r="D440" s="14" t="s">
        <v>1930</v>
      </c>
      <c r="E440" s="29" t="s">
        <v>1770</v>
      </c>
      <c r="F440" s="14">
        <v>200.31200000000001</v>
      </c>
      <c r="G440" s="14">
        <v>40</v>
      </c>
      <c r="H440" s="14">
        <v>0</v>
      </c>
      <c r="I440" s="14">
        <v>0</v>
      </c>
      <c r="J440" s="14">
        <v>0</v>
      </c>
      <c r="K440" s="14">
        <v>0</v>
      </c>
      <c r="L440" s="14">
        <v>0</v>
      </c>
      <c r="M440" s="14">
        <v>2</v>
      </c>
      <c r="N440" s="14">
        <v>9</v>
      </c>
      <c r="O440" s="14">
        <v>0</v>
      </c>
      <c r="P440" s="14">
        <v>0</v>
      </c>
      <c r="Q440" s="14">
        <v>0</v>
      </c>
      <c r="R440" s="14">
        <v>0</v>
      </c>
      <c r="S440" s="14">
        <v>0</v>
      </c>
      <c r="T440" s="14">
        <v>0</v>
      </c>
      <c r="U440" s="14">
        <v>1</v>
      </c>
      <c r="V440" s="14">
        <v>0</v>
      </c>
      <c r="W440" s="14">
        <v>0</v>
      </c>
      <c r="X440" s="14">
        <v>0</v>
      </c>
      <c r="Y440" s="14">
        <v>0</v>
      </c>
      <c r="Z440" s="14">
        <v>0</v>
      </c>
      <c r="AA440" s="14">
        <v>0</v>
      </c>
      <c r="AB440" s="14">
        <v>0</v>
      </c>
      <c r="AC440" s="14">
        <v>0</v>
      </c>
      <c r="AD440" s="25">
        <v>0</v>
      </c>
      <c r="AE440" s="25">
        <v>0</v>
      </c>
      <c r="AF440" s="25">
        <v>0</v>
      </c>
      <c r="AG440" s="25">
        <v>0.52295918399999997</v>
      </c>
      <c r="AH440" s="25">
        <v>0.52295918399999997</v>
      </c>
      <c r="AI440" s="14" t="s">
        <v>1571</v>
      </c>
      <c r="AJ440" s="14" t="s">
        <v>33</v>
      </c>
    </row>
    <row r="441" spans="1:36" x14ac:dyDescent="0.25">
      <c r="A441" s="1">
        <v>421</v>
      </c>
      <c r="B441" s="25" t="s">
        <v>1834</v>
      </c>
      <c r="C441" s="25" t="s">
        <v>2082</v>
      </c>
      <c r="D441" s="25" t="s">
        <v>18</v>
      </c>
      <c r="E441" s="25" t="s">
        <v>193</v>
      </c>
      <c r="F441" s="25">
        <v>132.15600000000001</v>
      </c>
      <c r="G441" s="25">
        <v>40</v>
      </c>
      <c r="H441" s="25">
        <v>0</v>
      </c>
      <c r="I441" s="25">
        <v>0</v>
      </c>
      <c r="J441" s="25">
        <v>0</v>
      </c>
      <c r="K441" s="25">
        <v>0</v>
      </c>
      <c r="L441" s="25">
        <v>0</v>
      </c>
      <c r="M441" s="25">
        <v>2</v>
      </c>
      <c r="N441" s="25">
        <v>3</v>
      </c>
      <c r="O441" s="25">
        <v>0</v>
      </c>
      <c r="P441" s="25">
        <v>1</v>
      </c>
      <c r="Q441" s="25">
        <v>0</v>
      </c>
      <c r="R441" s="25">
        <v>0</v>
      </c>
      <c r="S441" s="25">
        <v>0</v>
      </c>
      <c r="T441" s="25">
        <v>0</v>
      </c>
      <c r="U441" s="25">
        <v>1</v>
      </c>
      <c r="V441" s="25">
        <v>0</v>
      </c>
      <c r="W441" s="25">
        <v>0</v>
      </c>
      <c r="X441" s="25">
        <v>0</v>
      </c>
      <c r="Y441" s="25">
        <v>0</v>
      </c>
      <c r="Z441" s="25">
        <v>0</v>
      </c>
      <c r="AA441" s="25">
        <v>0</v>
      </c>
      <c r="AB441" s="25">
        <v>0</v>
      </c>
      <c r="AC441" s="25">
        <v>0</v>
      </c>
      <c r="AD441" s="25">
        <v>0</v>
      </c>
      <c r="AE441" s="25">
        <v>0</v>
      </c>
      <c r="AF441" s="25">
        <v>0</v>
      </c>
      <c r="AG441" s="25">
        <v>0.42307692299999999</v>
      </c>
      <c r="AH441" s="25">
        <v>0.43827160500000001</v>
      </c>
      <c r="AI441" s="25" t="s">
        <v>1571</v>
      </c>
      <c r="AJ441" s="14" t="s">
        <v>33</v>
      </c>
    </row>
    <row r="442" spans="1:36" x14ac:dyDescent="0.25">
      <c r="A442" s="1">
        <v>422</v>
      </c>
      <c r="B442" s="25" t="s">
        <v>734</v>
      </c>
      <c r="C442" s="25" t="s">
        <v>508</v>
      </c>
      <c r="D442" s="25" t="s">
        <v>19</v>
      </c>
      <c r="E442" s="25" t="s">
        <v>132</v>
      </c>
      <c r="F442" s="25">
        <v>226.44</v>
      </c>
      <c r="G442" s="25">
        <v>40</v>
      </c>
      <c r="H442" s="25">
        <v>0</v>
      </c>
      <c r="I442" s="25">
        <v>0</v>
      </c>
      <c r="J442" s="25">
        <v>0</v>
      </c>
      <c r="K442" s="25">
        <v>0</v>
      </c>
      <c r="L442" s="25">
        <v>0</v>
      </c>
      <c r="M442" s="25">
        <v>4</v>
      </c>
      <c r="N442" s="25">
        <v>10</v>
      </c>
      <c r="O442" s="25">
        <v>0</v>
      </c>
      <c r="P442" s="25">
        <v>0</v>
      </c>
      <c r="Q442" s="25">
        <v>0</v>
      </c>
      <c r="R442" s="25">
        <v>0</v>
      </c>
      <c r="S442" s="25">
        <v>0</v>
      </c>
      <c r="T442" s="25">
        <v>0</v>
      </c>
      <c r="U442" s="25">
        <v>0</v>
      </c>
      <c r="V442" s="25">
        <v>2</v>
      </c>
      <c r="W442" s="25">
        <v>0</v>
      </c>
      <c r="X442" s="25">
        <v>0</v>
      </c>
      <c r="Y442" s="25">
        <v>0</v>
      </c>
      <c r="Z442" s="25">
        <v>0</v>
      </c>
      <c r="AA442" s="25">
        <v>0</v>
      </c>
      <c r="AB442" s="25">
        <v>0</v>
      </c>
      <c r="AC442" s="25">
        <v>0</v>
      </c>
      <c r="AD442" s="25">
        <v>0</v>
      </c>
      <c r="AE442" s="25">
        <v>0</v>
      </c>
      <c r="AF442" s="25">
        <v>0</v>
      </c>
      <c r="AG442" s="25">
        <v>0.529296875</v>
      </c>
      <c r="AH442" s="25">
        <v>0.53111111099999997</v>
      </c>
      <c r="AI442" s="25" t="s">
        <v>1203</v>
      </c>
      <c r="AJ442" s="14" t="s">
        <v>33</v>
      </c>
    </row>
    <row r="443" spans="1:36" x14ac:dyDescent="0.25">
      <c r="A443" s="1">
        <v>424</v>
      </c>
      <c r="B443" s="14" t="s">
        <v>1318</v>
      </c>
      <c r="C443" s="14" t="s">
        <v>2083</v>
      </c>
      <c r="D443" s="14" t="s">
        <v>7</v>
      </c>
      <c r="E443" s="29" t="s">
        <v>132</v>
      </c>
      <c r="F443" s="14">
        <v>226.44175999999999</v>
      </c>
      <c r="G443" s="14">
        <v>40</v>
      </c>
      <c r="H443" s="14">
        <v>0</v>
      </c>
      <c r="I443" s="14">
        <v>0</v>
      </c>
      <c r="J443" s="14">
        <v>0</v>
      </c>
      <c r="K443" s="14">
        <v>0</v>
      </c>
      <c r="L443" s="14">
        <v>0</v>
      </c>
      <c r="M443" s="14">
        <v>4</v>
      </c>
      <c r="N443" s="14">
        <v>10</v>
      </c>
      <c r="O443" s="14">
        <v>0</v>
      </c>
      <c r="P443" s="14">
        <v>0</v>
      </c>
      <c r="Q443" s="14">
        <v>0</v>
      </c>
      <c r="R443" s="14">
        <v>0</v>
      </c>
      <c r="S443" s="14">
        <v>0</v>
      </c>
      <c r="T443" s="14">
        <v>0</v>
      </c>
      <c r="U443" s="14">
        <v>0</v>
      </c>
      <c r="V443" s="14">
        <v>2</v>
      </c>
      <c r="W443" s="14">
        <v>0</v>
      </c>
      <c r="X443" s="14">
        <v>0</v>
      </c>
      <c r="Y443" s="14">
        <v>0</v>
      </c>
      <c r="Z443" s="14">
        <v>0</v>
      </c>
      <c r="AA443" s="14">
        <v>0</v>
      </c>
      <c r="AB443" s="14">
        <v>0</v>
      </c>
      <c r="AC443" s="14">
        <v>0</v>
      </c>
      <c r="AD443" s="25">
        <v>0</v>
      </c>
      <c r="AE443" s="25">
        <v>0</v>
      </c>
      <c r="AF443" s="25">
        <v>0</v>
      </c>
      <c r="AG443" s="25">
        <v>0.529296875</v>
      </c>
      <c r="AH443" s="25">
        <v>0.53111111099999997</v>
      </c>
      <c r="AI443" s="14" t="s">
        <v>1306</v>
      </c>
      <c r="AJ443" s="14" t="s">
        <v>33</v>
      </c>
    </row>
    <row r="444" spans="1:36" x14ac:dyDescent="0.25">
      <c r="A444" s="1">
        <v>425</v>
      </c>
      <c r="B444" s="25" t="s">
        <v>1320</v>
      </c>
      <c r="C444" s="25" t="s">
        <v>2084</v>
      </c>
      <c r="D444" s="25" t="s">
        <v>7</v>
      </c>
      <c r="E444" s="25" t="s">
        <v>132</v>
      </c>
      <c r="F444" s="25">
        <v>226.44175999999999</v>
      </c>
      <c r="G444" s="25">
        <v>40</v>
      </c>
      <c r="H444" s="25">
        <v>0</v>
      </c>
      <c r="I444" s="25">
        <v>0</v>
      </c>
      <c r="J444" s="25">
        <v>0</v>
      </c>
      <c r="K444" s="25">
        <v>0</v>
      </c>
      <c r="L444" s="25">
        <v>0</v>
      </c>
      <c r="M444" s="25">
        <v>4</v>
      </c>
      <c r="N444" s="25">
        <v>10</v>
      </c>
      <c r="O444" s="25">
        <v>0</v>
      </c>
      <c r="P444" s="25">
        <v>0</v>
      </c>
      <c r="Q444" s="25">
        <v>0</v>
      </c>
      <c r="R444" s="25">
        <v>0</v>
      </c>
      <c r="S444" s="25">
        <v>0</v>
      </c>
      <c r="T444" s="25">
        <v>0</v>
      </c>
      <c r="U444" s="25">
        <v>0</v>
      </c>
      <c r="V444" s="25">
        <v>2</v>
      </c>
      <c r="W444" s="25">
        <v>0</v>
      </c>
      <c r="X444" s="25">
        <v>0</v>
      </c>
      <c r="Y444" s="25">
        <v>0</v>
      </c>
      <c r="Z444" s="25">
        <v>0</v>
      </c>
      <c r="AA444" s="25">
        <v>0</v>
      </c>
      <c r="AB444" s="25">
        <v>0</v>
      </c>
      <c r="AC444" s="25">
        <v>0</v>
      </c>
      <c r="AD444" s="25">
        <v>0</v>
      </c>
      <c r="AE444" s="25">
        <v>0</v>
      </c>
      <c r="AF444" s="25">
        <v>0</v>
      </c>
      <c r="AG444" s="25">
        <v>0.529296875</v>
      </c>
      <c r="AH444" s="25">
        <v>0.54888888899999999</v>
      </c>
      <c r="AI444" s="25" t="s">
        <v>1306</v>
      </c>
      <c r="AJ444" s="14" t="s">
        <v>33</v>
      </c>
    </row>
    <row r="445" spans="1:36" x14ac:dyDescent="0.25">
      <c r="A445" s="1">
        <v>429</v>
      </c>
      <c r="B445" s="25" t="s">
        <v>1262</v>
      </c>
      <c r="C445" s="25" t="s">
        <v>2085</v>
      </c>
      <c r="D445" s="25" t="s">
        <v>10</v>
      </c>
      <c r="E445" s="25" t="s">
        <v>78</v>
      </c>
      <c r="F445" s="25">
        <v>264.44675519999998</v>
      </c>
      <c r="G445" s="25">
        <v>41</v>
      </c>
      <c r="H445" s="25">
        <v>0</v>
      </c>
      <c r="I445" s="25">
        <v>3</v>
      </c>
      <c r="J445" s="25">
        <v>0</v>
      </c>
      <c r="K445" s="25">
        <v>3</v>
      </c>
      <c r="L445" s="25">
        <v>0</v>
      </c>
      <c r="M445" s="25">
        <v>1</v>
      </c>
      <c r="N445" s="25">
        <v>11</v>
      </c>
      <c r="O445" s="25">
        <v>1</v>
      </c>
      <c r="P445" s="25">
        <v>0</v>
      </c>
      <c r="Q445" s="25">
        <v>0</v>
      </c>
      <c r="R445" s="25">
        <v>0</v>
      </c>
      <c r="S445" s="25">
        <v>0</v>
      </c>
      <c r="T445" s="25">
        <v>0</v>
      </c>
      <c r="U445" s="25">
        <v>0</v>
      </c>
      <c r="V445" s="25">
        <v>0</v>
      </c>
      <c r="W445" s="25">
        <v>6</v>
      </c>
      <c r="X445" s="25">
        <v>0</v>
      </c>
      <c r="Y445" s="25">
        <v>0</v>
      </c>
      <c r="Z445" s="25">
        <v>0</v>
      </c>
      <c r="AA445" s="25">
        <v>0</v>
      </c>
      <c r="AB445" s="25">
        <v>1</v>
      </c>
      <c r="AC445" s="25">
        <v>0</v>
      </c>
      <c r="AD445" s="25">
        <v>0</v>
      </c>
      <c r="AE445" s="25">
        <v>0</v>
      </c>
      <c r="AF445" s="25">
        <v>0</v>
      </c>
      <c r="AG445" s="25">
        <v>0.58680142700000004</v>
      </c>
      <c r="AH445" s="25">
        <v>0.60884353700000005</v>
      </c>
      <c r="AI445" s="25" t="s">
        <v>1306</v>
      </c>
      <c r="AJ445" s="14" t="s">
        <v>33</v>
      </c>
    </row>
    <row r="446" spans="1:36" x14ac:dyDescent="0.25">
      <c r="A446" s="1">
        <v>430</v>
      </c>
      <c r="B446" s="25" t="s">
        <v>770</v>
      </c>
      <c r="C446" s="25" t="s">
        <v>1449</v>
      </c>
      <c r="D446" s="25" t="s">
        <v>10</v>
      </c>
      <c r="E446" s="25" t="s">
        <v>1723</v>
      </c>
      <c r="F446" s="25">
        <v>264.43599999999998</v>
      </c>
      <c r="G446" s="25">
        <v>41</v>
      </c>
      <c r="H446" s="25">
        <v>0</v>
      </c>
      <c r="I446" s="25">
        <v>3</v>
      </c>
      <c r="J446" s="25">
        <v>0</v>
      </c>
      <c r="K446" s="25">
        <v>3</v>
      </c>
      <c r="L446" s="25">
        <v>0</v>
      </c>
      <c r="M446" s="25">
        <v>1</v>
      </c>
      <c r="N446" s="25">
        <v>11</v>
      </c>
      <c r="O446" s="25">
        <v>1</v>
      </c>
      <c r="P446" s="25">
        <v>0</v>
      </c>
      <c r="Q446" s="25">
        <v>0</v>
      </c>
      <c r="R446" s="25">
        <v>0</v>
      </c>
      <c r="S446" s="25">
        <v>0</v>
      </c>
      <c r="T446" s="25">
        <v>0</v>
      </c>
      <c r="U446" s="25">
        <v>0</v>
      </c>
      <c r="V446" s="25">
        <v>0</v>
      </c>
      <c r="W446" s="25">
        <v>6</v>
      </c>
      <c r="X446" s="25">
        <v>0</v>
      </c>
      <c r="Y446" s="25">
        <v>0</v>
      </c>
      <c r="Z446" s="25">
        <v>0</v>
      </c>
      <c r="AA446" s="25">
        <v>0</v>
      </c>
      <c r="AB446" s="25">
        <v>1</v>
      </c>
      <c r="AC446" s="25">
        <v>0</v>
      </c>
      <c r="AD446" s="25">
        <v>0</v>
      </c>
      <c r="AE446" s="25">
        <v>0</v>
      </c>
      <c r="AF446" s="25">
        <v>0</v>
      </c>
      <c r="AG446" s="25">
        <v>0.56896551699999998</v>
      </c>
      <c r="AH446" s="25">
        <v>0.60430839000000003</v>
      </c>
      <c r="AI446" s="25" t="s">
        <v>1571</v>
      </c>
      <c r="AJ446" s="14" t="s">
        <v>33</v>
      </c>
    </row>
    <row r="447" spans="1:36" x14ac:dyDescent="0.25">
      <c r="A447" s="1">
        <v>431</v>
      </c>
      <c r="B447" s="25" t="s">
        <v>638</v>
      </c>
      <c r="C447" s="25" t="s">
        <v>396</v>
      </c>
      <c r="D447" s="25" t="s">
        <v>12</v>
      </c>
      <c r="E447" s="25" t="s">
        <v>54</v>
      </c>
      <c r="F447" s="25">
        <v>112.21</v>
      </c>
      <c r="G447" s="25">
        <v>41</v>
      </c>
      <c r="H447" s="25">
        <v>0</v>
      </c>
      <c r="I447" s="25">
        <v>1</v>
      </c>
      <c r="J447" s="25">
        <v>0</v>
      </c>
      <c r="K447" s="25">
        <v>1</v>
      </c>
      <c r="L447" s="25">
        <v>0</v>
      </c>
      <c r="M447" s="25">
        <v>1</v>
      </c>
      <c r="N447" s="25">
        <v>5</v>
      </c>
      <c r="O447" s="25">
        <v>0</v>
      </c>
      <c r="P447" s="25">
        <v>0</v>
      </c>
      <c r="Q447" s="25">
        <v>0</v>
      </c>
      <c r="R447" s="25">
        <v>0</v>
      </c>
      <c r="S447" s="25">
        <v>0</v>
      </c>
      <c r="T447" s="25">
        <v>0</v>
      </c>
      <c r="U447" s="25">
        <v>0</v>
      </c>
      <c r="V447" s="25">
        <v>0</v>
      </c>
      <c r="W447" s="25">
        <v>1</v>
      </c>
      <c r="X447" s="25">
        <v>0</v>
      </c>
      <c r="Y447" s="25">
        <v>1</v>
      </c>
      <c r="Z447" s="25">
        <v>0</v>
      </c>
      <c r="AA447" s="25">
        <v>0</v>
      </c>
      <c r="AB447" s="25">
        <v>0</v>
      </c>
      <c r="AC447" s="25">
        <v>0</v>
      </c>
      <c r="AD447" s="25">
        <v>0</v>
      </c>
      <c r="AE447" s="25">
        <v>0</v>
      </c>
      <c r="AF447" s="25">
        <v>0</v>
      </c>
      <c r="AG447" s="25">
        <v>0.3984375</v>
      </c>
      <c r="AH447" s="25">
        <v>0.4140625</v>
      </c>
      <c r="AI447" s="25" t="s">
        <v>1093</v>
      </c>
      <c r="AJ447" s="14" t="s">
        <v>33</v>
      </c>
    </row>
    <row r="448" spans="1:36" x14ac:dyDescent="0.25">
      <c r="A448" s="1">
        <v>433</v>
      </c>
      <c r="B448" s="14" t="s">
        <v>657</v>
      </c>
      <c r="C448" s="14" t="s">
        <v>484</v>
      </c>
      <c r="D448" s="14" t="s">
        <v>13</v>
      </c>
      <c r="E448" s="29" t="s">
        <v>210</v>
      </c>
      <c r="F448" s="14">
        <v>260.45999999999998</v>
      </c>
      <c r="G448" s="14">
        <v>41</v>
      </c>
      <c r="H448" s="14">
        <v>6</v>
      </c>
      <c r="I448" s="14">
        <v>0</v>
      </c>
      <c r="J448" s="14">
        <v>6</v>
      </c>
      <c r="K448" s="14">
        <v>3</v>
      </c>
      <c r="L448" s="14">
        <v>0</v>
      </c>
      <c r="M448" s="14">
        <v>2</v>
      </c>
      <c r="N448" s="14">
        <v>10</v>
      </c>
      <c r="O448" s="14">
        <v>0</v>
      </c>
      <c r="P448" s="14">
        <v>0</v>
      </c>
      <c r="Q448" s="14">
        <v>0</v>
      </c>
      <c r="R448" s="14">
        <v>0</v>
      </c>
      <c r="S448" s="14">
        <v>0</v>
      </c>
      <c r="T448" s="14">
        <v>0</v>
      </c>
      <c r="U448" s="14">
        <v>0</v>
      </c>
      <c r="V448" s="14">
        <v>1</v>
      </c>
      <c r="W448" s="14">
        <v>0</v>
      </c>
      <c r="X448" s="14">
        <v>5</v>
      </c>
      <c r="Y448" s="14">
        <v>0</v>
      </c>
      <c r="Z448" s="14">
        <v>0</v>
      </c>
      <c r="AA448" s="14">
        <v>0</v>
      </c>
      <c r="AB448" s="14">
        <v>0</v>
      </c>
      <c r="AC448" s="14">
        <v>0</v>
      </c>
      <c r="AD448" s="25">
        <v>0</v>
      </c>
      <c r="AE448" s="25">
        <v>0</v>
      </c>
      <c r="AF448" s="25">
        <v>0</v>
      </c>
      <c r="AG448" s="25">
        <v>0.53037036999999998</v>
      </c>
      <c r="AH448" s="25">
        <v>0.56818181800000001</v>
      </c>
      <c r="AI448" s="14" t="s">
        <v>1179</v>
      </c>
      <c r="AJ448" s="14" t="s">
        <v>33</v>
      </c>
    </row>
    <row r="449" spans="1:36" x14ac:dyDescent="0.25">
      <c r="A449" s="1">
        <v>434</v>
      </c>
      <c r="B449" s="14" t="s">
        <v>1896</v>
      </c>
      <c r="C449" s="14" t="s">
        <v>1536</v>
      </c>
      <c r="D449" s="14" t="s">
        <v>18</v>
      </c>
      <c r="E449" s="29" t="s">
        <v>189</v>
      </c>
      <c r="F449" s="14">
        <v>118.172</v>
      </c>
      <c r="G449" s="14">
        <v>41</v>
      </c>
      <c r="H449" s="14">
        <v>0</v>
      </c>
      <c r="I449" s="14">
        <v>0</v>
      </c>
      <c r="J449" s="14">
        <v>0</v>
      </c>
      <c r="K449" s="14">
        <v>0</v>
      </c>
      <c r="L449" s="14">
        <v>0</v>
      </c>
      <c r="M449" s="14">
        <v>1</v>
      </c>
      <c r="N449" s="14">
        <v>5</v>
      </c>
      <c r="O449" s="14">
        <v>1</v>
      </c>
      <c r="P449" s="14">
        <v>1</v>
      </c>
      <c r="Q449" s="14">
        <v>0</v>
      </c>
      <c r="R449" s="14">
        <v>0</v>
      </c>
      <c r="S449" s="14">
        <v>0</v>
      </c>
      <c r="T449" s="14">
        <v>0</v>
      </c>
      <c r="U449" s="14">
        <v>0</v>
      </c>
      <c r="V449" s="14">
        <v>0</v>
      </c>
      <c r="W449" s="14">
        <v>0</v>
      </c>
      <c r="X449" s="14">
        <v>0</v>
      </c>
      <c r="Y449" s="14">
        <v>0</v>
      </c>
      <c r="Z449" s="14">
        <v>0</v>
      </c>
      <c r="AA449" s="14">
        <v>0</v>
      </c>
      <c r="AB449" s="14">
        <v>1</v>
      </c>
      <c r="AC449" s="14">
        <v>0</v>
      </c>
      <c r="AD449" s="25">
        <v>0</v>
      </c>
      <c r="AE449" s="25">
        <v>0</v>
      </c>
      <c r="AF449" s="25">
        <v>0</v>
      </c>
      <c r="AG449" s="25">
        <v>0.375</v>
      </c>
      <c r="AH449" s="25">
        <v>0.35714285699999998</v>
      </c>
      <c r="AI449" s="14" t="s">
        <v>1571</v>
      </c>
      <c r="AJ449" s="14" t="s">
        <v>33</v>
      </c>
    </row>
    <row r="450" spans="1:36" x14ac:dyDescent="0.25">
      <c r="A450" s="1">
        <v>436</v>
      </c>
      <c r="B450" s="14" t="s">
        <v>627</v>
      </c>
      <c r="C450" s="14" t="s">
        <v>414</v>
      </c>
      <c r="D450" s="14" t="s">
        <v>11</v>
      </c>
      <c r="E450" s="29" t="s">
        <v>88</v>
      </c>
      <c r="F450" s="14">
        <v>72.11</v>
      </c>
      <c r="G450" s="14">
        <v>41.1</v>
      </c>
      <c r="H450" s="14">
        <v>0</v>
      </c>
      <c r="I450" s="14">
        <v>0</v>
      </c>
      <c r="J450" s="14">
        <v>0</v>
      </c>
      <c r="K450" s="14">
        <v>0</v>
      </c>
      <c r="L450" s="14">
        <v>0</v>
      </c>
      <c r="M450" s="14">
        <v>1</v>
      </c>
      <c r="N450" s="14">
        <v>2</v>
      </c>
      <c r="O450" s="14">
        <v>0</v>
      </c>
      <c r="P450" s="14">
        <v>0</v>
      </c>
      <c r="Q450" s="14">
        <v>0</v>
      </c>
      <c r="R450" s="14">
        <v>0</v>
      </c>
      <c r="S450" s="14">
        <v>0</v>
      </c>
      <c r="T450" s="14">
        <v>1</v>
      </c>
      <c r="U450" s="14">
        <v>0</v>
      </c>
      <c r="V450" s="14">
        <v>0</v>
      </c>
      <c r="W450" s="14">
        <v>0</v>
      </c>
      <c r="X450" s="14">
        <v>0</v>
      </c>
      <c r="Y450" s="14">
        <v>0</v>
      </c>
      <c r="Z450" s="14">
        <v>0</v>
      </c>
      <c r="AA450" s="14">
        <v>0</v>
      </c>
      <c r="AB450" s="14">
        <v>0</v>
      </c>
      <c r="AC450" s="14">
        <v>0</v>
      </c>
      <c r="AD450" s="25">
        <v>0</v>
      </c>
      <c r="AE450" s="25">
        <v>0</v>
      </c>
      <c r="AF450" s="25">
        <v>0</v>
      </c>
      <c r="AG450" s="25">
        <v>0.3</v>
      </c>
      <c r="AH450" s="25">
        <v>0.3</v>
      </c>
      <c r="AI450" s="14" t="s">
        <v>1111</v>
      </c>
      <c r="AJ450" s="14" t="s">
        <v>33</v>
      </c>
    </row>
    <row r="451" spans="1:36" x14ac:dyDescent="0.25">
      <c r="A451" s="1">
        <v>437</v>
      </c>
      <c r="B451" s="14" t="s">
        <v>1625</v>
      </c>
      <c r="C451" s="14" t="s">
        <v>1393</v>
      </c>
      <c r="D451" s="14" t="s">
        <v>16</v>
      </c>
      <c r="E451" s="29" t="s">
        <v>105</v>
      </c>
      <c r="F451" s="14">
        <v>126.23399999999999</v>
      </c>
      <c r="G451" s="14">
        <v>41.1</v>
      </c>
      <c r="H451" s="14">
        <v>0</v>
      </c>
      <c r="I451" s="14">
        <v>0</v>
      </c>
      <c r="J451" s="14">
        <v>0</v>
      </c>
      <c r="K451" s="14">
        <v>0</v>
      </c>
      <c r="L451" s="14">
        <v>0</v>
      </c>
      <c r="M451" s="14">
        <v>2</v>
      </c>
      <c r="N451" s="14">
        <v>0</v>
      </c>
      <c r="O451" s="14">
        <v>0</v>
      </c>
      <c r="P451" s="14">
        <v>0</v>
      </c>
      <c r="Q451" s="14">
        <v>0</v>
      </c>
      <c r="R451" s="14">
        <v>0</v>
      </c>
      <c r="S451" s="14">
        <v>0</v>
      </c>
      <c r="T451" s="14">
        <v>0</v>
      </c>
      <c r="U451" s="14">
        <v>0</v>
      </c>
      <c r="V451" s="14">
        <v>1</v>
      </c>
      <c r="W451" s="14">
        <v>0</v>
      </c>
      <c r="X451" s="14">
        <v>0</v>
      </c>
      <c r="Y451" s="14">
        <v>0</v>
      </c>
      <c r="Z451" s="14">
        <v>1</v>
      </c>
      <c r="AA451" s="14">
        <v>5</v>
      </c>
      <c r="AB451" s="14">
        <v>0</v>
      </c>
      <c r="AC451" s="14">
        <v>0</v>
      </c>
      <c r="AD451" s="25">
        <v>0</v>
      </c>
      <c r="AE451" s="25">
        <v>0</v>
      </c>
      <c r="AF451" s="25">
        <v>0</v>
      </c>
      <c r="AG451" s="25">
        <v>0.43672839499999999</v>
      </c>
      <c r="AH451" s="25">
        <v>0.32716049400000002</v>
      </c>
      <c r="AI451" s="14" t="s">
        <v>1571</v>
      </c>
      <c r="AJ451" s="14" t="s">
        <v>33</v>
      </c>
    </row>
    <row r="452" spans="1:36" x14ac:dyDescent="0.25">
      <c r="A452" s="1">
        <v>438</v>
      </c>
      <c r="B452" s="25" t="s">
        <v>1816</v>
      </c>
      <c r="C452" s="25" t="s">
        <v>1492</v>
      </c>
      <c r="D452" s="25" t="s">
        <v>1931</v>
      </c>
      <c r="E452" s="25" t="s">
        <v>203</v>
      </c>
      <c r="F452" s="25">
        <v>294.46199999999999</v>
      </c>
      <c r="G452" s="25">
        <v>41.7</v>
      </c>
      <c r="H452" s="25">
        <v>0</v>
      </c>
      <c r="I452" s="25">
        <v>2</v>
      </c>
      <c r="J452" s="25">
        <v>0</v>
      </c>
      <c r="K452" s="25">
        <v>2</v>
      </c>
      <c r="L452" s="25">
        <v>0</v>
      </c>
      <c r="M452" s="25">
        <v>2</v>
      </c>
      <c r="N452" s="25">
        <v>12</v>
      </c>
      <c r="O452" s="25">
        <v>0</v>
      </c>
      <c r="P452" s="25">
        <v>0</v>
      </c>
      <c r="Q452" s="25">
        <v>0</v>
      </c>
      <c r="R452" s="25">
        <v>0</v>
      </c>
      <c r="S452" s="25">
        <v>0</v>
      </c>
      <c r="T452" s="25">
        <v>0</v>
      </c>
      <c r="U452" s="25">
        <v>1</v>
      </c>
      <c r="V452" s="25">
        <v>0</v>
      </c>
      <c r="W452" s="25">
        <v>4</v>
      </c>
      <c r="X452" s="25">
        <v>0</v>
      </c>
      <c r="Y452" s="25">
        <v>0</v>
      </c>
      <c r="Z452" s="25">
        <v>0</v>
      </c>
      <c r="AA452" s="25">
        <v>0</v>
      </c>
      <c r="AB452" s="25">
        <v>0</v>
      </c>
      <c r="AC452" s="25">
        <v>0</v>
      </c>
      <c r="AD452" s="25">
        <v>0</v>
      </c>
      <c r="AE452" s="25">
        <v>0</v>
      </c>
      <c r="AF452" s="25">
        <v>0</v>
      </c>
      <c r="AG452" s="25">
        <v>0.617202268</v>
      </c>
      <c r="AH452" s="25">
        <v>0.61153119099999997</v>
      </c>
      <c r="AI452" s="25" t="s">
        <v>1571</v>
      </c>
      <c r="AJ452" s="14" t="s">
        <v>33</v>
      </c>
    </row>
    <row r="453" spans="1:36" x14ac:dyDescent="0.25">
      <c r="A453" s="1">
        <v>439</v>
      </c>
      <c r="B453" s="14" t="s">
        <v>571</v>
      </c>
      <c r="C453" s="14" t="s">
        <v>303</v>
      </c>
      <c r="D453" s="14" t="s">
        <v>13</v>
      </c>
      <c r="E453" s="29" t="s">
        <v>109</v>
      </c>
      <c r="F453" s="14">
        <v>246.43</v>
      </c>
      <c r="G453" s="14">
        <v>42</v>
      </c>
      <c r="H453" s="14">
        <v>6</v>
      </c>
      <c r="I453" s="14">
        <v>0</v>
      </c>
      <c r="J453" s="14">
        <v>6</v>
      </c>
      <c r="K453" s="14">
        <v>3</v>
      </c>
      <c r="L453" s="14">
        <v>0</v>
      </c>
      <c r="M453" s="14">
        <v>2</v>
      </c>
      <c r="N453" s="14">
        <v>9</v>
      </c>
      <c r="O453" s="14">
        <v>0</v>
      </c>
      <c r="P453" s="14">
        <v>0</v>
      </c>
      <c r="Q453" s="14">
        <v>0</v>
      </c>
      <c r="R453" s="14">
        <v>0</v>
      </c>
      <c r="S453" s="14">
        <v>0</v>
      </c>
      <c r="T453" s="14">
        <v>0</v>
      </c>
      <c r="U453" s="14">
        <v>0</v>
      </c>
      <c r="V453" s="14">
        <v>1</v>
      </c>
      <c r="W453" s="14">
        <v>0</v>
      </c>
      <c r="X453" s="14">
        <v>5</v>
      </c>
      <c r="Y453" s="14">
        <v>0</v>
      </c>
      <c r="Z453" s="14">
        <v>0</v>
      </c>
      <c r="AA453" s="14">
        <v>0</v>
      </c>
      <c r="AB453" s="14">
        <v>0</v>
      </c>
      <c r="AC453" s="14">
        <v>0</v>
      </c>
      <c r="AD453" s="25">
        <v>0</v>
      </c>
      <c r="AE453" s="25">
        <v>0</v>
      </c>
      <c r="AF453" s="25">
        <v>0</v>
      </c>
      <c r="AG453" s="25">
        <v>0.499729584</v>
      </c>
      <c r="AH453" s="25">
        <v>0.54988662099999996</v>
      </c>
      <c r="AI453" s="14" t="s">
        <v>994</v>
      </c>
      <c r="AJ453" s="14" t="s">
        <v>33</v>
      </c>
    </row>
    <row r="454" spans="1:36" x14ac:dyDescent="0.25">
      <c r="A454" s="1">
        <v>440</v>
      </c>
      <c r="B454" s="25" t="s">
        <v>868</v>
      </c>
      <c r="C454" s="25" t="s">
        <v>355</v>
      </c>
      <c r="D454" s="25" t="s">
        <v>13</v>
      </c>
      <c r="E454" s="25" t="s">
        <v>146</v>
      </c>
      <c r="F454" s="25">
        <v>344.62</v>
      </c>
      <c r="G454" s="25">
        <v>42</v>
      </c>
      <c r="H454" s="25">
        <v>6</v>
      </c>
      <c r="I454" s="25">
        <v>0</v>
      </c>
      <c r="J454" s="25">
        <v>6</v>
      </c>
      <c r="K454" s="25">
        <v>3</v>
      </c>
      <c r="L454" s="25">
        <v>0</v>
      </c>
      <c r="M454" s="25">
        <v>4</v>
      </c>
      <c r="N454" s="25">
        <v>15</v>
      </c>
      <c r="O454" s="25">
        <v>0</v>
      </c>
      <c r="P454" s="25">
        <v>0</v>
      </c>
      <c r="Q454" s="25">
        <v>0</v>
      </c>
      <c r="R454" s="25">
        <v>0</v>
      </c>
      <c r="S454" s="25">
        <v>0</v>
      </c>
      <c r="T454" s="25">
        <v>0</v>
      </c>
      <c r="U454" s="25">
        <v>0</v>
      </c>
      <c r="V454" s="25">
        <v>0</v>
      </c>
      <c r="W454" s="25">
        <v>0</v>
      </c>
      <c r="X454" s="25">
        <v>2</v>
      </c>
      <c r="Y454" s="25">
        <v>0</v>
      </c>
      <c r="Z454" s="25">
        <v>0</v>
      </c>
      <c r="AA454" s="25">
        <v>0</v>
      </c>
      <c r="AB454" s="25">
        <v>0</v>
      </c>
      <c r="AC454" s="25">
        <v>0</v>
      </c>
      <c r="AD454" s="25">
        <v>0</v>
      </c>
      <c r="AE454" s="25">
        <v>0</v>
      </c>
      <c r="AF454" s="25">
        <v>0</v>
      </c>
      <c r="AG454" s="25">
        <v>0.56650387800000002</v>
      </c>
      <c r="AH454" s="25">
        <v>0.58992346900000003</v>
      </c>
      <c r="AI454" s="25" t="s">
        <v>1048</v>
      </c>
      <c r="AJ454" s="14" t="s">
        <v>33</v>
      </c>
    </row>
    <row r="455" spans="1:36" x14ac:dyDescent="0.25">
      <c r="A455" s="1">
        <v>443</v>
      </c>
      <c r="B455" s="14" t="s">
        <v>893</v>
      </c>
      <c r="C455" s="14" t="s">
        <v>383</v>
      </c>
      <c r="D455" s="14" t="s">
        <v>16</v>
      </c>
      <c r="E455" s="29" t="s">
        <v>146</v>
      </c>
      <c r="F455" s="14">
        <v>344.62</v>
      </c>
      <c r="G455" s="14">
        <v>42</v>
      </c>
      <c r="H455" s="14">
        <v>0</v>
      </c>
      <c r="I455" s="14">
        <v>0</v>
      </c>
      <c r="J455" s="14">
        <v>0</v>
      </c>
      <c r="K455" s="14">
        <v>0</v>
      </c>
      <c r="L455" s="14">
        <v>0</v>
      </c>
      <c r="M455" s="14">
        <v>4</v>
      </c>
      <c r="N455" s="14">
        <v>15</v>
      </c>
      <c r="O455" s="14">
        <v>0</v>
      </c>
      <c r="P455" s="14">
        <v>0</v>
      </c>
      <c r="Q455" s="14">
        <v>0</v>
      </c>
      <c r="R455" s="14">
        <v>0</v>
      </c>
      <c r="S455" s="14">
        <v>0</v>
      </c>
      <c r="T455" s="14">
        <v>0</v>
      </c>
      <c r="U455" s="14">
        <v>0</v>
      </c>
      <c r="V455" s="14">
        <v>0</v>
      </c>
      <c r="W455" s="14">
        <v>0</v>
      </c>
      <c r="X455" s="14">
        <v>0</v>
      </c>
      <c r="Y455" s="14">
        <v>0</v>
      </c>
      <c r="Z455" s="14">
        <v>4</v>
      </c>
      <c r="AA455" s="14">
        <v>2</v>
      </c>
      <c r="AB455" s="14">
        <v>0</v>
      </c>
      <c r="AC455" s="14">
        <v>0</v>
      </c>
      <c r="AD455" s="25">
        <v>0</v>
      </c>
      <c r="AE455" s="25">
        <v>0</v>
      </c>
      <c r="AF455" s="25">
        <v>0</v>
      </c>
      <c r="AG455" s="25">
        <v>0.58505917200000002</v>
      </c>
      <c r="AH455" s="25">
        <v>0.59919999999999995</v>
      </c>
      <c r="AI455" s="14" t="s">
        <v>2086</v>
      </c>
      <c r="AJ455" s="14" t="s">
        <v>33</v>
      </c>
    </row>
    <row r="456" spans="1:36" x14ac:dyDescent="0.25">
      <c r="A456" s="1">
        <v>444</v>
      </c>
      <c r="B456" s="25" t="s">
        <v>1578</v>
      </c>
      <c r="C456" s="25" t="s">
        <v>1374</v>
      </c>
      <c r="D456" s="25" t="s">
        <v>19</v>
      </c>
      <c r="E456" s="25" t="s">
        <v>1579</v>
      </c>
      <c r="F456" s="25">
        <v>100.19799999999999</v>
      </c>
      <c r="G456" s="25">
        <v>42</v>
      </c>
      <c r="H456" s="25">
        <v>0</v>
      </c>
      <c r="I456" s="25">
        <v>0</v>
      </c>
      <c r="J456" s="25">
        <v>0</v>
      </c>
      <c r="K456" s="25">
        <v>0</v>
      </c>
      <c r="L456" s="25">
        <v>0</v>
      </c>
      <c r="M456" s="25">
        <v>3</v>
      </c>
      <c r="N456" s="25">
        <v>3</v>
      </c>
      <c r="O456" s="25">
        <v>0</v>
      </c>
      <c r="P456" s="25">
        <v>0</v>
      </c>
      <c r="Q456" s="25">
        <v>0</v>
      </c>
      <c r="R456" s="25">
        <v>0</v>
      </c>
      <c r="S456" s="25">
        <v>0</v>
      </c>
      <c r="T456" s="25">
        <v>0</v>
      </c>
      <c r="U456" s="25">
        <v>0</v>
      </c>
      <c r="V456" s="25">
        <v>1</v>
      </c>
      <c r="W456" s="25">
        <v>0</v>
      </c>
      <c r="X456" s="25">
        <v>0</v>
      </c>
      <c r="Y456" s="25">
        <v>0</v>
      </c>
      <c r="Z456" s="25">
        <v>0</v>
      </c>
      <c r="AA456" s="25">
        <v>0</v>
      </c>
      <c r="AB456" s="25">
        <v>0</v>
      </c>
      <c r="AC456" s="25">
        <v>0</v>
      </c>
      <c r="AD456" s="25">
        <v>0</v>
      </c>
      <c r="AE456" s="25">
        <v>0</v>
      </c>
      <c r="AF456" s="25">
        <v>0</v>
      </c>
      <c r="AG456" s="25">
        <v>0.31944444399999999</v>
      </c>
      <c r="AH456" s="25">
        <v>0.31944444399999999</v>
      </c>
      <c r="AI456" s="25" t="s">
        <v>1571</v>
      </c>
      <c r="AJ456" s="14" t="s">
        <v>33</v>
      </c>
    </row>
    <row r="457" spans="1:36" x14ac:dyDescent="0.25">
      <c r="A457" s="1">
        <v>445</v>
      </c>
      <c r="B457" s="14" t="s">
        <v>1299</v>
      </c>
      <c r="C457" s="14" t="s">
        <v>2087</v>
      </c>
      <c r="D457" s="14" t="s">
        <v>17</v>
      </c>
      <c r="E457" s="29" t="s">
        <v>203</v>
      </c>
      <c r="F457" s="14">
        <v>294.47277750000001</v>
      </c>
      <c r="G457" s="14">
        <v>42.2</v>
      </c>
      <c r="H457" s="14">
        <v>0</v>
      </c>
      <c r="I457" s="14">
        <v>2</v>
      </c>
      <c r="J457" s="14">
        <v>0</v>
      </c>
      <c r="K457" s="14">
        <v>2</v>
      </c>
      <c r="L457" s="14">
        <v>0</v>
      </c>
      <c r="M457" s="14">
        <v>2</v>
      </c>
      <c r="N457" s="14">
        <v>12</v>
      </c>
      <c r="O457" s="14">
        <v>0</v>
      </c>
      <c r="P457" s="14">
        <v>0</v>
      </c>
      <c r="Q457" s="14">
        <v>0</v>
      </c>
      <c r="R457" s="14">
        <v>0</v>
      </c>
      <c r="S457" s="14">
        <v>0</v>
      </c>
      <c r="T457" s="14">
        <v>0</v>
      </c>
      <c r="U457" s="14">
        <v>1</v>
      </c>
      <c r="V457" s="14">
        <v>0</v>
      </c>
      <c r="W457" s="14">
        <v>4</v>
      </c>
      <c r="X457" s="14">
        <v>0</v>
      </c>
      <c r="Y457" s="14">
        <v>0</v>
      </c>
      <c r="Z457" s="14">
        <v>0</v>
      </c>
      <c r="AA457" s="14">
        <v>0</v>
      </c>
      <c r="AB457" s="14">
        <v>0</v>
      </c>
      <c r="AC457" s="14">
        <v>0</v>
      </c>
      <c r="AD457" s="25">
        <v>0</v>
      </c>
      <c r="AE457" s="25">
        <v>0</v>
      </c>
      <c r="AF457" s="25">
        <v>0</v>
      </c>
      <c r="AG457" s="25">
        <v>0.60613943800000003</v>
      </c>
      <c r="AH457" s="25">
        <v>0.61153119099999997</v>
      </c>
      <c r="AI457" s="14" t="s">
        <v>1306</v>
      </c>
      <c r="AJ457" s="14" t="s">
        <v>33</v>
      </c>
    </row>
    <row r="458" spans="1:36" x14ac:dyDescent="0.25">
      <c r="A458" s="1">
        <v>448</v>
      </c>
      <c r="B458" s="25" t="s">
        <v>1303</v>
      </c>
      <c r="C458" s="25" t="s">
        <v>2088</v>
      </c>
      <c r="D458" s="25" t="s">
        <v>17</v>
      </c>
      <c r="E458" s="25" t="s">
        <v>217</v>
      </c>
      <c r="F458" s="25">
        <v>322.52601229999999</v>
      </c>
      <c r="G458" s="25">
        <v>42.3</v>
      </c>
      <c r="H458" s="25">
        <v>0</v>
      </c>
      <c r="I458" s="25">
        <v>2</v>
      </c>
      <c r="J458" s="25">
        <v>0</v>
      </c>
      <c r="K458" s="25">
        <v>2</v>
      </c>
      <c r="L458" s="25">
        <v>0</v>
      </c>
      <c r="M458" s="25">
        <v>2</v>
      </c>
      <c r="N458" s="25">
        <v>14</v>
      </c>
      <c r="O458" s="25">
        <v>0</v>
      </c>
      <c r="P458" s="25">
        <v>0</v>
      </c>
      <c r="Q458" s="25">
        <v>0</v>
      </c>
      <c r="R458" s="25">
        <v>0</v>
      </c>
      <c r="S458" s="25">
        <v>0</v>
      </c>
      <c r="T458" s="25">
        <v>0</v>
      </c>
      <c r="U458" s="25">
        <v>1</v>
      </c>
      <c r="V458" s="25">
        <v>0</v>
      </c>
      <c r="W458" s="25">
        <v>4</v>
      </c>
      <c r="X458" s="25">
        <v>0</v>
      </c>
      <c r="Y458" s="25">
        <v>0</v>
      </c>
      <c r="Z458" s="25">
        <v>0</v>
      </c>
      <c r="AA458" s="25">
        <v>0</v>
      </c>
      <c r="AB458" s="25">
        <v>0</v>
      </c>
      <c r="AC458" s="25">
        <v>0</v>
      </c>
      <c r="AD458" s="25">
        <v>0</v>
      </c>
      <c r="AE458" s="25">
        <v>0</v>
      </c>
      <c r="AF458" s="25">
        <v>0</v>
      </c>
      <c r="AG458" s="25">
        <v>0.61755101999999995</v>
      </c>
      <c r="AH458" s="25">
        <v>0.63439999999999996</v>
      </c>
      <c r="AI458" s="25" t="s">
        <v>1306</v>
      </c>
      <c r="AJ458" s="14" t="s">
        <v>33</v>
      </c>
    </row>
    <row r="459" spans="1:36" x14ac:dyDescent="0.25">
      <c r="A459" s="1">
        <v>449</v>
      </c>
      <c r="B459" s="25" t="s">
        <v>859</v>
      </c>
      <c r="C459" s="25" t="s">
        <v>509</v>
      </c>
      <c r="D459" s="25" t="s">
        <v>21</v>
      </c>
      <c r="E459" s="25" t="s">
        <v>217</v>
      </c>
      <c r="F459" s="25">
        <v>322.52</v>
      </c>
      <c r="G459" s="25">
        <v>42.3</v>
      </c>
      <c r="H459" s="25">
        <v>0</v>
      </c>
      <c r="I459" s="25">
        <v>2</v>
      </c>
      <c r="J459" s="25">
        <v>0</v>
      </c>
      <c r="K459" s="25">
        <v>2</v>
      </c>
      <c r="L459" s="25">
        <v>0</v>
      </c>
      <c r="M459" s="25">
        <v>2</v>
      </c>
      <c r="N459" s="25">
        <v>14</v>
      </c>
      <c r="O459" s="25">
        <v>0</v>
      </c>
      <c r="P459" s="25">
        <v>0</v>
      </c>
      <c r="Q459" s="25">
        <v>0</v>
      </c>
      <c r="R459" s="25">
        <v>0</v>
      </c>
      <c r="S459" s="25">
        <v>0</v>
      </c>
      <c r="T459" s="25">
        <v>0</v>
      </c>
      <c r="U459" s="25">
        <v>1</v>
      </c>
      <c r="V459" s="25">
        <v>0</v>
      </c>
      <c r="W459" s="25">
        <v>4</v>
      </c>
      <c r="X459" s="25">
        <v>0</v>
      </c>
      <c r="Y459" s="25">
        <v>0</v>
      </c>
      <c r="Z459" s="25">
        <v>0</v>
      </c>
      <c r="AA459" s="25">
        <v>0</v>
      </c>
      <c r="AB459" s="25">
        <v>0</v>
      </c>
      <c r="AC459" s="25">
        <v>0</v>
      </c>
      <c r="AD459" s="25">
        <v>0</v>
      </c>
      <c r="AE459" s="25">
        <v>0</v>
      </c>
      <c r="AF459" s="25">
        <v>0</v>
      </c>
      <c r="AG459" s="25">
        <v>0.61755101999999995</v>
      </c>
      <c r="AH459" s="25">
        <v>0.63439999999999996</v>
      </c>
      <c r="AI459" s="25" t="s">
        <v>1204</v>
      </c>
      <c r="AJ459" s="14" t="s">
        <v>33</v>
      </c>
    </row>
    <row r="460" spans="1:36" x14ac:dyDescent="0.25">
      <c r="A460" s="1">
        <v>450</v>
      </c>
      <c r="B460" s="14" t="s">
        <v>1589</v>
      </c>
      <c r="C460" s="14" t="s">
        <v>1380</v>
      </c>
      <c r="D460" s="14" t="s">
        <v>19</v>
      </c>
      <c r="E460" s="29" t="s">
        <v>90</v>
      </c>
      <c r="F460" s="14">
        <v>114.224</v>
      </c>
      <c r="G460" s="14">
        <v>42.4</v>
      </c>
      <c r="H460" s="14">
        <v>0</v>
      </c>
      <c r="I460" s="14">
        <v>0</v>
      </c>
      <c r="J460" s="14">
        <v>0</v>
      </c>
      <c r="K460" s="14">
        <v>0</v>
      </c>
      <c r="L460" s="14">
        <v>0</v>
      </c>
      <c r="M460" s="14">
        <v>4</v>
      </c>
      <c r="N460" s="14">
        <v>2</v>
      </c>
      <c r="O460" s="14">
        <v>0</v>
      </c>
      <c r="P460" s="14">
        <v>0</v>
      </c>
      <c r="Q460" s="14">
        <v>0</v>
      </c>
      <c r="R460" s="14">
        <v>0</v>
      </c>
      <c r="S460" s="14">
        <v>0</v>
      </c>
      <c r="T460" s="14">
        <v>0</v>
      </c>
      <c r="U460" s="14">
        <v>0</v>
      </c>
      <c r="V460" s="14">
        <v>2</v>
      </c>
      <c r="W460" s="14">
        <v>0</v>
      </c>
      <c r="X460" s="14">
        <v>0</v>
      </c>
      <c r="Y460" s="14">
        <v>0</v>
      </c>
      <c r="Z460" s="14">
        <v>0</v>
      </c>
      <c r="AA460" s="14">
        <v>0</v>
      </c>
      <c r="AB460" s="14">
        <v>0</v>
      </c>
      <c r="AC460" s="14">
        <v>0</v>
      </c>
      <c r="AD460" s="25">
        <v>0</v>
      </c>
      <c r="AE460" s="25">
        <v>0</v>
      </c>
      <c r="AF460" s="25">
        <v>0</v>
      </c>
      <c r="AG460" s="25">
        <v>0.3671875</v>
      </c>
      <c r="AH460" s="25">
        <v>0.37755102000000001</v>
      </c>
      <c r="AI460" s="14" t="s">
        <v>1571</v>
      </c>
      <c r="AJ460" s="14" t="s">
        <v>33</v>
      </c>
    </row>
    <row r="461" spans="1:36" x14ac:dyDescent="0.25">
      <c r="A461" s="1">
        <v>452</v>
      </c>
      <c r="B461" s="25" t="s">
        <v>569</v>
      </c>
      <c r="C461" s="25" t="s">
        <v>241</v>
      </c>
      <c r="D461" s="25" t="s">
        <v>12</v>
      </c>
      <c r="E461" s="25" t="s">
        <v>49</v>
      </c>
      <c r="F461" s="25">
        <v>252.48</v>
      </c>
      <c r="G461" s="25">
        <v>43</v>
      </c>
      <c r="H461" s="25">
        <v>0</v>
      </c>
      <c r="I461" s="25">
        <v>1</v>
      </c>
      <c r="J461" s="25">
        <v>0</v>
      </c>
      <c r="K461" s="25">
        <v>1</v>
      </c>
      <c r="L461" s="25">
        <v>0</v>
      </c>
      <c r="M461" s="25">
        <v>4</v>
      </c>
      <c r="N461" s="25">
        <v>10</v>
      </c>
      <c r="O461" s="25">
        <v>0</v>
      </c>
      <c r="P461" s="25">
        <v>0</v>
      </c>
      <c r="Q461" s="25">
        <v>0</v>
      </c>
      <c r="R461" s="25">
        <v>0</v>
      </c>
      <c r="S461" s="25">
        <v>0</v>
      </c>
      <c r="T461" s="25">
        <v>0</v>
      </c>
      <c r="U461" s="25">
        <v>0</v>
      </c>
      <c r="V461" s="25">
        <v>2</v>
      </c>
      <c r="W461" s="25">
        <v>2</v>
      </c>
      <c r="X461" s="25">
        <v>0</v>
      </c>
      <c r="Y461" s="25">
        <v>0</v>
      </c>
      <c r="Z461" s="25">
        <v>0</v>
      </c>
      <c r="AA461" s="25">
        <v>0</v>
      </c>
      <c r="AB461" s="25">
        <v>0</v>
      </c>
      <c r="AC461" s="25">
        <v>0</v>
      </c>
      <c r="AD461" s="25">
        <v>0</v>
      </c>
      <c r="AE461" s="25">
        <v>0</v>
      </c>
      <c r="AF461" s="25">
        <v>0</v>
      </c>
      <c r="AG461" s="25">
        <v>0.55540166199999996</v>
      </c>
      <c r="AH461" s="25">
        <v>0.57561728400000001</v>
      </c>
      <c r="AI461" s="25" t="s">
        <v>924</v>
      </c>
      <c r="AJ461" s="14" t="s">
        <v>33</v>
      </c>
    </row>
    <row r="462" spans="1:36" x14ac:dyDescent="0.25">
      <c r="A462" s="1">
        <v>453</v>
      </c>
      <c r="B462" s="25" t="s">
        <v>628</v>
      </c>
      <c r="C462" s="25" t="s">
        <v>415</v>
      </c>
      <c r="D462" s="25" t="s">
        <v>12</v>
      </c>
      <c r="E462" s="25" t="s">
        <v>54</v>
      </c>
      <c r="F462" s="25">
        <v>112.21</v>
      </c>
      <c r="G462" s="25">
        <v>43</v>
      </c>
      <c r="H462" s="25">
        <v>0</v>
      </c>
      <c r="I462" s="25">
        <v>1</v>
      </c>
      <c r="J462" s="25">
        <v>0</v>
      </c>
      <c r="K462" s="25">
        <v>1</v>
      </c>
      <c r="L462" s="25">
        <v>0</v>
      </c>
      <c r="M462" s="25">
        <v>2</v>
      </c>
      <c r="N462" s="25">
        <v>4</v>
      </c>
      <c r="O462" s="25">
        <v>0</v>
      </c>
      <c r="P462" s="25">
        <v>0</v>
      </c>
      <c r="Q462" s="25">
        <v>0</v>
      </c>
      <c r="R462" s="25">
        <v>0</v>
      </c>
      <c r="S462" s="25">
        <v>0</v>
      </c>
      <c r="T462" s="25">
        <v>0</v>
      </c>
      <c r="U462" s="25">
        <v>0</v>
      </c>
      <c r="V462" s="25">
        <v>0</v>
      </c>
      <c r="W462" s="25">
        <v>2</v>
      </c>
      <c r="X462" s="25">
        <v>0</v>
      </c>
      <c r="Y462" s="25">
        <v>0</v>
      </c>
      <c r="Z462" s="25">
        <v>0</v>
      </c>
      <c r="AA462" s="25">
        <v>0</v>
      </c>
      <c r="AB462" s="25">
        <v>0</v>
      </c>
      <c r="AC462" s="25">
        <v>0</v>
      </c>
      <c r="AD462" s="25">
        <v>0</v>
      </c>
      <c r="AE462" s="25">
        <v>0</v>
      </c>
      <c r="AF462" s="25">
        <v>0</v>
      </c>
      <c r="AG462" s="25">
        <v>0.375</v>
      </c>
      <c r="AH462" s="25">
        <v>0.3984375</v>
      </c>
      <c r="AI462" s="25" t="s">
        <v>1112</v>
      </c>
      <c r="AJ462" s="14" t="s">
        <v>33</v>
      </c>
    </row>
    <row r="463" spans="1:36" x14ac:dyDescent="0.25">
      <c r="A463" s="1">
        <v>454</v>
      </c>
      <c r="B463" s="25" t="s">
        <v>1348</v>
      </c>
      <c r="C463" s="25" t="s">
        <v>2089</v>
      </c>
      <c r="D463" s="25" t="s">
        <v>12</v>
      </c>
      <c r="E463" s="25" t="s">
        <v>54</v>
      </c>
      <c r="F463" s="25">
        <v>112.21293919999999</v>
      </c>
      <c r="G463" s="25">
        <v>43</v>
      </c>
      <c r="H463" s="25">
        <v>0</v>
      </c>
      <c r="I463" s="25">
        <v>1</v>
      </c>
      <c r="J463" s="25">
        <v>0</v>
      </c>
      <c r="K463" s="25">
        <v>1</v>
      </c>
      <c r="L463" s="25">
        <v>0</v>
      </c>
      <c r="M463" s="25">
        <v>2</v>
      </c>
      <c r="N463" s="25">
        <v>4</v>
      </c>
      <c r="O463" s="25">
        <v>0</v>
      </c>
      <c r="P463" s="25">
        <v>0</v>
      </c>
      <c r="Q463" s="25">
        <v>0</v>
      </c>
      <c r="R463" s="25">
        <v>0</v>
      </c>
      <c r="S463" s="25">
        <v>0</v>
      </c>
      <c r="T463" s="25">
        <v>0</v>
      </c>
      <c r="U463" s="25">
        <v>0</v>
      </c>
      <c r="V463" s="25">
        <v>0</v>
      </c>
      <c r="W463" s="25">
        <v>2</v>
      </c>
      <c r="X463" s="25">
        <v>0</v>
      </c>
      <c r="Y463" s="25">
        <v>0</v>
      </c>
      <c r="Z463" s="25">
        <v>0</v>
      </c>
      <c r="AA463" s="25">
        <v>0</v>
      </c>
      <c r="AB463" s="25">
        <v>0</v>
      </c>
      <c r="AC463" s="25">
        <v>0</v>
      </c>
      <c r="AD463" s="25">
        <v>0</v>
      </c>
      <c r="AE463" s="25">
        <v>0</v>
      </c>
      <c r="AF463" s="25">
        <v>0</v>
      </c>
      <c r="AG463" s="25">
        <v>0.375</v>
      </c>
      <c r="AH463" s="25">
        <v>0.3984375</v>
      </c>
      <c r="AI463" s="25" t="s">
        <v>1306</v>
      </c>
      <c r="AJ463" s="14" t="s">
        <v>33</v>
      </c>
    </row>
    <row r="464" spans="1:36" x14ac:dyDescent="0.25">
      <c r="A464" s="1">
        <v>456</v>
      </c>
      <c r="B464" s="25" t="s">
        <v>1357</v>
      </c>
      <c r="C464" s="25" t="s">
        <v>2090</v>
      </c>
      <c r="D464" s="25" t="s">
        <v>12</v>
      </c>
      <c r="E464" s="25" t="s">
        <v>49</v>
      </c>
      <c r="F464" s="25">
        <v>252.47911329999999</v>
      </c>
      <c r="G464" s="25">
        <v>43</v>
      </c>
      <c r="H464" s="25">
        <v>0</v>
      </c>
      <c r="I464" s="25">
        <v>1</v>
      </c>
      <c r="J464" s="25">
        <v>0</v>
      </c>
      <c r="K464" s="25">
        <v>1</v>
      </c>
      <c r="L464" s="25">
        <v>0</v>
      </c>
      <c r="M464" s="25">
        <v>4</v>
      </c>
      <c r="N464" s="25">
        <v>10</v>
      </c>
      <c r="O464" s="25">
        <v>0</v>
      </c>
      <c r="P464" s="25">
        <v>0</v>
      </c>
      <c r="Q464" s="25">
        <v>0</v>
      </c>
      <c r="R464" s="25">
        <v>0</v>
      </c>
      <c r="S464" s="25">
        <v>0</v>
      </c>
      <c r="T464" s="25">
        <v>0</v>
      </c>
      <c r="U464" s="25">
        <v>0</v>
      </c>
      <c r="V464" s="25">
        <v>2</v>
      </c>
      <c r="W464" s="25">
        <v>2</v>
      </c>
      <c r="X464" s="25">
        <v>0</v>
      </c>
      <c r="Y464" s="25">
        <v>0</v>
      </c>
      <c r="Z464" s="25">
        <v>0</v>
      </c>
      <c r="AA464" s="25">
        <v>0</v>
      </c>
      <c r="AB464" s="25">
        <v>0</v>
      </c>
      <c r="AC464" s="25">
        <v>0</v>
      </c>
      <c r="AD464" s="25">
        <v>0</v>
      </c>
      <c r="AE464" s="25">
        <v>0</v>
      </c>
      <c r="AF464" s="25">
        <v>0</v>
      </c>
      <c r="AG464" s="25">
        <v>0.55540166199999996</v>
      </c>
      <c r="AH464" s="25">
        <v>0.57561728400000001</v>
      </c>
      <c r="AI464" s="25" t="s">
        <v>1306</v>
      </c>
      <c r="AJ464" s="14" t="s">
        <v>33</v>
      </c>
    </row>
    <row r="465" spans="1:36" x14ac:dyDescent="0.25">
      <c r="A465" s="1">
        <v>457</v>
      </c>
      <c r="B465" s="14" t="s">
        <v>1358</v>
      </c>
      <c r="C465" s="14" t="s">
        <v>2091</v>
      </c>
      <c r="D465" s="14" t="s">
        <v>12</v>
      </c>
      <c r="E465" s="29" t="s">
        <v>49</v>
      </c>
      <c r="F465" s="14">
        <v>252.47911329999999</v>
      </c>
      <c r="G465" s="14">
        <v>43</v>
      </c>
      <c r="H465" s="14">
        <v>0</v>
      </c>
      <c r="I465" s="14">
        <v>1</v>
      </c>
      <c r="J465" s="14">
        <v>0</v>
      </c>
      <c r="K465" s="14">
        <v>1</v>
      </c>
      <c r="L465" s="14">
        <v>0</v>
      </c>
      <c r="M465" s="14">
        <v>4</v>
      </c>
      <c r="N465" s="14">
        <v>10</v>
      </c>
      <c r="O465" s="14">
        <v>0</v>
      </c>
      <c r="P465" s="14">
        <v>0</v>
      </c>
      <c r="Q465" s="14">
        <v>0</v>
      </c>
      <c r="R465" s="14">
        <v>0</v>
      </c>
      <c r="S465" s="14">
        <v>0</v>
      </c>
      <c r="T465" s="14">
        <v>0</v>
      </c>
      <c r="U465" s="14">
        <v>0</v>
      </c>
      <c r="V465" s="14">
        <v>2</v>
      </c>
      <c r="W465" s="14">
        <v>2</v>
      </c>
      <c r="X465" s="14">
        <v>0</v>
      </c>
      <c r="Y465" s="14">
        <v>0</v>
      </c>
      <c r="Z465" s="14">
        <v>0</v>
      </c>
      <c r="AA465" s="14">
        <v>0</v>
      </c>
      <c r="AB465" s="14">
        <v>0</v>
      </c>
      <c r="AC465" s="14">
        <v>0</v>
      </c>
      <c r="AD465" s="25">
        <v>0</v>
      </c>
      <c r="AE465" s="25">
        <v>0</v>
      </c>
      <c r="AF465" s="25">
        <v>0</v>
      </c>
      <c r="AG465" s="25">
        <v>0.55540166199999996</v>
      </c>
      <c r="AH465" s="25">
        <v>0.57561728400000001</v>
      </c>
      <c r="AI465" s="14" t="s">
        <v>1306</v>
      </c>
      <c r="AJ465" s="14" t="s">
        <v>33</v>
      </c>
    </row>
    <row r="466" spans="1:36" x14ac:dyDescent="0.25">
      <c r="A466" s="1">
        <v>458</v>
      </c>
      <c r="B466" s="25" t="s">
        <v>1359</v>
      </c>
      <c r="C466" s="25" t="s">
        <v>2092</v>
      </c>
      <c r="D466" s="25" t="s">
        <v>12</v>
      </c>
      <c r="E466" s="25" t="s">
        <v>49</v>
      </c>
      <c r="F466" s="25">
        <v>252.47911329999999</v>
      </c>
      <c r="G466" s="25">
        <v>43</v>
      </c>
      <c r="H466" s="25">
        <v>0</v>
      </c>
      <c r="I466" s="25">
        <v>1</v>
      </c>
      <c r="J466" s="25">
        <v>0</v>
      </c>
      <c r="K466" s="25">
        <v>1</v>
      </c>
      <c r="L466" s="25">
        <v>0</v>
      </c>
      <c r="M466" s="25">
        <v>4</v>
      </c>
      <c r="N466" s="25">
        <v>10</v>
      </c>
      <c r="O466" s="25">
        <v>0</v>
      </c>
      <c r="P466" s="25">
        <v>0</v>
      </c>
      <c r="Q466" s="25">
        <v>0</v>
      </c>
      <c r="R466" s="25">
        <v>0</v>
      </c>
      <c r="S466" s="25">
        <v>0</v>
      </c>
      <c r="T466" s="25">
        <v>0</v>
      </c>
      <c r="U466" s="25">
        <v>0</v>
      </c>
      <c r="V466" s="25">
        <v>2</v>
      </c>
      <c r="W466" s="25">
        <v>2</v>
      </c>
      <c r="X466" s="25">
        <v>0</v>
      </c>
      <c r="Y466" s="25">
        <v>0</v>
      </c>
      <c r="Z466" s="25">
        <v>0</v>
      </c>
      <c r="AA466" s="25">
        <v>0</v>
      </c>
      <c r="AB466" s="25">
        <v>0</v>
      </c>
      <c r="AC466" s="25">
        <v>0</v>
      </c>
      <c r="AD466" s="25">
        <v>0</v>
      </c>
      <c r="AE466" s="25">
        <v>0</v>
      </c>
      <c r="AF466" s="25">
        <v>0</v>
      </c>
      <c r="AG466" s="25">
        <v>0.55540166199999996</v>
      </c>
      <c r="AH466" s="25">
        <v>0.57561728400000001</v>
      </c>
      <c r="AI466" s="25" t="s">
        <v>1306</v>
      </c>
      <c r="AJ466" s="14" t="s">
        <v>33</v>
      </c>
    </row>
    <row r="467" spans="1:36" x14ac:dyDescent="0.25">
      <c r="A467" s="1">
        <v>459</v>
      </c>
      <c r="B467" s="14" t="s">
        <v>1361</v>
      </c>
      <c r="C467" s="14" t="s">
        <v>2093</v>
      </c>
      <c r="D467" s="14" t="s">
        <v>12</v>
      </c>
      <c r="E467" s="29" t="s">
        <v>49</v>
      </c>
      <c r="F467" s="14">
        <v>252.47911329999999</v>
      </c>
      <c r="G467" s="14">
        <v>43</v>
      </c>
      <c r="H467" s="14">
        <v>0</v>
      </c>
      <c r="I467" s="14">
        <v>1</v>
      </c>
      <c r="J467" s="14">
        <v>0</v>
      </c>
      <c r="K467" s="14">
        <v>1</v>
      </c>
      <c r="L467" s="14">
        <v>0</v>
      </c>
      <c r="M467" s="14">
        <v>4</v>
      </c>
      <c r="N467" s="14">
        <v>10</v>
      </c>
      <c r="O467" s="14">
        <v>0</v>
      </c>
      <c r="P467" s="14">
        <v>0</v>
      </c>
      <c r="Q467" s="14">
        <v>0</v>
      </c>
      <c r="R467" s="14">
        <v>0</v>
      </c>
      <c r="S467" s="14">
        <v>0</v>
      </c>
      <c r="T467" s="14">
        <v>0</v>
      </c>
      <c r="U467" s="14">
        <v>0</v>
      </c>
      <c r="V467" s="14">
        <v>2</v>
      </c>
      <c r="W467" s="14">
        <v>2</v>
      </c>
      <c r="X467" s="14">
        <v>0</v>
      </c>
      <c r="Y467" s="14">
        <v>0</v>
      </c>
      <c r="Z467" s="14">
        <v>0</v>
      </c>
      <c r="AA467" s="14">
        <v>0</v>
      </c>
      <c r="AB467" s="14">
        <v>0</v>
      </c>
      <c r="AC467" s="14">
        <v>0</v>
      </c>
      <c r="AD467" s="25">
        <v>0</v>
      </c>
      <c r="AE467" s="25">
        <v>0</v>
      </c>
      <c r="AF467" s="25">
        <v>0</v>
      </c>
      <c r="AG467" s="25">
        <v>0.55540166199999996</v>
      </c>
      <c r="AH467" s="25">
        <v>0.57561728400000001</v>
      </c>
      <c r="AI467" s="14" t="s">
        <v>1306</v>
      </c>
      <c r="AJ467" s="14" t="s">
        <v>33</v>
      </c>
    </row>
    <row r="468" spans="1:36" x14ac:dyDescent="0.25">
      <c r="A468" s="1">
        <v>462</v>
      </c>
      <c r="B468" s="14" t="s">
        <v>793</v>
      </c>
      <c r="C468" s="14" t="s">
        <v>1493</v>
      </c>
      <c r="D468" s="14" t="s">
        <v>1931</v>
      </c>
      <c r="E468" s="29" t="s">
        <v>1817</v>
      </c>
      <c r="F468" s="14">
        <v>294.46199999999999</v>
      </c>
      <c r="G468" s="14">
        <v>43</v>
      </c>
      <c r="H468" s="14">
        <v>0</v>
      </c>
      <c r="I468" s="14">
        <v>2</v>
      </c>
      <c r="J468" s="14">
        <v>0</v>
      </c>
      <c r="K468" s="14">
        <v>2</v>
      </c>
      <c r="L468" s="14">
        <v>0</v>
      </c>
      <c r="M468" s="14">
        <v>2</v>
      </c>
      <c r="N468" s="14">
        <v>12</v>
      </c>
      <c r="O468" s="14">
        <v>0</v>
      </c>
      <c r="P468" s="14">
        <v>0</v>
      </c>
      <c r="Q468" s="14">
        <v>0</v>
      </c>
      <c r="R468" s="14">
        <v>0</v>
      </c>
      <c r="S468" s="14">
        <v>0</v>
      </c>
      <c r="T468" s="14">
        <v>0</v>
      </c>
      <c r="U468" s="14">
        <v>1</v>
      </c>
      <c r="V468" s="14">
        <v>0</v>
      </c>
      <c r="W468" s="14">
        <v>4</v>
      </c>
      <c r="X468" s="14">
        <v>0</v>
      </c>
      <c r="Y468" s="14">
        <v>0</v>
      </c>
      <c r="Z468" s="14">
        <v>0</v>
      </c>
      <c r="AA468" s="14">
        <v>0</v>
      </c>
      <c r="AB468" s="14">
        <v>0</v>
      </c>
      <c r="AC468" s="14">
        <v>0</v>
      </c>
      <c r="AD468" s="25">
        <v>0</v>
      </c>
      <c r="AE468" s="25">
        <v>0</v>
      </c>
      <c r="AF468" s="25">
        <v>0</v>
      </c>
      <c r="AG468" s="25">
        <v>0.60613943800000003</v>
      </c>
      <c r="AH468" s="25">
        <v>0.624763705</v>
      </c>
      <c r="AI468" s="14" t="s">
        <v>1571</v>
      </c>
      <c r="AJ468" s="14" t="s">
        <v>33</v>
      </c>
    </row>
    <row r="469" spans="1:36" x14ac:dyDescent="0.25">
      <c r="A469" s="1">
        <v>463</v>
      </c>
      <c r="B469" s="14" t="s">
        <v>735</v>
      </c>
      <c r="C469" s="14" t="s">
        <v>444</v>
      </c>
      <c r="D469" s="14" t="s">
        <v>19</v>
      </c>
      <c r="E469" s="29" t="s">
        <v>85</v>
      </c>
      <c r="F469" s="14">
        <v>100.2</v>
      </c>
      <c r="G469" s="14">
        <v>43.5</v>
      </c>
      <c r="H469" s="14">
        <v>0</v>
      </c>
      <c r="I469" s="14">
        <v>0</v>
      </c>
      <c r="J469" s="14">
        <v>0</v>
      </c>
      <c r="K469" s="14">
        <v>0</v>
      </c>
      <c r="L469" s="14">
        <v>0</v>
      </c>
      <c r="M469" s="14">
        <v>3</v>
      </c>
      <c r="N469" s="14">
        <v>3</v>
      </c>
      <c r="O469" s="14">
        <v>0</v>
      </c>
      <c r="P469" s="14">
        <v>0</v>
      </c>
      <c r="Q469" s="14">
        <v>0</v>
      </c>
      <c r="R469" s="14">
        <v>0</v>
      </c>
      <c r="S469" s="14">
        <v>0</v>
      </c>
      <c r="T469" s="14">
        <v>0</v>
      </c>
      <c r="U469" s="14">
        <v>0</v>
      </c>
      <c r="V469" s="14">
        <v>1</v>
      </c>
      <c r="W469" s="14">
        <v>0</v>
      </c>
      <c r="X469" s="14">
        <v>0</v>
      </c>
      <c r="Y469" s="14">
        <v>0</v>
      </c>
      <c r="Z469" s="14">
        <v>0</v>
      </c>
      <c r="AA469" s="14">
        <v>0</v>
      </c>
      <c r="AB469" s="14">
        <v>0</v>
      </c>
      <c r="AC469" s="14">
        <v>0</v>
      </c>
      <c r="AD469" s="25">
        <v>0</v>
      </c>
      <c r="AE469" s="25">
        <v>0</v>
      </c>
      <c r="AF469" s="25">
        <v>0</v>
      </c>
      <c r="AG469" s="25">
        <v>0.375</v>
      </c>
      <c r="AH469" s="25">
        <v>0.31944444399999999</v>
      </c>
      <c r="AI469" s="14" t="s">
        <v>1140</v>
      </c>
      <c r="AJ469" s="14" t="s">
        <v>33</v>
      </c>
    </row>
    <row r="470" spans="1:36" x14ac:dyDescent="0.25">
      <c r="A470" s="1">
        <v>464</v>
      </c>
      <c r="B470" s="25" t="s">
        <v>783</v>
      </c>
      <c r="C470" s="25" t="s">
        <v>460</v>
      </c>
      <c r="D470" s="25" t="s">
        <v>21</v>
      </c>
      <c r="E470" s="25" t="s">
        <v>198</v>
      </c>
      <c r="F470" s="25">
        <v>148.19999999999999</v>
      </c>
      <c r="G470" s="25">
        <v>43.9</v>
      </c>
      <c r="H470" s="25">
        <v>0</v>
      </c>
      <c r="I470" s="25">
        <v>0</v>
      </c>
      <c r="J470" s="25">
        <v>0</v>
      </c>
      <c r="K470" s="25">
        <v>0</v>
      </c>
      <c r="L470" s="25">
        <v>0</v>
      </c>
      <c r="M470" s="25">
        <v>3</v>
      </c>
      <c r="N470" s="25">
        <v>2</v>
      </c>
      <c r="O470" s="25">
        <v>1</v>
      </c>
      <c r="P470" s="25">
        <v>2</v>
      </c>
      <c r="Q470" s="25">
        <v>0</v>
      </c>
      <c r="R470" s="25">
        <v>0</v>
      </c>
      <c r="S470" s="25">
        <v>0</v>
      </c>
      <c r="T470" s="25">
        <v>0</v>
      </c>
      <c r="U470" s="25">
        <v>0</v>
      </c>
      <c r="V470" s="25">
        <v>2</v>
      </c>
      <c r="W470" s="25">
        <v>0</v>
      </c>
      <c r="X470" s="25">
        <v>0</v>
      </c>
      <c r="Y470" s="25">
        <v>0</v>
      </c>
      <c r="Z470" s="25">
        <v>0</v>
      </c>
      <c r="AA470" s="25">
        <v>0</v>
      </c>
      <c r="AB470" s="25">
        <v>1</v>
      </c>
      <c r="AC470" s="25">
        <v>0</v>
      </c>
      <c r="AD470" s="25">
        <v>0</v>
      </c>
      <c r="AE470" s="25">
        <v>0</v>
      </c>
      <c r="AF470" s="25">
        <v>0</v>
      </c>
      <c r="AG470" s="25">
        <v>0.41499999999999998</v>
      </c>
      <c r="AH470" s="25">
        <v>0.42592592600000001</v>
      </c>
      <c r="AI470" s="25" t="s">
        <v>1157</v>
      </c>
      <c r="AJ470" s="14" t="s">
        <v>33</v>
      </c>
    </row>
    <row r="471" spans="1:36" x14ac:dyDescent="0.25">
      <c r="A471" s="1">
        <v>465</v>
      </c>
      <c r="B471" s="14" t="s">
        <v>1263</v>
      </c>
      <c r="C471" s="14" t="s">
        <v>2094</v>
      </c>
      <c r="D471" s="14" t="s">
        <v>10</v>
      </c>
      <c r="E471" s="29" t="s">
        <v>219</v>
      </c>
      <c r="F471" s="14">
        <v>266.46263670000002</v>
      </c>
      <c r="G471" s="14">
        <v>44</v>
      </c>
      <c r="H471" s="14">
        <v>0</v>
      </c>
      <c r="I471" s="14">
        <v>2</v>
      </c>
      <c r="J471" s="14">
        <v>0</v>
      </c>
      <c r="K471" s="14">
        <v>2</v>
      </c>
      <c r="L471" s="14">
        <v>0</v>
      </c>
      <c r="M471" s="14">
        <v>1</v>
      </c>
      <c r="N471" s="14">
        <v>13</v>
      </c>
      <c r="O471" s="14">
        <v>1</v>
      </c>
      <c r="P471" s="14">
        <v>0</v>
      </c>
      <c r="Q471" s="14">
        <v>0</v>
      </c>
      <c r="R471" s="14">
        <v>0</v>
      </c>
      <c r="S471" s="14">
        <v>0</v>
      </c>
      <c r="T471" s="14">
        <v>0</v>
      </c>
      <c r="U471" s="14">
        <v>0</v>
      </c>
      <c r="V471" s="14">
        <v>0</v>
      </c>
      <c r="W471" s="14">
        <v>4</v>
      </c>
      <c r="X471" s="14">
        <v>0</v>
      </c>
      <c r="Y471" s="14">
        <v>0</v>
      </c>
      <c r="Z471" s="14">
        <v>0</v>
      </c>
      <c r="AA471" s="14">
        <v>0</v>
      </c>
      <c r="AB471" s="14">
        <v>1</v>
      </c>
      <c r="AC471" s="14">
        <v>0</v>
      </c>
      <c r="AD471" s="25">
        <v>0</v>
      </c>
      <c r="AE471" s="25">
        <v>0</v>
      </c>
      <c r="AF471" s="25">
        <v>0</v>
      </c>
      <c r="AG471" s="25">
        <v>0.579719388</v>
      </c>
      <c r="AH471" s="25">
        <v>0.59375</v>
      </c>
      <c r="AI471" s="14" t="s">
        <v>1306</v>
      </c>
      <c r="AJ471" s="14" t="s">
        <v>33</v>
      </c>
    </row>
    <row r="472" spans="1:36" x14ac:dyDescent="0.25">
      <c r="A472" s="1">
        <v>466</v>
      </c>
      <c r="B472" s="14" t="s">
        <v>1724</v>
      </c>
      <c r="C472" s="14" t="s">
        <v>1450</v>
      </c>
      <c r="D472" s="14" t="s">
        <v>10</v>
      </c>
      <c r="E472" s="29" t="s">
        <v>1725</v>
      </c>
      <c r="F472" s="14">
        <v>266.452</v>
      </c>
      <c r="G472" s="14">
        <v>44</v>
      </c>
      <c r="H472" s="14">
        <v>0</v>
      </c>
      <c r="I472" s="14">
        <v>2</v>
      </c>
      <c r="J472" s="14">
        <v>0</v>
      </c>
      <c r="K472" s="14">
        <v>2</v>
      </c>
      <c r="L472" s="14">
        <v>0</v>
      </c>
      <c r="M472" s="14">
        <v>1</v>
      </c>
      <c r="N472" s="14">
        <v>13</v>
      </c>
      <c r="O472" s="14">
        <v>1</v>
      </c>
      <c r="P472" s="14">
        <v>0</v>
      </c>
      <c r="Q472" s="14">
        <v>0</v>
      </c>
      <c r="R472" s="14">
        <v>0</v>
      </c>
      <c r="S472" s="14">
        <v>0</v>
      </c>
      <c r="T472" s="14">
        <v>0</v>
      </c>
      <c r="U472" s="14">
        <v>0</v>
      </c>
      <c r="V472" s="14">
        <v>0</v>
      </c>
      <c r="W472" s="14">
        <v>4</v>
      </c>
      <c r="X472" s="14">
        <v>0</v>
      </c>
      <c r="Y472" s="14">
        <v>0</v>
      </c>
      <c r="Z472" s="14">
        <v>0</v>
      </c>
      <c r="AA472" s="14">
        <v>0</v>
      </c>
      <c r="AB472" s="14">
        <v>1</v>
      </c>
      <c r="AC472" s="14">
        <v>0</v>
      </c>
      <c r="AD472" s="25">
        <v>0</v>
      </c>
      <c r="AE472" s="25">
        <v>0</v>
      </c>
      <c r="AF472" s="25">
        <v>0</v>
      </c>
      <c r="AG472" s="25">
        <v>0.57482993199999999</v>
      </c>
      <c r="AH472" s="25">
        <v>0.59375</v>
      </c>
      <c r="AI472" s="14" t="s">
        <v>1571</v>
      </c>
      <c r="AJ472" s="14" t="s">
        <v>33</v>
      </c>
    </row>
    <row r="473" spans="1:36" x14ac:dyDescent="0.25">
      <c r="A473" s="1">
        <v>467</v>
      </c>
      <c r="B473" s="25" t="s">
        <v>643</v>
      </c>
      <c r="C473" s="25" t="s">
        <v>419</v>
      </c>
      <c r="D473" s="25" t="s">
        <v>12</v>
      </c>
      <c r="E473" s="25" t="s">
        <v>167</v>
      </c>
      <c r="F473" s="25">
        <v>98.19</v>
      </c>
      <c r="G473" s="25">
        <v>44</v>
      </c>
      <c r="H473" s="25">
        <v>0</v>
      </c>
      <c r="I473" s="25">
        <v>1</v>
      </c>
      <c r="J473" s="25">
        <v>0</v>
      </c>
      <c r="K473" s="25">
        <v>1</v>
      </c>
      <c r="L473" s="25">
        <v>0</v>
      </c>
      <c r="M473" s="25">
        <v>2</v>
      </c>
      <c r="N473" s="25">
        <v>3</v>
      </c>
      <c r="O473" s="25">
        <v>0</v>
      </c>
      <c r="P473" s="25">
        <v>0</v>
      </c>
      <c r="Q473" s="25">
        <v>0</v>
      </c>
      <c r="R473" s="25">
        <v>0</v>
      </c>
      <c r="S473" s="25">
        <v>0</v>
      </c>
      <c r="T473" s="25">
        <v>0</v>
      </c>
      <c r="U473" s="25">
        <v>0</v>
      </c>
      <c r="V473" s="25">
        <v>0</v>
      </c>
      <c r="W473" s="25">
        <v>2</v>
      </c>
      <c r="X473" s="25">
        <v>0</v>
      </c>
      <c r="Y473" s="25">
        <v>0</v>
      </c>
      <c r="Z473" s="25">
        <v>0</v>
      </c>
      <c r="AA473" s="25">
        <v>0</v>
      </c>
      <c r="AB473" s="25">
        <v>0</v>
      </c>
      <c r="AC473" s="25">
        <v>0</v>
      </c>
      <c r="AD473" s="25">
        <v>0</v>
      </c>
      <c r="AE473" s="25">
        <v>0</v>
      </c>
      <c r="AF473" s="25">
        <v>0</v>
      </c>
      <c r="AG473" s="25">
        <v>0.363905325</v>
      </c>
      <c r="AH473" s="25">
        <v>0.35714285699999998</v>
      </c>
      <c r="AI473" s="25" t="s">
        <v>1116</v>
      </c>
      <c r="AJ473" s="14" t="s">
        <v>33</v>
      </c>
    </row>
    <row r="474" spans="1:36" x14ac:dyDescent="0.25">
      <c r="A474" s="1">
        <v>468</v>
      </c>
      <c r="B474" s="14" t="s">
        <v>1347</v>
      </c>
      <c r="C474" s="14" t="s">
        <v>2095</v>
      </c>
      <c r="D474" s="14" t="s">
        <v>12</v>
      </c>
      <c r="E474" s="29" t="s">
        <v>167</v>
      </c>
      <c r="F474" s="14">
        <v>98.186321829999997</v>
      </c>
      <c r="G474" s="14">
        <v>44</v>
      </c>
      <c r="H474" s="14">
        <v>0</v>
      </c>
      <c r="I474" s="14">
        <v>1</v>
      </c>
      <c r="J474" s="14">
        <v>0</v>
      </c>
      <c r="K474" s="14">
        <v>1</v>
      </c>
      <c r="L474" s="14">
        <v>0</v>
      </c>
      <c r="M474" s="14">
        <v>2</v>
      </c>
      <c r="N474" s="14">
        <v>3</v>
      </c>
      <c r="O474" s="14">
        <v>0</v>
      </c>
      <c r="P474" s="14">
        <v>0</v>
      </c>
      <c r="Q474" s="14">
        <v>0</v>
      </c>
      <c r="R474" s="14">
        <v>0</v>
      </c>
      <c r="S474" s="14">
        <v>0</v>
      </c>
      <c r="T474" s="14">
        <v>0</v>
      </c>
      <c r="U474" s="14">
        <v>0</v>
      </c>
      <c r="V474" s="14">
        <v>0</v>
      </c>
      <c r="W474" s="14">
        <v>2</v>
      </c>
      <c r="X474" s="14">
        <v>0</v>
      </c>
      <c r="Y474" s="14">
        <v>0</v>
      </c>
      <c r="Z474" s="14">
        <v>0</v>
      </c>
      <c r="AA474" s="14">
        <v>0</v>
      </c>
      <c r="AB474" s="14">
        <v>0</v>
      </c>
      <c r="AC474" s="14">
        <v>0</v>
      </c>
      <c r="AD474" s="25">
        <v>0</v>
      </c>
      <c r="AE474" s="25">
        <v>0</v>
      </c>
      <c r="AF474" s="25">
        <v>0</v>
      </c>
      <c r="AG474" s="25">
        <v>0.363905325</v>
      </c>
      <c r="AH474" s="25">
        <v>0.35714285699999998</v>
      </c>
      <c r="AI474" s="14" t="s">
        <v>1306</v>
      </c>
      <c r="AJ474" s="14" t="s">
        <v>33</v>
      </c>
    </row>
    <row r="475" spans="1:36" x14ac:dyDescent="0.25">
      <c r="A475" s="1">
        <v>469</v>
      </c>
      <c r="B475" s="25" t="s">
        <v>1349</v>
      </c>
      <c r="C475" s="25" t="s">
        <v>2096</v>
      </c>
      <c r="D475" s="25" t="s">
        <v>12</v>
      </c>
      <c r="E475" s="25" t="s">
        <v>167</v>
      </c>
      <c r="F475" s="25">
        <v>98.186321829999997</v>
      </c>
      <c r="G475" s="25">
        <v>44</v>
      </c>
      <c r="H475" s="25">
        <v>0</v>
      </c>
      <c r="I475" s="25">
        <v>1</v>
      </c>
      <c r="J475" s="25">
        <v>0</v>
      </c>
      <c r="K475" s="25">
        <v>1</v>
      </c>
      <c r="L475" s="25">
        <v>0</v>
      </c>
      <c r="M475" s="25">
        <v>2</v>
      </c>
      <c r="N475" s="25">
        <v>3</v>
      </c>
      <c r="O475" s="25">
        <v>0</v>
      </c>
      <c r="P475" s="25">
        <v>0</v>
      </c>
      <c r="Q475" s="25">
        <v>0</v>
      </c>
      <c r="R475" s="25">
        <v>0</v>
      </c>
      <c r="S475" s="25">
        <v>0</v>
      </c>
      <c r="T475" s="25">
        <v>0</v>
      </c>
      <c r="U475" s="25">
        <v>0</v>
      </c>
      <c r="V475" s="25">
        <v>0</v>
      </c>
      <c r="W475" s="25">
        <v>2</v>
      </c>
      <c r="X475" s="25">
        <v>0</v>
      </c>
      <c r="Y475" s="25">
        <v>0</v>
      </c>
      <c r="Z475" s="25">
        <v>0</v>
      </c>
      <c r="AA475" s="25">
        <v>0</v>
      </c>
      <c r="AB475" s="25">
        <v>0</v>
      </c>
      <c r="AC475" s="25">
        <v>0</v>
      </c>
      <c r="AD475" s="25">
        <v>0</v>
      </c>
      <c r="AE475" s="25">
        <v>0</v>
      </c>
      <c r="AF475" s="25">
        <v>0</v>
      </c>
      <c r="AG475" s="25">
        <v>0.363905325</v>
      </c>
      <c r="AH475" s="25">
        <v>0.35714285699999998</v>
      </c>
      <c r="AI475" s="25" t="s">
        <v>1306</v>
      </c>
      <c r="AJ475" s="14" t="s">
        <v>33</v>
      </c>
    </row>
    <row r="476" spans="1:36" x14ac:dyDescent="0.25">
      <c r="A476" s="1">
        <v>470</v>
      </c>
      <c r="B476" s="25" t="s">
        <v>1656</v>
      </c>
      <c r="C476" s="25" t="s">
        <v>1408</v>
      </c>
      <c r="D476" s="25" t="s">
        <v>12</v>
      </c>
      <c r="E476" s="25" t="s">
        <v>167</v>
      </c>
      <c r="F476" s="25">
        <v>98.182000000000002</v>
      </c>
      <c r="G476" s="25">
        <v>44</v>
      </c>
      <c r="H476" s="25">
        <v>0</v>
      </c>
      <c r="I476" s="25">
        <v>1</v>
      </c>
      <c r="J476" s="25">
        <v>0</v>
      </c>
      <c r="K476" s="25">
        <v>1</v>
      </c>
      <c r="L476" s="25">
        <v>0</v>
      </c>
      <c r="M476" s="25">
        <v>2</v>
      </c>
      <c r="N476" s="25">
        <v>3</v>
      </c>
      <c r="O476" s="25">
        <v>0</v>
      </c>
      <c r="P476" s="25">
        <v>0</v>
      </c>
      <c r="Q476" s="25">
        <v>0</v>
      </c>
      <c r="R476" s="25">
        <v>0</v>
      </c>
      <c r="S476" s="25">
        <v>0</v>
      </c>
      <c r="T476" s="25">
        <v>0</v>
      </c>
      <c r="U476" s="25">
        <v>0</v>
      </c>
      <c r="V476" s="25">
        <v>0</v>
      </c>
      <c r="W476" s="25">
        <v>2</v>
      </c>
      <c r="X476" s="25">
        <v>0</v>
      </c>
      <c r="Y476" s="25">
        <v>0</v>
      </c>
      <c r="Z476" s="25">
        <v>0</v>
      </c>
      <c r="AA476" s="25">
        <v>0</v>
      </c>
      <c r="AB476" s="25">
        <v>0</v>
      </c>
      <c r="AC476" s="25">
        <v>0</v>
      </c>
      <c r="AD476" s="25">
        <v>0</v>
      </c>
      <c r="AE476" s="25">
        <v>0</v>
      </c>
      <c r="AF476" s="25">
        <v>0</v>
      </c>
      <c r="AG476" s="25">
        <v>0.363905325</v>
      </c>
      <c r="AH476" s="25">
        <v>0.35714285699999998</v>
      </c>
      <c r="AI476" s="25" t="s">
        <v>1571</v>
      </c>
      <c r="AJ476" s="14" t="s">
        <v>33</v>
      </c>
    </row>
    <row r="477" spans="1:36" x14ac:dyDescent="0.25">
      <c r="A477" s="1">
        <v>471</v>
      </c>
      <c r="B477" s="14" t="s">
        <v>765</v>
      </c>
      <c r="C477" s="14" t="s">
        <v>299</v>
      </c>
      <c r="D477" s="14" t="s">
        <v>7</v>
      </c>
      <c r="E477" s="29" t="s">
        <v>107</v>
      </c>
      <c r="F477" s="14">
        <v>86.17</v>
      </c>
      <c r="G477" s="14">
        <v>44</v>
      </c>
      <c r="H477" s="14">
        <v>0</v>
      </c>
      <c r="I477" s="14">
        <v>0</v>
      </c>
      <c r="J477" s="14">
        <v>0</v>
      </c>
      <c r="K477" s="14">
        <v>0</v>
      </c>
      <c r="L477" s="14">
        <v>0</v>
      </c>
      <c r="M477" s="14">
        <v>2</v>
      </c>
      <c r="N477" s="14">
        <v>4</v>
      </c>
      <c r="O477" s="14">
        <v>0</v>
      </c>
      <c r="P477" s="14">
        <v>0</v>
      </c>
      <c r="Q477" s="14">
        <v>0</v>
      </c>
      <c r="R477" s="14">
        <v>0</v>
      </c>
      <c r="S477" s="14">
        <v>0</v>
      </c>
      <c r="T477" s="14">
        <v>0</v>
      </c>
      <c r="U477" s="14">
        <v>0</v>
      </c>
      <c r="V477" s="14">
        <v>0</v>
      </c>
      <c r="W477" s="14">
        <v>0</v>
      </c>
      <c r="X477" s="14">
        <v>0</v>
      </c>
      <c r="Y477" s="14">
        <v>0</v>
      </c>
      <c r="Z477" s="14">
        <v>0</v>
      </c>
      <c r="AA477" s="14">
        <v>0</v>
      </c>
      <c r="AB477" s="14">
        <v>0</v>
      </c>
      <c r="AC477" s="14">
        <v>0</v>
      </c>
      <c r="AD477" s="25">
        <v>0</v>
      </c>
      <c r="AE477" s="25">
        <v>0</v>
      </c>
      <c r="AF477" s="25">
        <v>0</v>
      </c>
      <c r="AG477" s="25">
        <v>0.26</v>
      </c>
      <c r="AH477" s="25">
        <v>0.26</v>
      </c>
      <c r="AI477" s="14" t="s">
        <v>989</v>
      </c>
      <c r="AJ477" s="14" t="s">
        <v>33</v>
      </c>
    </row>
    <row r="478" spans="1:36" x14ac:dyDescent="0.25">
      <c r="A478" s="1">
        <v>472</v>
      </c>
      <c r="B478" s="14" t="s">
        <v>857</v>
      </c>
      <c r="C478" s="14" t="s">
        <v>517</v>
      </c>
      <c r="D478" s="14" t="s">
        <v>21</v>
      </c>
      <c r="E478" s="29" t="s">
        <v>219</v>
      </c>
      <c r="F478" s="14">
        <v>266.45999999999998</v>
      </c>
      <c r="G478" s="14">
        <v>44</v>
      </c>
      <c r="H478" s="14">
        <v>0</v>
      </c>
      <c r="I478" s="14">
        <v>2</v>
      </c>
      <c r="J478" s="14">
        <v>0</v>
      </c>
      <c r="K478" s="14">
        <v>2</v>
      </c>
      <c r="L478" s="14">
        <v>0</v>
      </c>
      <c r="M478" s="14">
        <v>1</v>
      </c>
      <c r="N478" s="14">
        <v>13</v>
      </c>
      <c r="O478" s="14">
        <v>1</v>
      </c>
      <c r="P478" s="14">
        <v>0</v>
      </c>
      <c r="Q478" s="14">
        <v>0</v>
      </c>
      <c r="R478" s="14">
        <v>0</v>
      </c>
      <c r="S478" s="14">
        <v>0</v>
      </c>
      <c r="T478" s="14">
        <v>0</v>
      </c>
      <c r="U478" s="14">
        <v>0</v>
      </c>
      <c r="V478" s="14">
        <v>0</v>
      </c>
      <c r="W478" s="14">
        <v>4</v>
      </c>
      <c r="X478" s="14">
        <v>0</v>
      </c>
      <c r="Y478" s="14">
        <v>0</v>
      </c>
      <c r="Z478" s="14">
        <v>0</v>
      </c>
      <c r="AA478" s="14">
        <v>0</v>
      </c>
      <c r="AB478" s="14">
        <v>1</v>
      </c>
      <c r="AC478" s="14">
        <v>0</v>
      </c>
      <c r="AD478" s="25">
        <v>0</v>
      </c>
      <c r="AE478" s="25">
        <v>0</v>
      </c>
      <c r="AF478" s="25">
        <v>0</v>
      </c>
      <c r="AG478" s="25">
        <v>0.579719388</v>
      </c>
      <c r="AH478" s="25">
        <v>0.59875</v>
      </c>
      <c r="AI478" s="14" t="s">
        <v>1212</v>
      </c>
      <c r="AJ478" s="14" t="s">
        <v>33</v>
      </c>
    </row>
    <row r="479" spans="1:36" x14ac:dyDescent="0.25">
      <c r="A479" s="1">
        <v>473</v>
      </c>
      <c r="B479" s="14" t="s">
        <v>1826</v>
      </c>
      <c r="C479" s="14" t="s">
        <v>1498</v>
      </c>
      <c r="D479" s="14" t="s">
        <v>1931</v>
      </c>
      <c r="E479" s="29" t="s">
        <v>1827</v>
      </c>
      <c r="F479" s="14">
        <v>308.488</v>
      </c>
      <c r="G479" s="14">
        <v>44.4</v>
      </c>
      <c r="H479" s="14">
        <v>0</v>
      </c>
      <c r="I479" s="14">
        <v>2</v>
      </c>
      <c r="J479" s="14">
        <v>0</v>
      </c>
      <c r="K479" s="14">
        <v>2</v>
      </c>
      <c r="L479" s="14">
        <v>0</v>
      </c>
      <c r="M479" s="14">
        <v>2</v>
      </c>
      <c r="N479" s="14">
        <v>13</v>
      </c>
      <c r="O479" s="14">
        <v>0</v>
      </c>
      <c r="P479" s="14">
        <v>0</v>
      </c>
      <c r="Q479" s="14">
        <v>0</v>
      </c>
      <c r="R479" s="14">
        <v>0</v>
      </c>
      <c r="S479" s="14">
        <v>0</v>
      </c>
      <c r="T479" s="14">
        <v>0</v>
      </c>
      <c r="U479" s="14">
        <v>1</v>
      </c>
      <c r="V479" s="14">
        <v>0</v>
      </c>
      <c r="W479" s="14">
        <v>4</v>
      </c>
      <c r="X479" s="14">
        <v>0</v>
      </c>
      <c r="Y479" s="14">
        <v>0</v>
      </c>
      <c r="Z479" s="14">
        <v>0</v>
      </c>
      <c r="AA479" s="14">
        <v>0</v>
      </c>
      <c r="AB479" s="14">
        <v>0</v>
      </c>
      <c r="AC479" s="14">
        <v>0</v>
      </c>
      <c r="AD479" s="25">
        <v>0</v>
      </c>
      <c r="AE479" s="25">
        <v>0</v>
      </c>
      <c r="AF479" s="25">
        <v>0</v>
      </c>
      <c r="AG479" s="25">
        <v>0.59919999999999995</v>
      </c>
      <c r="AH479" s="25">
        <v>0.61892361100000004</v>
      </c>
      <c r="AI479" s="14" t="s">
        <v>1571</v>
      </c>
      <c r="AJ479" s="14" t="s">
        <v>33</v>
      </c>
    </row>
    <row r="480" spans="1:36" x14ac:dyDescent="0.25">
      <c r="A480" s="1">
        <v>474</v>
      </c>
      <c r="B480" s="25" t="s">
        <v>570</v>
      </c>
      <c r="C480" s="25" t="s">
        <v>302</v>
      </c>
      <c r="D480" s="25" t="s">
        <v>12</v>
      </c>
      <c r="E480" s="25" t="s">
        <v>106</v>
      </c>
      <c r="F480" s="25">
        <v>224.42</v>
      </c>
      <c r="G480" s="25">
        <v>45</v>
      </c>
      <c r="H480" s="25">
        <v>0</v>
      </c>
      <c r="I480" s="25">
        <v>1</v>
      </c>
      <c r="J480" s="25">
        <v>0</v>
      </c>
      <c r="K480" s="25">
        <v>1</v>
      </c>
      <c r="L480" s="25">
        <v>0</v>
      </c>
      <c r="M480" s="25">
        <v>3</v>
      </c>
      <c r="N480" s="25">
        <v>11</v>
      </c>
      <c r="O480" s="25">
        <v>0</v>
      </c>
      <c r="P480" s="25">
        <v>0</v>
      </c>
      <c r="Q480" s="25">
        <v>0</v>
      </c>
      <c r="R480" s="25">
        <v>0</v>
      </c>
      <c r="S480" s="25">
        <v>0</v>
      </c>
      <c r="T480" s="25">
        <v>0</v>
      </c>
      <c r="U480" s="25">
        <v>0</v>
      </c>
      <c r="V480" s="25">
        <v>0</v>
      </c>
      <c r="W480" s="25">
        <v>1</v>
      </c>
      <c r="X480" s="25">
        <v>0</v>
      </c>
      <c r="Y480" s="25">
        <v>0</v>
      </c>
      <c r="Z480" s="25">
        <v>0</v>
      </c>
      <c r="AA480" s="25">
        <v>0</v>
      </c>
      <c r="AB480" s="25">
        <v>0</v>
      </c>
      <c r="AC480" s="25">
        <v>0</v>
      </c>
      <c r="AD480" s="25">
        <v>0</v>
      </c>
      <c r="AE480" s="25">
        <v>0</v>
      </c>
      <c r="AF480" s="25">
        <v>0</v>
      </c>
      <c r="AG480" s="25">
        <v>0.52249134900000005</v>
      </c>
      <c r="AH480" s="25">
        <v>0.546875</v>
      </c>
      <c r="AI480" s="25" t="s">
        <v>993</v>
      </c>
      <c r="AJ480" s="14" t="s">
        <v>33</v>
      </c>
    </row>
    <row r="481" spans="1:36" x14ac:dyDescent="0.25">
      <c r="A481" s="1">
        <v>475</v>
      </c>
      <c r="B481" s="25" t="s">
        <v>641</v>
      </c>
      <c r="C481" s="25" t="s">
        <v>418</v>
      </c>
      <c r="D481" s="25" t="s">
        <v>12</v>
      </c>
      <c r="E481" s="25" t="s">
        <v>49</v>
      </c>
      <c r="F481" s="25">
        <v>252.48</v>
      </c>
      <c r="G481" s="25">
        <v>45</v>
      </c>
      <c r="H481" s="25">
        <v>0</v>
      </c>
      <c r="I481" s="25">
        <v>1</v>
      </c>
      <c r="J481" s="25">
        <v>0</v>
      </c>
      <c r="K481" s="25">
        <v>1</v>
      </c>
      <c r="L481" s="25">
        <v>0</v>
      </c>
      <c r="M481" s="25">
        <v>3</v>
      </c>
      <c r="N481" s="25">
        <v>13</v>
      </c>
      <c r="O481" s="25">
        <v>0</v>
      </c>
      <c r="P481" s="25">
        <v>0</v>
      </c>
      <c r="Q481" s="25">
        <v>0</v>
      </c>
      <c r="R481" s="25">
        <v>0</v>
      </c>
      <c r="S481" s="25">
        <v>0</v>
      </c>
      <c r="T481" s="25">
        <v>0</v>
      </c>
      <c r="U481" s="25">
        <v>0</v>
      </c>
      <c r="V481" s="25">
        <v>0</v>
      </c>
      <c r="W481" s="25">
        <v>1</v>
      </c>
      <c r="X481" s="25">
        <v>0</v>
      </c>
      <c r="Y481" s="25">
        <v>0</v>
      </c>
      <c r="Z481" s="25">
        <v>0</v>
      </c>
      <c r="AA481" s="25">
        <v>0</v>
      </c>
      <c r="AB481" s="25">
        <v>0</v>
      </c>
      <c r="AC481" s="25">
        <v>0</v>
      </c>
      <c r="AD481" s="25">
        <v>0</v>
      </c>
      <c r="AE481" s="25">
        <v>0</v>
      </c>
      <c r="AF481" s="25">
        <v>0</v>
      </c>
      <c r="AG481" s="25">
        <v>0.58727810700000005</v>
      </c>
      <c r="AH481" s="25">
        <v>0.56327160499999995</v>
      </c>
      <c r="AI481" s="25" t="s">
        <v>1115</v>
      </c>
      <c r="AJ481" s="14" t="s">
        <v>33</v>
      </c>
    </row>
    <row r="482" spans="1:36" x14ac:dyDescent="0.25">
      <c r="A482" s="1">
        <v>477</v>
      </c>
      <c r="B482" s="14" t="s">
        <v>1352</v>
      </c>
      <c r="C482" s="14" t="s">
        <v>2097</v>
      </c>
      <c r="D482" s="14" t="s">
        <v>12</v>
      </c>
      <c r="E482" s="29" t="s">
        <v>106</v>
      </c>
      <c r="F482" s="14">
        <v>224.42587850000001</v>
      </c>
      <c r="G482" s="14">
        <v>45</v>
      </c>
      <c r="H482" s="14">
        <v>0</v>
      </c>
      <c r="I482" s="14">
        <v>1</v>
      </c>
      <c r="J482" s="14">
        <v>0</v>
      </c>
      <c r="K482" s="14">
        <v>1</v>
      </c>
      <c r="L482" s="14">
        <v>0</v>
      </c>
      <c r="M482" s="14">
        <v>3</v>
      </c>
      <c r="N482" s="14">
        <v>11</v>
      </c>
      <c r="O482" s="14">
        <v>0</v>
      </c>
      <c r="P482" s="14">
        <v>0</v>
      </c>
      <c r="Q482" s="14">
        <v>0</v>
      </c>
      <c r="R482" s="14">
        <v>0</v>
      </c>
      <c r="S482" s="14">
        <v>0</v>
      </c>
      <c r="T482" s="14">
        <v>0</v>
      </c>
      <c r="U482" s="14">
        <v>0</v>
      </c>
      <c r="V482" s="14">
        <v>0</v>
      </c>
      <c r="W482" s="14">
        <v>1</v>
      </c>
      <c r="X482" s="14">
        <v>0</v>
      </c>
      <c r="Y482" s="14">
        <v>0</v>
      </c>
      <c r="Z482" s="14">
        <v>0</v>
      </c>
      <c r="AA482" s="14">
        <v>0</v>
      </c>
      <c r="AB482" s="14">
        <v>0</v>
      </c>
      <c r="AC482" s="14">
        <v>0</v>
      </c>
      <c r="AD482" s="25">
        <v>0</v>
      </c>
      <c r="AE482" s="25">
        <v>0</v>
      </c>
      <c r="AF482" s="25">
        <v>0</v>
      </c>
      <c r="AG482" s="25">
        <v>0.50925925900000002</v>
      </c>
      <c r="AH482" s="25">
        <v>0.546875</v>
      </c>
      <c r="AI482" s="14" t="s">
        <v>1306</v>
      </c>
      <c r="AJ482" s="14" t="s">
        <v>33</v>
      </c>
    </row>
    <row r="483" spans="1:36" x14ac:dyDescent="0.25">
      <c r="A483" s="1">
        <v>478</v>
      </c>
      <c r="B483" s="25" t="s">
        <v>1353</v>
      </c>
      <c r="C483" s="25" t="s">
        <v>2098</v>
      </c>
      <c r="D483" s="25" t="s">
        <v>12</v>
      </c>
      <c r="E483" s="25" t="s">
        <v>106</v>
      </c>
      <c r="F483" s="25">
        <v>224.42587850000001</v>
      </c>
      <c r="G483" s="25">
        <v>45</v>
      </c>
      <c r="H483" s="25">
        <v>0</v>
      </c>
      <c r="I483" s="25">
        <v>1</v>
      </c>
      <c r="J483" s="25">
        <v>0</v>
      </c>
      <c r="K483" s="25">
        <v>1</v>
      </c>
      <c r="L483" s="25">
        <v>0</v>
      </c>
      <c r="M483" s="25">
        <v>3</v>
      </c>
      <c r="N483" s="25">
        <v>11</v>
      </c>
      <c r="O483" s="25">
        <v>0</v>
      </c>
      <c r="P483" s="25">
        <v>0</v>
      </c>
      <c r="Q483" s="25">
        <v>0</v>
      </c>
      <c r="R483" s="25">
        <v>0</v>
      </c>
      <c r="S483" s="25">
        <v>0</v>
      </c>
      <c r="T483" s="25">
        <v>0</v>
      </c>
      <c r="U483" s="25">
        <v>0</v>
      </c>
      <c r="V483" s="25">
        <v>0</v>
      </c>
      <c r="W483" s="25">
        <v>1</v>
      </c>
      <c r="X483" s="25">
        <v>0</v>
      </c>
      <c r="Y483" s="25">
        <v>0</v>
      </c>
      <c r="Z483" s="25">
        <v>0</v>
      </c>
      <c r="AA483" s="25">
        <v>0</v>
      </c>
      <c r="AB483" s="25">
        <v>0</v>
      </c>
      <c r="AC483" s="25">
        <v>0</v>
      </c>
      <c r="AD483" s="25">
        <v>0</v>
      </c>
      <c r="AE483" s="25">
        <v>0</v>
      </c>
      <c r="AF483" s="25">
        <v>0</v>
      </c>
      <c r="AG483" s="25">
        <v>0.54296875</v>
      </c>
      <c r="AH483" s="25">
        <v>0.546875</v>
      </c>
      <c r="AI483" s="25" t="s">
        <v>1306</v>
      </c>
      <c r="AJ483" s="14" t="s">
        <v>33</v>
      </c>
    </row>
    <row r="484" spans="1:36" x14ac:dyDescent="0.25">
      <c r="A484" s="1">
        <v>479</v>
      </c>
      <c r="B484" s="25" t="s">
        <v>1354</v>
      </c>
      <c r="C484" s="25" t="s">
        <v>2099</v>
      </c>
      <c r="D484" s="25" t="s">
        <v>12</v>
      </c>
      <c r="E484" s="25" t="s">
        <v>106</v>
      </c>
      <c r="F484" s="25">
        <v>224.42587850000001</v>
      </c>
      <c r="G484" s="25">
        <v>45</v>
      </c>
      <c r="H484" s="25">
        <v>0</v>
      </c>
      <c r="I484" s="25">
        <v>1</v>
      </c>
      <c r="J484" s="25">
        <v>0</v>
      </c>
      <c r="K484" s="25">
        <v>1</v>
      </c>
      <c r="L484" s="25">
        <v>0</v>
      </c>
      <c r="M484" s="25">
        <v>3</v>
      </c>
      <c r="N484" s="25">
        <v>11</v>
      </c>
      <c r="O484" s="25">
        <v>0</v>
      </c>
      <c r="P484" s="25">
        <v>0</v>
      </c>
      <c r="Q484" s="25">
        <v>0</v>
      </c>
      <c r="R484" s="25">
        <v>0</v>
      </c>
      <c r="S484" s="25">
        <v>0</v>
      </c>
      <c r="T484" s="25">
        <v>0</v>
      </c>
      <c r="U484" s="25">
        <v>0</v>
      </c>
      <c r="V484" s="25">
        <v>0</v>
      </c>
      <c r="W484" s="25">
        <v>1</v>
      </c>
      <c r="X484" s="25">
        <v>0</v>
      </c>
      <c r="Y484" s="25">
        <v>0</v>
      </c>
      <c r="Z484" s="25">
        <v>0</v>
      </c>
      <c r="AA484" s="25">
        <v>0</v>
      </c>
      <c r="AB484" s="25">
        <v>0</v>
      </c>
      <c r="AC484" s="25">
        <v>0</v>
      </c>
      <c r="AD484" s="25">
        <v>0</v>
      </c>
      <c r="AE484" s="25">
        <v>0</v>
      </c>
      <c r="AF484" s="25">
        <v>0</v>
      </c>
      <c r="AG484" s="25">
        <v>0.54296875</v>
      </c>
      <c r="AH484" s="25">
        <v>0.546875</v>
      </c>
      <c r="AI484" s="25" t="s">
        <v>1306</v>
      </c>
      <c r="AJ484" s="14" t="s">
        <v>33</v>
      </c>
    </row>
    <row r="485" spans="1:36" x14ac:dyDescent="0.25">
      <c r="A485" s="1">
        <v>482</v>
      </c>
      <c r="B485" s="25" t="s">
        <v>686</v>
      </c>
      <c r="C485" s="25" t="s">
        <v>246</v>
      </c>
      <c r="D485" s="25" t="s">
        <v>16</v>
      </c>
      <c r="E485" s="25" t="s">
        <v>54</v>
      </c>
      <c r="F485" s="25">
        <v>112.21</v>
      </c>
      <c r="G485" s="25">
        <v>45</v>
      </c>
      <c r="H485" s="25">
        <v>0</v>
      </c>
      <c r="I485" s="25">
        <v>0</v>
      </c>
      <c r="J485" s="25">
        <v>0</v>
      </c>
      <c r="K485" s="25">
        <v>0</v>
      </c>
      <c r="L485" s="25">
        <v>0</v>
      </c>
      <c r="M485" s="25">
        <v>1</v>
      </c>
      <c r="N485" s="25">
        <v>1</v>
      </c>
      <c r="O485" s="25">
        <v>0</v>
      </c>
      <c r="P485" s="25">
        <v>0</v>
      </c>
      <c r="Q485" s="25">
        <v>0</v>
      </c>
      <c r="R485" s="25">
        <v>0</v>
      </c>
      <c r="S485" s="25">
        <v>0</v>
      </c>
      <c r="T485" s="25">
        <v>0</v>
      </c>
      <c r="U485" s="25">
        <v>0</v>
      </c>
      <c r="V485" s="25">
        <v>0</v>
      </c>
      <c r="W485" s="25">
        <v>0</v>
      </c>
      <c r="X485" s="25">
        <v>0</v>
      </c>
      <c r="Y485" s="25">
        <v>0</v>
      </c>
      <c r="Z485" s="25">
        <v>1</v>
      </c>
      <c r="AA485" s="25">
        <v>5</v>
      </c>
      <c r="AB485" s="25">
        <v>0</v>
      </c>
      <c r="AC485" s="25">
        <v>0</v>
      </c>
      <c r="AD485" s="25">
        <v>0</v>
      </c>
      <c r="AE485" s="25">
        <v>0</v>
      </c>
      <c r="AF485" s="25">
        <v>0</v>
      </c>
      <c r="AG485" s="25">
        <v>0.24556212999999999</v>
      </c>
      <c r="AH485" s="25">
        <v>0.28125</v>
      </c>
      <c r="AI485" s="25" t="s">
        <v>929</v>
      </c>
      <c r="AJ485" s="14" t="s">
        <v>33</v>
      </c>
    </row>
    <row r="486" spans="1:36" x14ac:dyDescent="0.25">
      <c r="A486" s="1">
        <v>483</v>
      </c>
      <c r="B486" s="14" t="s">
        <v>911</v>
      </c>
      <c r="C486" s="14" t="s">
        <v>493</v>
      </c>
      <c r="D486" s="14" t="s">
        <v>16</v>
      </c>
      <c r="E486" s="29" t="s">
        <v>46</v>
      </c>
      <c r="F486" s="14">
        <v>302.54000000000002</v>
      </c>
      <c r="G486" s="14">
        <v>45</v>
      </c>
      <c r="H486" s="14">
        <v>0</v>
      </c>
      <c r="I486" s="14">
        <v>0</v>
      </c>
      <c r="J486" s="14">
        <v>0</v>
      </c>
      <c r="K486" s="14">
        <v>0</v>
      </c>
      <c r="L486" s="14">
        <v>1</v>
      </c>
      <c r="M486" s="14">
        <v>3</v>
      </c>
      <c r="N486" s="14">
        <v>12</v>
      </c>
      <c r="O486" s="14">
        <v>0</v>
      </c>
      <c r="P486" s="14">
        <v>0</v>
      </c>
      <c r="Q486" s="14">
        <v>0</v>
      </c>
      <c r="R486" s="14">
        <v>0</v>
      </c>
      <c r="S486" s="14">
        <v>0</v>
      </c>
      <c r="T486" s="14">
        <v>0</v>
      </c>
      <c r="U486" s="14">
        <v>0</v>
      </c>
      <c r="V486" s="14">
        <v>0</v>
      </c>
      <c r="W486" s="14">
        <v>0</v>
      </c>
      <c r="X486" s="14">
        <v>0</v>
      </c>
      <c r="Y486" s="14">
        <v>0</v>
      </c>
      <c r="Z486" s="14">
        <v>1</v>
      </c>
      <c r="AA486" s="14">
        <v>5</v>
      </c>
      <c r="AB486" s="14">
        <v>0</v>
      </c>
      <c r="AC486" s="14">
        <v>0</v>
      </c>
      <c r="AD486" s="25">
        <v>0</v>
      </c>
      <c r="AE486" s="25">
        <v>0</v>
      </c>
      <c r="AF486" s="25">
        <v>0</v>
      </c>
      <c r="AG486" s="25">
        <v>0.61833333300000004</v>
      </c>
      <c r="AH486" s="25">
        <v>0.61053718999999995</v>
      </c>
      <c r="AI486" s="14" t="s">
        <v>2100</v>
      </c>
      <c r="AJ486" s="14" t="s">
        <v>33</v>
      </c>
    </row>
    <row r="487" spans="1:36" x14ac:dyDescent="0.25">
      <c r="A487" s="1">
        <v>486</v>
      </c>
      <c r="B487" s="14" t="s">
        <v>737</v>
      </c>
      <c r="C487" s="14" t="s">
        <v>441</v>
      </c>
      <c r="D487" s="14" t="s">
        <v>19</v>
      </c>
      <c r="E487" s="29" t="s">
        <v>90</v>
      </c>
      <c r="F487" s="14">
        <v>114.23</v>
      </c>
      <c r="G487" s="14">
        <v>45</v>
      </c>
      <c r="H487" s="14">
        <v>0</v>
      </c>
      <c r="I487" s="14">
        <v>0</v>
      </c>
      <c r="J487" s="14">
        <v>0</v>
      </c>
      <c r="K487" s="14">
        <v>0</v>
      </c>
      <c r="L487" s="14">
        <v>0</v>
      </c>
      <c r="M487" s="14">
        <v>3</v>
      </c>
      <c r="N487" s="14">
        <v>4</v>
      </c>
      <c r="O487" s="14">
        <v>0</v>
      </c>
      <c r="P487" s="14">
        <v>0</v>
      </c>
      <c r="Q487" s="14">
        <v>0</v>
      </c>
      <c r="R487" s="14">
        <v>0</v>
      </c>
      <c r="S487" s="14">
        <v>0</v>
      </c>
      <c r="T487" s="14">
        <v>0</v>
      </c>
      <c r="U487" s="14">
        <v>0</v>
      </c>
      <c r="V487" s="14">
        <v>1</v>
      </c>
      <c r="W487" s="14">
        <v>0</v>
      </c>
      <c r="X487" s="14">
        <v>0</v>
      </c>
      <c r="Y487" s="14">
        <v>0</v>
      </c>
      <c r="Z487" s="14">
        <v>0</v>
      </c>
      <c r="AA487" s="14">
        <v>0</v>
      </c>
      <c r="AB487" s="14">
        <v>0</v>
      </c>
      <c r="AC487" s="14">
        <v>0</v>
      </c>
      <c r="AD487" s="25">
        <v>0</v>
      </c>
      <c r="AE487" s="25">
        <v>0</v>
      </c>
      <c r="AF487" s="25">
        <v>0</v>
      </c>
      <c r="AG487" s="25">
        <v>0.375</v>
      </c>
      <c r="AH487" s="25">
        <v>0.35714285699999998</v>
      </c>
      <c r="AI487" s="14" t="s">
        <v>1137</v>
      </c>
      <c r="AJ487" s="14" t="s">
        <v>33</v>
      </c>
    </row>
    <row r="488" spans="1:36" x14ac:dyDescent="0.25">
      <c r="A488" s="1">
        <v>487</v>
      </c>
      <c r="B488" s="14" t="s">
        <v>1603</v>
      </c>
      <c r="C488" s="14" t="s">
        <v>1386</v>
      </c>
      <c r="D488" s="14" t="s">
        <v>19</v>
      </c>
      <c r="E488" s="29" t="s">
        <v>1604</v>
      </c>
      <c r="F488" s="14">
        <v>226.43199999999999</v>
      </c>
      <c r="G488" s="14">
        <v>45</v>
      </c>
      <c r="H488" s="14">
        <v>0</v>
      </c>
      <c r="I488" s="14">
        <v>0</v>
      </c>
      <c r="J488" s="14">
        <v>0</v>
      </c>
      <c r="K488" s="14">
        <v>0</v>
      </c>
      <c r="L488" s="14">
        <v>0</v>
      </c>
      <c r="M488" s="14">
        <v>3</v>
      </c>
      <c r="N488" s="14">
        <v>12</v>
      </c>
      <c r="O488" s="14">
        <v>0</v>
      </c>
      <c r="P488" s="14">
        <v>0</v>
      </c>
      <c r="Q488" s="14">
        <v>0</v>
      </c>
      <c r="R488" s="14">
        <v>0</v>
      </c>
      <c r="S488" s="14">
        <v>0</v>
      </c>
      <c r="T488" s="14">
        <v>0</v>
      </c>
      <c r="U488" s="14">
        <v>0</v>
      </c>
      <c r="V488" s="14">
        <v>1</v>
      </c>
      <c r="W488" s="14">
        <v>0</v>
      </c>
      <c r="X488" s="14">
        <v>0</v>
      </c>
      <c r="Y488" s="14">
        <v>0</v>
      </c>
      <c r="Z488" s="14">
        <v>0</v>
      </c>
      <c r="AA488" s="14">
        <v>0</v>
      </c>
      <c r="AB488" s="14">
        <v>0</v>
      </c>
      <c r="AC488" s="14">
        <v>0</v>
      </c>
      <c r="AD488" s="25">
        <v>0</v>
      </c>
      <c r="AE488" s="25">
        <v>0</v>
      </c>
      <c r="AF488" s="25">
        <v>0</v>
      </c>
      <c r="AG488" s="25">
        <v>0.517578125</v>
      </c>
      <c r="AH488" s="25">
        <v>0.546666667</v>
      </c>
      <c r="AI488" s="14" t="s">
        <v>1571</v>
      </c>
      <c r="AJ488" s="14" t="s">
        <v>33</v>
      </c>
    </row>
    <row r="489" spans="1:36" x14ac:dyDescent="0.25">
      <c r="A489" s="1">
        <v>490</v>
      </c>
      <c r="B489" s="25" t="s">
        <v>603</v>
      </c>
      <c r="C489" s="25" t="s">
        <v>1491</v>
      </c>
      <c r="D489" s="25" t="s">
        <v>1931</v>
      </c>
      <c r="E489" s="25" t="s">
        <v>115</v>
      </c>
      <c r="F489" s="25">
        <v>292.44600000000003</v>
      </c>
      <c r="G489" s="25">
        <v>45.9</v>
      </c>
      <c r="H489" s="25">
        <v>0</v>
      </c>
      <c r="I489" s="25">
        <v>3</v>
      </c>
      <c r="J489" s="25">
        <v>0</v>
      </c>
      <c r="K489" s="25">
        <v>3</v>
      </c>
      <c r="L489" s="25">
        <v>0</v>
      </c>
      <c r="M489" s="25">
        <v>2</v>
      </c>
      <c r="N489" s="25">
        <v>10</v>
      </c>
      <c r="O489" s="25">
        <v>0</v>
      </c>
      <c r="P489" s="25">
        <v>0</v>
      </c>
      <c r="Q489" s="25">
        <v>0</v>
      </c>
      <c r="R489" s="25">
        <v>0</v>
      </c>
      <c r="S489" s="25">
        <v>0</v>
      </c>
      <c r="T489" s="25">
        <v>0</v>
      </c>
      <c r="U489" s="25">
        <v>1</v>
      </c>
      <c r="V489" s="25">
        <v>0</v>
      </c>
      <c r="W489" s="25">
        <v>6</v>
      </c>
      <c r="X489" s="25">
        <v>0</v>
      </c>
      <c r="Y489" s="25">
        <v>0</v>
      </c>
      <c r="Z489" s="25">
        <v>0</v>
      </c>
      <c r="AA489" s="25">
        <v>0</v>
      </c>
      <c r="AB489" s="25">
        <v>0</v>
      </c>
      <c r="AC489" s="25">
        <v>0</v>
      </c>
      <c r="AD489" s="25">
        <v>0</v>
      </c>
      <c r="AE489" s="25">
        <v>0</v>
      </c>
      <c r="AF489" s="25">
        <v>0</v>
      </c>
      <c r="AG489" s="25">
        <v>0.59716796900000002</v>
      </c>
      <c r="AH489" s="25">
        <v>0.6328125</v>
      </c>
      <c r="AI489" s="25" t="s">
        <v>1571</v>
      </c>
      <c r="AJ489" s="14" t="s">
        <v>33</v>
      </c>
    </row>
    <row r="490" spans="1:36" x14ac:dyDescent="0.25">
      <c r="A490" s="1">
        <v>492</v>
      </c>
      <c r="B490" s="14" t="s">
        <v>1719</v>
      </c>
      <c r="C490" s="14" t="s">
        <v>1447</v>
      </c>
      <c r="D490" s="14" t="s">
        <v>10</v>
      </c>
      <c r="E490" s="29" t="s">
        <v>1720</v>
      </c>
      <c r="F490" s="14">
        <v>240.416</v>
      </c>
      <c r="G490" s="14">
        <v>46</v>
      </c>
      <c r="H490" s="14">
        <v>0</v>
      </c>
      <c r="I490" s="14">
        <v>1</v>
      </c>
      <c r="J490" s="14">
        <v>0</v>
      </c>
      <c r="K490" s="14">
        <v>1</v>
      </c>
      <c r="L490" s="14">
        <v>0</v>
      </c>
      <c r="M490" s="14">
        <v>1</v>
      </c>
      <c r="N490" s="14">
        <v>13</v>
      </c>
      <c r="O490" s="14">
        <v>1</v>
      </c>
      <c r="P490" s="14">
        <v>0</v>
      </c>
      <c r="Q490" s="14">
        <v>0</v>
      </c>
      <c r="R490" s="14">
        <v>0</v>
      </c>
      <c r="S490" s="14">
        <v>0</v>
      </c>
      <c r="T490" s="14">
        <v>0</v>
      </c>
      <c r="U490" s="14">
        <v>0</v>
      </c>
      <c r="V490" s="14">
        <v>0</v>
      </c>
      <c r="W490" s="14">
        <v>2</v>
      </c>
      <c r="X490" s="14">
        <v>0</v>
      </c>
      <c r="Y490" s="14">
        <v>0</v>
      </c>
      <c r="Z490" s="14">
        <v>0</v>
      </c>
      <c r="AA490" s="14">
        <v>0</v>
      </c>
      <c r="AB490" s="14">
        <v>1</v>
      </c>
      <c r="AC490" s="14">
        <v>0</v>
      </c>
      <c r="AD490" s="25">
        <v>0</v>
      </c>
      <c r="AE490" s="25">
        <v>0</v>
      </c>
      <c r="AF490" s="25">
        <v>0</v>
      </c>
      <c r="AG490" s="25">
        <v>0.54783950599999998</v>
      </c>
      <c r="AH490" s="25">
        <v>0.56920415199999996</v>
      </c>
      <c r="AI490" s="14" t="s">
        <v>1571</v>
      </c>
      <c r="AJ490" s="14" t="s">
        <v>33</v>
      </c>
    </row>
    <row r="491" spans="1:36" x14ac:dyDescent="0.25">
      <c r="A491" s="1">
        <v>493</v>
      </c>
      <c r="B491" s="25" t="s">
        <v>1923</v>
      </c>
      <c r="C491" s="25" t="s">
        <v>2101</v>
      </c>
      <c r="D491" s="25" t="s">
        <v>1537</v>
      </c>
      <c r="E491" s="25" t="s">
        <v>133</v>
      </c>
      <c r="F491" s="25">
        <v>282.452</v>
      </c>
      <c r="G491" s="25">
        <v>46</v>
      </c>
      <c r="H491" s="25">
        <v>0</v>
      </c>
      <c r="I491" s="25">
        <v>1</v>
      </c>
      <c r="J491" s="25">
        <v>0</v>
      </c>
      <c r="K491" s="25">
        <v>1</v>
      </c>
      <c r="L491" s="25">
        <v>0</v>
      </c>
      <c r="M491" s="25">
        <v>1</v>
      </c>
      <c r="N491" s="25">
        <v>14</v>
      </c>
      <c r="O491" s="25">
        <v>0</v>
      </c>
      <c r="P491" s="25">
        <v>0</v>
      </c>
      <c r="Q491" s="25">
        <v>0</v>
      </c>
      <c r="R491" s="25">
        <v>0</v>
      </c>
      <c r="S491" s="25">
        <v>0</v>
      </c>
      <c r="T491" s="25">
        <v>0</v>
      </c>
      <c r="U491" s="25">
        <v>0</v>
      </c>
      <c r="V491" s="25">
        <v>0</v>
      </c>
      <c r="W491" s="25">
        <v>2</v>
      </c>
      <c r="X491" s="25">
        <v>0</v>
      </c>
      <c r="Y491" s="25">
        <v>0</v>
      </c>
      <c r="Z491" s="25">
        <v>0</v>
      </c>
      <c r="AA491" s="25">
        <v>0</v>
      </c>
      <c r="AB491" s="25">
        <v>0</v>
      </c>
      <c r="AC491" s="25">
        <v>0</v>
      </c>
      <c r="AD491" s="25">
        <v>0</v>
      </c>
      <c r="AE491" s="25">
        <v>0</v>
      </c>
      <c r="AF491" s="25">
        <v>1</v>
      </c>
      <c r="AG491" s="25">
        <v>0.60430839000000003</v>
      </c>
      <c r="AH491" s="25">
        <v>0.60657596400000002</v>
      </c>
      <c r="AI491" s="25" t="s">
        <v>1571</v>
      </c>
      <c r="AJ491" s="14" t="s">
        <v>33</v>
      </c>
    </row>
    <row r="492" spans="1:36" x14ac:dyDescent="0.25">
      <c r="A492" s="1">
        <v>494</v>
      </c>
      <c r="B492" s="25" t="s">
        <v>1291</v>
      </c>
      <c r="C492" s="25" t="s">
        <v>2102</v>
      </c>
      <c r="D492" s="25" t="s">
        <v>17</v>
      </c>
      <c r="E492" s="25" t="s">
        <v>133</v>
      </c>
      <c r="F492" s="25">
        <v>282.46204160000002</v>
      </c>
      <c r="G492" s="25">
        <v>46.1</v>
      </c>
      <c r="H492" s="25">
        <v>0</v>
      </c>
      <c r="I492" s="25">
        <v>1</v>
      </c>
      <c r="J492" s="25">
        <v>0</v>
      </c>
      <c r="K492" s="25">
        <v>1</v>
      </c>
      <c r="L492" s="25">
        <v>0</v>
      </c>
      <c r="M492" s="25">
        <v>1</v>
      </c>
      <c r="N492" s="25">
        <v>14</v>
      </c>
      <c r="O492" s="25">
        <v>0</v>
      </c>
      <c r="P492" s="25">
        <v>0</v>
      </c>
      <c r="Q492" s="25">
        <v>0</v>
      </c>
      <c r="R492" s="25">
        <v>0</v>
      </c>
      <c r="S492" s="25">
        <v>0</v>
      </c>
      <c r="T492" s="25">
        <v>0</v>
      </c>
      <c r="U492" s="25">
        <v>0</v>
      </c>
      <c r="V492" s="25">
        <v>0</v>
      </c>
      <c r="W492" s="25">
        <v>2</v>
      </c>
      <c r="X492" s="25">
        <v>0</v>
      </c>
      <c r="Y492" s="25">
        <v>0</v>
      </c>
      <c r="Z492" s="25">
        <v>0</v>
      </c>
      <c r="AA492" s="25">
        <v>0</v>
      </c>
      <c r="AB492" s="25">
        <v>0</v>
      </c>
      <c r="AC492" s="25">
        <v>0</v>
      </c>
      <c r="AD492" s="25">
        <v>0</v>
      </c>
      <c r="AE492" s="25">
        <v>0</v>
      </c>
      <c r="AF492" s="25">
        <v>1</v>
      </c>
      <c r="AG492" s="25">
        <v>0.56805293000000001</v>
      </c>
      <c r="AH492" s="25">
        <v>0.59977324300000001</v>
      </c>
      <c r="AI492" s="25" t="s">
        <v>1306</v>
      </c>
      <c r="AJ492" s="14" t="s">
        <v>33</v>
      </c>
    </row>
    <row r="493" spans="1:36" x14ac:dyDescent="0.25">
      <c r="A493" s="1">
        <v>495</v>
      </c>
      <c r="B493" s="14" t="s">
        <v>846</v>
      </c>
      <c r="C493" s="14" t="s">
        <v>318</v>
      </c>
      <c r="D493" s="14" t="s">
        <v>20</v>
      </c>
      <c r="E493" s="29" t="s">
        <v>122</v>
      </c>
      <c r="F493" s="14">
        <v>142.24</v>
      </c>
      <c r="G493" s="14">
        <v>46.1</v>
      </c>
      <c r="H493" s="14">
        <v>0</v>
      </c>
      <c r="I493" s="14">
        <v>0</v>
      </c>
      <c r="J493" s="14">
        <v>0</v>
      </c>
      <c r="K493" s="14">
        <v>0</v>
      </c>
      <c r="L493" s="14">
        <v>0</v>
      </c>
      <c r="M493" s="14">
        <v>2</v>
      </c>
      <c r="N493" s="14">
        <v>6</v>
      </c>
      <c r="O493" s="14">
        <v>0</v>
      </c>
      <c r="P493" s="14">
        <v>0</v>
      </c>
      <c r="Q493" s="14">
        <v>0</v>
      </c>
      <c r="R493" s="14">
        <v>1</v>
      </c>
      <c r="S493" s="14">
        <v>0</v>
      </c>
      <c r="T493" s="14">
        <v>0</v>
      </c>
      <c r="U493" s="14">
        <v>0</v>
      </c>
      <c r="V493" s="14">
        <v>0</v>
      </c>
      <c r="W493" s="14">
        <v>0</v>
      </c>
      <c r="X493" s="14">
        <v>0</v>
      </c>
      <c r="Y493" s="14">
        <v>0</v>
      </c>
      <c r="Z493" s="14">
        <v>0</v>
      </c>
      <c r="AA493" s="14">
        <v>0</v>
      </c>
      <c r="AB493" s="14">
        <v>0</v>
      </c>
      <c r="AC493" s="14">
        <v>0</v>
      </c>
      <c r="AD493" s="25">
        <v>0</v>
      </c>
      <c r="AE493" s="25">
        <v>0</v>
      </c>
      <c r="AF493" s="25">
        <v>0</v>
      </c>
      <c r="AG493" s="25">
        <v>0.41319444399999999</v>
      </c>
      <c r="AH493" s="25">
        <v>0.46500000000000002</v>
      </c>
      <c r="AI493" s="14" t="s">
        <v>1009</v>
      </c>
      <c r="AJ493" s="14" t="s">
        <v>33</v>
      </c>
    </row>
    <row r="494" spans="1:36" x14ac:dyDescent="0.25">
      <c r="A494" s="1">
        <v>496</v>
      </c>
      <c r="B494" s="25" t="s">
        <v>1748</v>
      </c>
      <c r="C494" s="25" t="s">
        <v>1464</v>
      </c>
      <c r="D494" s="25" t="s">
        <v>20</v>
      </c>
      <c r="E494" s="25" t="s">
        <v>122</v>
      </c>
      <c r="F494" s="25">
        <v>142.23400000000001</v>
      </c>
      <c r="G494" s="25">
        <v>46.1</v>
      </c>
      <c r="H494" s="25">
        <v>0</v>
      </c>
      <c r="I494" s="25">
        <v>0</v>
      </c>
      <c r="J494" s="25">
        <v>0</v>
      </c>
      <c r="K494" s="25">
        <v>0</v>
      </c>
      <c r="L494" s="25">
        <v>0</v>
      </c>
      <c r="M494" s="25">
        <v>2</v>
      </c>
      <c r="N494" s="25">
        <v>6</v>
      </c>
      <c r="O494" s="25">
        <v>0</v>
      </c>
      <c r="P494" s="25">
        <v>0</v>
      </c>
      <c r="Q494" s="25">
        <v>0</v>
      </c>
      <c r="R494" s="25">
        <v>1</v>
      </c>
      <c r="S494" s="25">
        <v>0</v>
      </c>
      <c r="T494" s="25">
        <v>0</v>
      </c>
      <c r="U494" s="25">
        <v>0</v>
      </c>
      <c r="V494" s="25">
        <v>0</v>
      </c>
      <c r="W494" s="25">
        <v>0</v>
      </c>
      <c r="X494" s="25">
        <v>0</v>
      </c>
      <c r="Y494" s="25">
        <v>0</v>
      </c>
      <c r="Z494" s="25">
        <v>0</v>
      </c>
      <c r="AA494" s="25">
        <v>0</v>
      </c>
      <c r="AB494" s="25">
        <v>0</v>
      </c>
      <c r="AC494" s="25">
        <v>0</v>
      </c>
      <c r="AD494" s="25">
        <v>0</v>
      </c>
      <c r="AE494" s="25">
        <v>0</v>
      </c>
      <c r="AF494" s="25">
        <v>0</v>
      </c>
      <c r="AG494" s="25">
        <v>0.45500000000000002</v>
      </c>
      <c r="AH494" s="25">
        <v>0.46500000000000002</v>
      </c>
      <c r="AI494" s="25" t="s">
        <v>1571</v>
      </c>
      <c r="AJ494" s="14" t="s">
        <v>33</v>
      </c>
    </row>
    <row r="495" spans="1:36" x14ac:dyDescent="0.25">
      <c r="A495" s="1">
        <v>497</v>
      </c>
      <c r="B495" s="25" t="s">
        <v>772</v>
      </c>
      <c r="C495" s="25" t="s">
        <v>339</v>
      </c>
      <c r="D495" s="25" t="s">
        <v>21</v>
      </c>
      <c r="E495" s="25" t="s">
        <v>133</v>
      </c>
      <c r="F495" s="25">
        <v>282.45999999999998</v>
      </c>
      <c r="G495" s="25">
        <v>46.1</v>
      </c>
      <c r="H495" s="25">
        <v>0</v>
      </c>
      <c r="I495" s="25">
        <v>1</v>
      </c>
      <c r="J495" s="25">
        <v>0</v>
      </c>
      <c r="K495" s="25">
        <v>1</v>
      </c>
      <c r="L495" s="25">
        <v>0</v>
      </c>
      <c r="M495" s="25">
        <v>1</v>
      </c>
      <c r="N495" s="25">
        <v>14</v>
      </c>
      <c r="O495" s="25">
        <v>0</v>
      </c>
      <c r="P495" s="25">
        <v>0</v>
      </c>
      <c r="Q495" s="25">
        <v>0</v>
      </c>
      <c r="R495" s="25">
        <v>0</v>
      </c>
      <c r="S495" s="25">
        <v>0</v>
      </c>
      <c r="T495" s="25">
        <v>0</v>
      </c>
      <c r="U495" s="25">
        <v>0</v>
      </c>
      <c r="V495" s="25">
        <v>0</v>
      </c>
      <c r="W495" s="25">
        <v>2</v>
      </c>
      <c r="X495" s="25">
        <v>0</v>
      </c>
      <c r="Y495" s="25">
        <v>0</v>
      </c>
      <c r="Z495" s="25">
        <v>0</v>
      </c>
      <c r="AA495" s="25">
        <v>0</v>
      </c>
      <c r="AB495" s="25">
        <v>0</v>
      </c>
      <c r="AC495" s="25">
        <v>0</v>
      </c>
      <c r="AD495" s="25">
        <v>0</v>
      </c>
      <c r="AE495" s="25">
        <v>0</v>
      </c>
      <c r="AF495" s="25">
        <v>1</v>
      </c>
      <c r="AG495" s="25">
        <v>0.56805293000000001</v>
      </c>
      <c r="AH495" s="25">
        <v>0.60430839000000003</v>
      </c>
      <c r="AI495" s="25" t="s">
        <v>1031</v>
      </c>
      <c r="AJ495" s="14" t="s">
        <v>33</v>
      </c>
    </row>
    <row r="496" spans="1:36" x14ac:dyDescent="0.25">
      <c r="A496" s="1">
        <v>498</v>
      </c>
      <c r="B496" s="14" t="s">
        <v>1703</v>
      </c>
      <c r="C496" s="14" t="s">
        <v>1438</v>
      </c>
      <c r="D496" s="14" t="s">
        <v>10</v>
      </c>
      <c r="E496" s="29" t="s">
        <v>177</v>
      </c>
      <c r="F496" s="14">
        <v>144.25</v>
      </c>
      <c r="G496" s="14">
        <v>46.2</v>
      </c>
      <c r="H496" s="14">
        <v>0</v>
      </c>
      <c r="I496" s="14">
        <v>0</v>
      </c>
      <c r="J496" s="14">
        <v>0</v>
      </c>
      <c r="K496" s="14">
        <v>0</v>
      </c>
      <c r="L496" s="14">
        <v>0</v>
      </c>
      <c r="M496" s="14">
        <v>1</v>
      </c>
      <c r="N496" s="14">
        <v>8</v>
      </c>
      <c r="O496" s="14">
        <v>1</v>
      </c>
      <c r="P496" s="14">
        <v>0</v>
      </c>
      <c r="Q496" s="14">
        <v>0</v>
      </c>
      <c r="R496" s="14">
        <v>0</v>
      </c>
      <c r="S496" s="14">
        <v>0</v>
      </c>
      <c r="T496" s="14">
        <v>0</v>
      </c>
      <c r="U496" s="14">
        <v>0</v>
      </c>
      <c r="V496" s="14">
        <v>0</v>
      </c>
      <c r="W496" s="14">
        <v>0</v>
      </c>
      <c r="X496" s="14">
        <v>0</v>
      </c>
      <c r="Y496" s="14">
        <v>0</v>
      </c>
      <c r="Z496" s="14">
        <v>0</v>
      </c>
      <c r="AA496" s="14">
        <v>0</v>
      </c>
      <c r="AB496" s="14">
        <v>1</v>
      </c>
      <c r="AC496" s="14">
        <v>0</v>
      </c>
      <c r="AD496" s="25">
        <v>0</v>
      </c>
      <c r="AE496" s="25">
        <v>0</v>
      </c>
      <c r="AF496" s="25">
        <v>0</v>
      </c>
      <c r="AG496" s="25">
        <v>0.41499999999999998</v>
      </c>
      <c r="AH496" s="25">
        <v>0.43827160500000001</v>
      </c>
      <c r="AI496" s="14" t="s">
        <v>1571</v>
      </c>
      <c r="AJ496" s="14" t="s">
        <v>33</v>
      </c>
    </row>
    <row r="497" spans="1:36" x14ac:dyDescent="0.25">
      <c r="A497" s="1">
        <v>499</v>
      </c>
      <c r="B497" s="14" t="s">
        <v>682</v>
      </c>
      <c r="C497" s="14" t="s">
        <v>387</v>
      </c>
      <c r="D497" s="14" t="s">
        <v>16</v>
      </c>
      <c r="E497" s="29" t="s">
        <v>166</v>
      </c>
      <c r="F497" s="14">
        <v>140.26</v>
      </c>
      <c r="G497" s="14">
        <v>46.5</v>
      </c>
      <c r="H497" s="14">
        <v>0</v>
      </c>
      <c r="I497" s="14">
        <v>0</v>
      </c>
      <c r="J497" s="14">
        <v>0</v>
      </c>
      <c r="K497" s="14">
        <v>0</v>
      </c>
      <c r="L497" s="14">
        <v>0</v>
      </c>
      <c r="M497" s="14">
        <v>1</v>
      </c>
      <c r="N497" s="14">
        <v>3</v>
      </c>
      <c r="O497" s="14">
        <v>0</v>
      </c>
      <c r="P497" s="14">
        <v>0</v>
      </c>
      <c r="Q497" s="14">
        <v>0</v>
      </c>
      <c r="R497" s="14">
        <v>0</v>
      </c>
      <c r="S497" s="14">
        <v>0</v>
      </c>
      <c r="T497" s="14">
        <v>0</v>
      </c>
      <c r="U497" s="14">
        <v>0</v>
      </c>
      <c r="V497" s="14">
        <v>0</v>
      </c>
      <c r="W497" s="14">
        <v>0</v>
      </c>
      <c r="X497" s="14">
        <v>0</v>
      </c>
      <c r="Y497" s="14">
        <v>0</v>
      </c>
      <c r="Z497" s="14">
        <v>1</v>
      </c>
      <c r="AA497" s="14">
        <v>5</v>
      </c>
      <c r="AB497" s="14">
        <v>0</v>
      </c>
      <c r="AC497" s="14">
        <v>0</v>
      </c>
      <c r="AD497" s="25">
        <v>0</v>
      </c>
      <c r="AE497" s="25">
        <v>0</v>
      </c>
      <c r="AF497" s="25">
        <v>0</v>
      </c>
      <c r="AG497" s="25">
        <v>0.35763888900000002</v>
      </c>
      <c r="AH497" s="25">
        <v>0.36499999999999999</v>
      </c>
      <c r="AI497" s="14" t="s">
        <v>1085</v>
      </c>
      <c r="AJ497" s="14" t="s">
        <v>33</v>
      </c>
    </row>
    <row r="498" spans="1:36" x14ac:dyDescent="0.25">
      <c r="A498" s="1">
        <v>500</v>
      </c>
      <c r="B498" s="25" t="s">
        <v>709</v>
      </c>
      <c r="C498" s="25" t="s">
        <v>284</v>
      </c>
      <c r="D498" s="25" t="s">
        <v>17</v>
      </c>
      <c r="E498" s="25" t="s">
        <v>66</v>
      </c>
      <c r="F498" s="25">
        <v>214.34</v>
      </c>
      <c r="G498" s="25">
        <v>46.6</v>
      </c>
      <c r="H498" s="25">
        <v>0</v>
      </c>
      <c r="I498" s="25">
        <v>0</v>
      </c>
      <c r="J498" s="25">
        <v>0</v>
      </c>
      <c r="K498" s="25">
        <v>0</v>
      </c>
      <c r="L498" s="25">
        <v>0</v>
      </c>
      <c r="M498" s="25">
        <v>3</v>
      </c>
      <c r="N498" s="25">
        <v>8</v>
      </c>
      <c r="O498" s="25">
        <v>0</v>
      </c>
      <c r="P498" s="25">
        <v>0</v>
      </c>
      <c r="Q498" s="25">
        <v>0</v>
      </c>
      <c r="R498" s="25">
        <v>0</v>
      </c>
      <c r="S498" s="25">
        <v>0</v>
      </c>
      <c r="T498" s="25">
        <v>0</v>
      </c>
      <c r="U498" s="25">
        <v>1</v>
      </c>
      <c r="V498" s="25">
        <v>1</v>
      </c>
      <c r="W498" s="25">
        <v>0</v>
      </c>
      <c r="X498" s="25">
        <v>0</v>
      </c>
      <c r="Y498" s="25">
        <v>0</v>
      </c>
      <c r="Z498" s="25">
        <v>0</v>
      </c>
      <c r="AA498" s="25">
        <v>0</v>
      </c>
      <c r="AB498" s="25">
        <v>0</v>
      </c>
      <c r="AC498" s="25">
        <v>0</v>
      </c>
      <c r="AD498" s="25">
        <v>0</v>
      </c>
      <c r="AE498" s="25">
        <v>0</v>
      </c>
      <c r="AF498" s="25">
        <v>0</v>
      </c>
      <c r="AG498" s="25">
        <v>0.54444444400000003</v>
      </c>
      <c r="AH498" s="25">
        <v>0.54</v>
      </c>
      <c r="AI498" s="25" t="s">
        <v>973</v>
      </c>
      <c r="AJ498" s="14" t="s">
        <v>33</v>
      </c>
    </row>
    <row r="499" spans="1:36" x14ac:dyDescent="0.25">
      <c r="A499" s="1">
        <v>501</v>
      </c>
      <c r="B499" s="14" t="s">
        <v>864</v>
      </c>
      <c r="C499" s="14" t="s">
        <v>236</v>
      </c>
      <c r="D499" s="14" t="s">
        <v>12</v>
      </c>
      <c r="E499" s="29" t="s">
        <v>44</v>
      </c>
      <c r="F499" s="14">
        <v>294.56</v>
      </c>
      <c r="G499" s="14">
        <v>47</v>
      </c>
      <c r="H499" s="14">
        <v>0</v>
      </c>
      <c r="I499" s="14">
        <v>1</v>
      </c>
      <c r="J499" s="14">
        <v>0</v>
      </c>
      <c r="K499" s="14">
        <v>1</v>
      </c>
      <c r="L499" s="14">
        <v>0</v>
      </c>
      <c r="M499" s="14">
        <v>3</v>
      </c>
      <c r="N499" s="14">
        <v>16</v>
      </c>
      <c r="O499" s="14">
        <v>0</v>
      </c>
      <c r="P499" s="14">
        <v>0</v>
      </c>
      <c r="Q499" s="14">
        <v>0</v>
      </c>
      <c r="R499" s="14">
        <v>0</v>
      </c>
      <c r="S499" s="14">
        <v>0</v>
      </c>
      <c r="T499" s="14">
        <v>0</v>
      </c>
      <c r="U499" s="14">
        <v>0</v>
      </c>
      <c r="V499" s="14">
        <v>0</v>
      </c>
      <c r="W499" s="14">
        <v>1</v>
      </c>
      <c r="X499" s="14">
        <v>0</v>
      </c>
      <c r="Y499" s="14">
        <v>0</v>
      </c>
      <c r="Z499" s="14">
        <v>0</v>
      </c>
      <c r="AA499" s="14">
        <v>0</v>
      </c>
      <c r="AB499" s="14">
        <v>0</v>
      </c>
      <c r="AC499" s="14">
        <v>0</v>
      </c>
      <c r="AD499" s="25">
        <v>0</v>
      </c>
      <c r="AE499" s="25">
        <v>0</v>
      </c>
      <c r="AF499" s="25">
        <v>0</v>
      </c>
      <c r="AG499" s="25">
        <v>0.57277882800000002</v>
      </c>
      <c r="AH499" s="25">
        <v>0.60544217700000003</v>
      </c>
      <c r="AI499" s="14" t="s">
        <v>919</v>
      </c>
      <c r="AJ499" s="14" t="s">
        <v>33</v>
      </c>
    </row>
    <row r="500" spans="1:36" x14ac:dyDescent="0.25">
      <c r="A500" s="1">
        <v>503</v>
      </c>
      <c r="B500" s="25" t="s">
        <v>710</v>
      </c>
      <c r="C500" s="25" t="s">
        <v>377</v>
      </c>
      <c r="D500" s="25" t="s">
        <v>17</v>
      </c>
      <c r="E500" s="25" t="s">
        <v>160</v>
      </c>
      <c r="F500" s="25">
        <v>186.29</v>
      </c>
      <c r="G500" s="25">
        <v>47</v>
      </c>
      <c r="H500" s="25">
        <v>0</v>
      </c>
      <c r="I500" s="25">
        <v>0</v>
      </c>
      <c r="J500" s="25">
        <v>0</v>
      </c>
      <c r="K500" s="25">
        <v>0</v>
      </c>
      <c r="L500" s="25">
        <v>0</v>
      </c>
      <c r="M500" s="25">
        <v>2</v>
      </c>
      <c r="N500" s="25">
        <v>8</v>
      </c>
      <c r="O500" s="25">
        <v>0</v>
      </c>
      <c r="P500" s="25">
        <v>0</v>
      </c>
      <c r="Q500" s="25">
        <v>0</v>
      </c>
      <c r="R500" s="25">
        <v>0</v>
      </c>
      <c r="S500" s="25">
        <v>0</v>
      </c>
      <c r="T500" s="25">
        <v>0</v>
      </c>
      <c r="U500" s="25">
        <v>1</v>
      </c>
      <c r="V500" s="25">
        <v>0</v>
      </c>
      <c r="W500" s="25">
        <v>0</v>
      </c>
      <c r="X500" s="25">
        <v>0</v>
      </c>
      <c r="Y500" s="25">
        <v>0</v>
      </c>
      <c r="Z500" s="25">
        <v>0</v>
      </c>
      <c r="AA500" s="25">
        <v>0</v>
      </c>
      <c r="AB500" s="25">
        <v>0</v>
      </c>
      <c r="AC500" s="25">
        <v>0</v>
      </c>
      <c r="AD500" s="25">
        <v>0</v>
      </c>
      <c r="AE500" s="25">
        <v>0</v>
      </c>
      <c r="AF500" s="25">
        <v>0</v>
      </c>
      <c r="AG500" s="25">
        <v>0.47777777799999999</v>
      </c>
      <c r="AH500" s="25">
        <v>0.50591715999999998</v>
      </c>
      <c r="AI500" s="25" t="s">
        <v>1075</v>
      </c>
      <c r="AJ500" s="14" t="s">
        <v>33</v>
      </c>
    </row>
    <row r="501" spans="1:36" x14ac:dyDescent="0.25">
      <c r="A501" s="1">
        <v>504</v>
      </c>
      <c r="B501" s="14" t="s">
        <v>1910</v>
      </c>
      <c r="C501" s="14" t="s">
        <v>2103</v>
      </c>
      <c r="D501" s="14" t="s">
        <v>1929</v>
      </c>
      <c r="E501" s="29" t="s">
        <v>1911</v>
      </c>
      <c r="F501" s="14">
        <v>244.322</v>
      </c>
      <c r="G501" s="14">
        <v>47</v>
      </c>
      <c r="H501" s="14">
        <v>0</v>
      </c>
      <c r="I501" s="14">
        <v>0</v>
      </c>
      <c r="J501" s="14">
        <v>0</v>
      </c>
      <c r="K501" s="14">
        <v>0</v>
      </c>
      <c r="L501" s="14">
        <v>0</v>
      </c>
      <c r="M501" s="14">
        <v>2</v>
      </c>
      <c r="N501" s="14">
        <v>9</v>
      </c>
      <c r="O501" s="14">
        <v>0</v>
      </c>
      <c r="P501" s="14">
        <v>0</v>
      </c>
      <c r="Q501" s="14">
        <v>0</v>
      </c>
      <c r="R501" s="14">
        <v>0</v>
      </c>
      <c r="S501" s="14">
        <v>0</v>
      </c>
      <c r="T501" s="14">
        <v>0</v>
      </c>
      <c r="U501" s="14">
        <v>2</v>
      </c>
      <c r="V501" s="14">
        <v>0</v>
      </c>
      <c r="W501" s="14">
        <v>0</v>
      </c>
      <c r="X501" s="14">
        <v>0</v>
      </c>
      <c r="Y501" s="14">
        <v>0</v>
      </c>
      <c r="Z501" s="14">
        <v>0</v>
      </c>
      <c r="AA501" s="14">
        <v>0</v>
      </c>
      <c r="AB501" s="14">
        <v>0</v>
      </c>
      <c r="AC501" s="14">
        <v>0</v>
      </c>
      <c r="AD501" s="25">
        <v>0</v>
      </c>
      <c r="AE501" s="25">
        <v>0</v>
      </c>
      <c r="AF501" s="25">
        <v>0</v>
      </c>
      <c r="AG501" s="25">
        <v>0.56944444400000005</v>
      </c>
      <c r="AH501" s="25">
        <v>0.56635802499999999</v>
      </c>
      <c r="AI501" s="14" t="s">
        <v>1571</v>
      </c>
      <c r="AJ501" s="14" t="s">
        <v>33</v>
      </c>
    </row>
    <row r="502" spans="1:36" x14ac:dyDescent="0.25">
      <c r="A502" s="1">
        <v>505</v>
      </c>
      <c r="B502" s="14" t="s">
        <v>1914</v>
      </c>
      <c r="C502" s="14" t="s">
        <v>2104</v>
      </c>
      <c r="D502" s="14" t="s">
        <v>1929</v>
      </c>
      <c r="E502" s="29" t="s">
        <v>1913</v>
      </c>
      <c r="F502" s="14">
        <v>258.34800000000001</v>
      </c>
      <c r="G502" s="14">
        <v>47</v>
      </c>
      <c r="H502" s="14">
        <v>0</v>
      </c>
      <c r="I502" s="14">
        <v>0</v>
      </c>
      <c r="J502" s="14">
        <v>0</v>
      </c>
      <c r="K502" s="14">
        <v>0</v>
      </c>
      <c r="L502" s="14">
        <v>0</v>
      </c>
      <c r="M502" s="14">
        <v>2</v>
      </c>
      <c r="N502" s="14">
        <v>10</v>
      </c>
      <c r="O502" s="14">
        <v>0</v>
      </c>
      <c r="P502" s="14">
        <v>0</v>
      </c>
      <c r="Q502" s="14">
        <v>0</v>
      </c>
      <c r="R502" s="14">
        <v>0</v>
      </c>
      <c r="S502" s="14">
        <v>0</v>
      </c>
      <c r="T502" s="14">
        <v>0</v>
      </c>
      <c r="U502" s="14">
        <v>2</v>
      </c>
      <c r="V502" s="14">
        <v>0</v>
      </c>
      <c r="W502" s="14">
        <v>0</v>
      </c>
      <c r="X502" s="14">
        <v>0</v>
      </c>
      <c r="Y502" s="14">
        <v>0</v>
      </c>
      <c r="Z502" s="14">
        <v>0</v>
      </c>
      <c r="AA502" s="14">
        <v>0</v>
      </c>
      <c r="AB502" s="14">
        <v>0</v>
      </c>
      <c r="AC502" s="14">
        <v>0</v>
      </c>
      <c r="AD502" s="25">
        <v>0</v>
      </c>
      <c r="AE502" s="25">
        <v>0</v>
      </c>
      <c r="AF502" s="25">
        <v>0</v>
      </c>
      <c r="AG502" s="25">
        <v>0.58587257599999998</v>
      </c>
      <c r="AH502" s="25">
        <v>0.57202216100000003</v>
      </c>
      <c r="AI502" s="14" t="s">
        <v>1571</v>
      </c>
      <c r="AJ502" s="14" t="s">
        <v>33</v>
      </c>
    </row>
    <row r="503" spans="1:36" x14ac:dyDescent="0.25">
      <c r="A503" s="1">
        <v>508</v>
      </c>
      <c r="B503" s="14" t="s">
        <v>1324</v>
      </c>
      <c r="C503" s="14" t="s">
        <v>2105</v>
      </c>
      <c r="D503" s="14" t="s">
        <v>7</v>
      </c>
      <c r="E503" s="29" t="s">
        <v>175</v>
      </c>
      <c r="F503" s="14">
        <v>338.65469919999998</v>
      </c>
      <c r="G503" s="14">
        <v>47</v>
      </c>
      <c r="H503" s="14">
        <v>0</v>
      </c>
      <c r="I503" s="14">
        <v>0</v>
      </c>
      <c r="J503" s="14">
        <v>0</v>
      </c>
      <c r="K503" s="14">
        <v>0</v>
      </c>
      <c r="L503" s="14">
        <v>0</v>
      </c>
      <c r="M503" s="14">
        <v>4</v>
      </c>
      <c r="N503" s="14">
        <v>18</v>
      </c>
      <c r="O503" s="14">
        <v>0</v>
      </c>
      <c r="P503" s="14">
        <v>0</v>
      </c>
      <c r="Q503" s="14">
        <v>0</v>
      </c>
      <c r="R503" s="14">
        <v>0</v>
      </c>
      <c r="S503" s="14">
        <v>0</v>
      </c>
      <c r="T503" s="14">
        <v>0</v>
      </c>
      <c r="U503" s="14">
        <v>0</v>
      </c>
      <c r="V503" s="14">
        <v>2</v>
      </c>
      <c r="W503" s="14">
        <v>0</v>
      </c>
      <c r="X503" s="14">
        <v>0</v>
      </c>
      <c r="Y503" s="14">
        <v>0</v>
      </c>
      <c r="Z503" s="14">
        <v>0</v>
      </c>
      <c r="AA503" s="14">
        <v>0</v>
      </c>
      <c r="AB503" s="14">
        <v>0</v>
      </c>
      <c r="AC503" s="14">
        <v>0</v>
      </c>
      <c r="AD503" s="25">
        <v>0</v>
      </c>
      <c r="AE503" s="25">
        <v>0</v>
      </c>
      <c r="AF503" s="25">
        <v>0</v>
      </c>
      <c r="AG503" s="25">
        <v>0.59635416699999999</v>
      </c>
      <c r="AH503" s="25">
        <v>0.61531190899999999</v>
      </c>
      <c r="AI503" s="14" t="s">
        <v>1306</v>
      </c>
      <c r="AJ503" s="14" t="s">
        <v>33</v>
      </c>
    </row>
    <row r="504" spans="1:36" x14ac:dyDescent="0.25">
      <c r="A504" s="1">
        <v>511</v>
      </c>
      <c r="B504" s="14" t="s">
        <v>718</v>
      </c>
      <c r="C504" s="14" t="s">
        <v>439</v>
      </c>
      <c r="D504" s="14" t="s">
        <v>18</v>
      </c>
      <c r="E504" s="29" t="s">
        <v>48</v>
      </c>
      <c r="F504" s="14">
        <v>100.16</v>
      </c>
      <c r="G504" s="14">
        <v>47.3</v>
      </c>
      <c r="H504" s="14">
        <v>0</v>
      </c>
      <c r="I504" s="14">
        <v>0</v>
      </c>
      <c r="J504" s="14">
        <v>0</v>
      </c>
      <c r="K504" s="14">
        <v>0</v>
      </c>
      <c r="L504" s="14">
        <v>0</v>
      </c>
      <c r="M504" s="14">
        <v>1</v>
      </c>
      <c r="N504" s="14">
        <v>0</v>
      </c>
      <c r="O504" s="14">
        <v>0</v>
      </c>
      <c r="P504" s="14">
        <v>1</v>
      </c>
      <c r="Q504" s="14">
        <v>0</v>
      </c>
      <c r="R504" s="14">
        <v>0</v>
      </c>
      <c r="S504" s="14">
        <v>0</v>
      </c>
      <c r="T504" s="14">
        <v>0</v>
      </c>
      <c r="U504" s="14">
        <v>0</v>
      </c>
      <c r="V504" s="14">
        <v>0</v>
      </c>
      <c r="W504" s="14">
        <v>0</v>
      </c>
      <c r="X504" s="14">
        <v>0</v>
      </c>
      <c r="Y504" s="14">
        <v>0</v>
      </c>
      <c r="Z504" s="14">
        <v>1</v>
      </c>
      <c r="AA504" s="14">
        <v>4</v>
      </c>
      <c r="AB504" s="14">
        <v>0</v>
      </c>
      <c r="AC504" s="14">
        <v>0</v>
      </c>
      <c r="AD504" s="25">
        <v>0</v>
      </c>
      <c r="AE504" s="25">
        <v>0</v>
      </c>
      <c r="AF504" s="25">
        <v>0</v>
      </c>
      <c r="AG504" s="25">
        <v>0.22448979599999999</v>
      </c>
      <c r="AH504" s="25">
        <v>0.22448979599999999</v>
      </c>
      <c r="AI504" s="14" t="s">
        <v>1135</v>
      </c>
      <c r="AJ504" s="14" t="s">
        <v>33</v>
      </c>
    </row>
    <row r="505" spans="1:36" x14ac:dyDescent="0.25">
      <c r="A505" s="1">
        <v>512</v>
      </c>
      <c r="B505" s="25" t="s">
        <v>1294</v>
      </c>
      <c r="C505" s="25" t="s">
        <v>2106</v>
      </c>
      <c r="D505" s="25" t="s">
        <v>17</v>
      </c>
      <c r="E505" s="25" t="s">
        <v>201</v>
      </c>
      <c r="F505" s="25">
        <v>336.55262970000001</v>
      </c>
      <c r="G505" s="25">
        <v>47.55</v>
      </c>
      <c r="H505" s="25">
        <v>0</v>
      </c>
      <c r="I505" s="25">
        <v>2</v>
      </c>
      <c r="J505" s="25">
        <v>0</v>
      </c>
      <c r="K505" s="25">
        <v>2</v>
      </c>
      <c r="L505" s="25">
        <v>0</v>
      </c>
      <c r="M505" s="25">
        <v>2</v>
      </c>
      <c r="N505" s="25">
        <v>15</v>
      </c>
      <c r="O505" s="25">
        <v>0</v>
      </c>
      <c r="P505" s="25">
        <v>0</v>
      </c>
      <c r="Q505" s="25">
        <v>0</v>
      </c>
      <c r="R505" s="25">
        <v>0</v>
      </c>
      <c r="S505" s="25">
        <v>0</v>
      </c>
      <c r="T505" s="25">
        <v>0</v>
      </c>
      <c r="U505" s="25">
        <v>1</v>
      </c>
      <c r="V505" s="25">
        <v>0</v>
      </c>
      <c r="W505" s="25">
        <v>4</v>
      </c>
      <c r="X505" s="25">
        <v>0</v>
      </c>
      <c r="Y505" s="25">
        <v>0</v>
      </c>
      <c r="Z505" s="25">
        <v>0</v>
      </c>
      <c r="AA505" s="25">
        <v>0</v>
      </c>
      <c r="AB505" s="25">
        <v>0</v>
      </c>
      <c r="AC505" s="25">
        <v>0</v>
      </c>
      <c r="AD505" s="25">
        <v>0</v>
      </c>
      <c r="AE505" s="25">
        <v>0</v>
      </c>
      <c r="AF505" s="25">
        <v>0</v>
      </c>
      <c r="AG505" s="25">
        <v>0.62538580200000005</v>
      </c>
      <c r="AH505" s="25">
        <v>0.63979289900000003</v>
      </c>
      <c r="AI505" s="25" t="s">
        <v>1306</v>
      </c>
      <c r="AJ505" s="14" t="s">
        <v>33</v>
      </c>
    </row>
    <row r="506" spans="1:36" x14ac:dyDescent="0.25">
      <c r="A506" s="1">
        <v>514</v>
      </c>
      <c r="B506" s="14" t="s">
        <v>1627</v>
      </c>
      <c r="C506" s="14" t="s">
        <v>1394</v>
      </c>
      <c r="D506" s="14" t="s">
        <v>16</v>
      </c>
      <c r="E506" s="29" t="s">
        <v>166</v>
      </c>
      <c r="F506" s="14">
        <v>140.26</v>
      </c>
      <c r="G506" s="14">
        <v>47.6</v>
      </c>
      <c r="H506" s="14">
        <v>0</v>
      </c>
      <c r="I506" s="14">
        <v>0</v>
      </c>
      <c r="J506" s="14">
        <v>0</v>
      </c>
      <c r="K506" s="14">
        <v>0</v>
      </c>
      <c r="L506" s="14">
        <v>0</v>
      </c>
      <c r="M506" s="14">
        <v>1</v>
      </c>
      <c r="N506" s="14">
        <v>3</v>
      </c>
      <c r="O506" s="14">
        <v>0</v>
      </c>
      <c r="P506" s="14">
        <v>0</v>
      </c>
      <c r="Q506" s="14">
        <v>0</v>
      </c>
      <c r="R506" s="14">
        <v>0</v>
      </c>
      <c r="S506" s="14">
        <v>0</v>
      </c>
      <c r="T506" s="14">
        <v>0</v>
      </c>
      <c r="U506" s="14">
        <v>0</v>
      </c>
      <c r="V506" s="14">
        <v>0</v>
      </c>
      <c r="W506" s="14">
        <v>0</v>
      </c>
      <c r="X506" s="14">
        <v>0</v>
      </c>
      <c r="Y506" s="14">
        <v>0</v>
      </c>
      <c r="Z506" s="14">
        <v>1</v>
      </c>
      <c r="AA506" s="14">
        <v>5</v>
      </c>
      <c r="AB506" s="14">
        <v>0</v>
      </c>
      <c r="AC506" s="14">
        <v>0</v>
      </c>
      <c r="AD506" s="25">
        <v>0</v>
      </c>
      <c r="AE506" s="25">
        <v>0</v>
      </c>
      <c r="AF506" s="25">
        <v>0</v>
      </c>
      <c r="AG506" s="25">
        <v>0.43672839499999999</v>
      </c>
      <c r="AH506" s="25">
        <v>0.36499999999999999</v>
      </c>
      <c r="AI506" s="14" t="s">
        <v>1571</v>
      </c>
      <c r="AJ506" s="14" t="s">
        <v>33</v>
      </c>
    </row>
    <row r="507" spans="1:36" x14ac:dyDescent="0.25">
      <c r="A507" s="1">
        <v>515</v>
      </c>
      <c r="B507" s="25" t="s">
        <v>1626</v>
      </c>
      <c r="C507" s="25" t="s">
        <v>2107</v>
      </c>
      <c r="D507" s="25" t="s">
        <v>16</v>
      </c>
      <c r="E507" s="25" t="s">
        <v>105</v>
      </c>
      <c r="F507" s="25">
        <v>126.23399999999999</v>
      </c>
      <c r="G507" s="25">
        <v>47.8</v>
      </c>
      <c r="H507" s="25">
        <v>0</v>
      </c>
      <c r="I507" s="25">
        <v>0</v>
      </c>
      <c r="J507" s="25">
        <v>0</v>
      </c>
      <c r="K507" s="25">
        <v>0</v>
      </c>
      <c r="L507" s="25">
        <v>0</v>
      </c>
      <c r="M507" s="25">
        <v>2</v>
      </c>
      <c r="N507" s="25">
        <v>1</v>
      </c>
      <c r="O507" s="25">
        <v>0</v>
      </c>
      <c r="P507" s="25">
        <v>0</v>
      </c>
      <c r="Q507" s="25">
        <v>0</v>
      </c>
      <c r="R507" s="25">
        <v>0</v>
      </c>
      <c r="S507" s="25">
        <v>0</v>
      </c>
      <c r="T507" s="25">
        <v>0</v>
      </c>
      <c r="U507" s="25">
        <v>0</v>
      </c>
      <c r="V507" s="25">
        <v>1</v>
      </c>
      <c r="W507" s="25">
        <v>0</v>
      </c>
      <c r="X507" s="25">
        <v>0</v>
      </c>
      <c r="Y507" s="25">
        <v>0</v>
      </c>
      <c r="Z507" s="25">
        <v>1</v>
      </c>
      <c r="AA507" s="25">
        <v>4</v>
      </c>
      <c r="AB507" s="25">
        <v>0</v>
      </c>
      <c r="AC507" s="25">
        <v>0</v>
      </c>
      <c r="AD507" s="25">
        <v>0</v>
      </c>
      <c r="AE507" s="25">
        <v>0</v>
      </c>
      <c r="AF507" s="25">
        <v>0</v>
      </c>
      <c r="AG507" s="25">
        <v>0.31481481500000003</v>
      </c>
      <c r="AH507" s="25">
        <v>0.32716049400000002</v>
      </c>
      <c r="AI507" s="25" t="s">
        <v>1571</v>
      </c>
      <c r="AJ507" s="14" t="s">
        <v>33</v>
      </c>
    </row>
    <row r="508" spans="1:36" x14ac:dyDescent="0.25">
      <c r="A508" s="1">
        <v>516</v>
      </c>
      <c r="B508" s="14" t="s">
        <v>1921</v>
      </c>
      <c r="C508" s="14" t="s">
        <v>2108</v>
      </c>
      <c r="D508" s="14" t="s">
        <v>1537</v>
      </c>
      <c r="E508" s="29" t="s">
        <v>130</v>
      </c>
      <c r="F508" s="14">
        <v>172.26</v>
      </c>
      <c r="G508" s="14">
        <v>48</v>
      </c>
      <c r="H508" s="14">
        <v>0</v>
      </c>
      <c r="I508" s="14">
        <v>0</v>
      </c>
      <c r="J508" s="14">
        <v>0</v>
      </c>
      <c r="K508" s="14">
        <v>0</v>
      </c>
      <c r="L508" s="14">
        <v>0</v>
      </c>
      <c r="M508" s="14">
        <v>1</v>
      </c>
      <c r="N508" s="14">
        <v>8</v>
      </c>
      <c r="O508" s="14">
        <v>0</v>
      </c>
      <c r="P508" s="14">
        <v>0</v>
      </c>
      <c r="Q508" s="14">
        <v>0</v>
      </c>
      <c r="R508" s="14">
        <v>0</v>
      </c>
      <c r="S508" s="14">
        <v>0</v>
      </c>
      <c r="T508" s="14">
        <v>0</v>
      </c>
      <c r="U508" s="14">
        <v>0</v>
      </c>
      <c r="V508" s="14">
        <v>0</v>
      </c>
      <c r="W508" s="14">
        <v>0</v>
      </c>
      <c r="X508" s="14">
        <v>0</v>
      </c>
      <c r="Y508" s="14">
        <v>0</v>
      </c>
      <c r="Z508" s="14">
        <v>0</v>
      </c>
      <c r="AA508" s="14">
        <v>0</v>
      </c>
      <c r="AB508" s="14">
        <v>0</v>
      </c>
      <c r="AC508" s="14">
        <v>0</v>
      </c>
      <c r="AD508" s="25">
        <v>0</v>
      </c>
      <c r="AE508" s="25">
        <v>0</v>
      </c>
      <c r="AF508" s="25">
        <v>1</v>
      </c>
      <c r="AG508" s="25">
        <v>0.49652777799999998</v>
      </c>
      <c r="AH508" s="25">
        <v>0.49652777799999998</v>
      </c>
      <c r="AI508" s="14" t="s">
        <v>1571</v>
      </c>
      <c r="AJ508" s="14" t="s">
        <v>33</v>
      </c>
    </row>
    <row r="509" spans="1:36" x14ac:dyDescent="0.25">
      <c r="A509" s="1">
        <v>517</v>
      </c>
      <c r="B509" s="25" t="s">
        <v>1917</v>
      </c>
      <c r="C509" s="25" t="s">
        <v>2109</v>
      </c>
      <c r="D509" s="25" t="s">
        <v>1929</v>
      </c>
      <c r="E509" s="25" t="s">
        <v>1918</v>
      </c>
      <c r="F509" s="25">
        <v>334.44</v>
      </c>
      <c r="G509" s="25">
        <v>48</v>
      </c>
      <c r="H509" s="25">
        <v>6</v>
      </c>
      <c r="I509" s="25">
        <v>0</v>
      </c>
      <c r="J509" s="25">
        <v>6</v>
      </c>
      <c r="K509" s="25">
        <v>3</v>
      </c>
      <c r="L509" s="25">
        <v>0</v>
      </c>
      <c r="M509" s="25">
        <v>2</v>
      </c>
      <c r="N509" s="25">
        <v>10</v>
      </c>
      <c r="O509" s="25">
        <v>0</v>
      </c>
      <c r="P509" s="25">
        <v>0</v>
      </c>
      <c r="Q509" s="25">
        <v>0</v>
      </c>
      <c r="R509" s="25">
        <v>0</v>
      </c>
      <c r="S509" s="25">
        <v>0</v>
      </c>
      <c r="T509" s="25">
        <v>0</v>
      </c>
      <c r="U509" s="25">
        <v>2</v>
      </c>
      <c r="V509" s="25">
        <v>0</v>
      </c>
      <c r="W509" s="25">
        <v>0</v>
      </c>
      <c r="X509" s="25">
        <v>4</v>
      </c>
      <c r="Y509" s="25">
        <v>0</v>
      </c>
      <c r="Z509" s="25">
        <v>0</v>
      </c>
      <c r="AA509" s="25">
        <v>0</v>
      </c>
      <c r="AB509" s="25">
        <v>0</v>
      </c>
      <c r="AC509" s="25">
        <v>0</v>
      </c>
      <c r="AD509" s="25">
        <v>0</v>
      </c>
      <c r="AE509" s="25">
        <v>0</v>
      </c>
      <c r="AF509" s="25">
        <v>0</v>
      </c>
      <c r="AG509" s="25">
        <v>0.65178571399999996</v>
      </c>
      <c r="AH509" s="25">
        <v>0.63555291300000005</v>
      </c>
      <c r="AI509" s="25" t="s">
        <v>1571</v>
      </c>
      <c r="AJ509" s="14" t="s">
        <v>33</v>
      </c>
    </row>
    <row r="510" spans="1:36" x14ac:dyDescent="0.25">
      <c r="A510" s="1">
        <v>519</v>
      </c>
      <c r="B510" s="14" t="s">
        <v>740</v>
      </c>
      <c r="C510" s="14" t="s">
        <v>328</v>
      </c>
      <c r="D510" s="14" t="s">
        <v>19</v>
      </c>
      <c r="E510" s="29" t="s">
        <v>70</v>
      </c>
      <c r="F510" s="14">
        <v>254.49</v>
      </c>
      <c r="G510" s="14">
        <v>48</v>
      </c>
      <c r="H510" s="14">
        <v>0</v>
      </c>
      <c r="I510" s="14">
        <v>0</v>
      </c>
      <c r="J510" s="14">
        <v>0</v>
      </c>
      <c r="K510" s="14">
        <v>0</v>
      </c>
      <c r="L510" s="14">
        <v>0</v>
      </c>
      <c r="M510" s="14">
        <v>3</v>
      </c>
      <c r="N510" s="14">
        <v>14</v>
      </c>
      <c r="O510" s="14">
        <v>0</v>
      </c>
      <c r="P510" s="14">
        <v>0</v>
      </c>
      <c r="Q510" s="14">
        <v>0</v>
      </c>
      <c r="R510" s="14">
        <v>0</v>
      </c>
      <c r="S510" s="14">
        <v>0</v>
      </c>
      <c r="T510" s="14">
        <v>0</v>
      </c>
      <c r="U510" s="14">
        <v>0</v>
      </c>
      <c r="V510" s="14">
        <v>1</v>
      </c>
      <c r="W510" s="14">
        <v>0</v>
      </c>
      <c r="X510" s="14">
        <v>0</v>
      </c>
      <c r="Y510" s="14">
        <v>0</v>
      </c>
      <c r="Z510" s="14">
        <v>0</v>
      </c>
      <c r="AA510" s="14">
        <v>0</v>
      </c>
      <c r="AB510" s="14">
        <v>0</v>
      </c>
      <c r="AC510" s="14">
        <v>0</v>
      </c>
      <c r="AD510" s="25">
        <v>0</v>
      </c>
      <c r="AE510" s="25">
        <v>0</v>
      </c>
      <c r="AF510" s="25">
        <v>0</v>
      </c>
      <c r="AG510" s="25">
        <v>0.55363321799999998</v>
      </c>
      <c r="AH510" s="25">
        <v>0.56228373700000001</v>
      </c>
      <c r="AI510" s="14" t="s">
        <v>1020</v>
      </c>
      <c r="AJ510" s="14" t="s">
        <v>33</v>
      </c>
    </row>
    <row r="511" spans="1:36" x14ac:dyDescent="0.25">
      <c r="A511" s="1">
        <v>522</v>
      </c>
      <c r="B511" s="14" t="s">
        <v>1592</v>
      </c>
      <c r="C511" s="14" t="s">
        <v>2110</v>
      </c>
      <c r="D511" s="14" t="s">
        <v>19</v>
      </c>
      <c r="E511" s="29" t="s">
        <v>171</v>
      </c>
      <c r="F511" s="14">
        <v>128.25</v>
      </c>
      <c r="G511" s="14">
        <v>48.7</v>
      </c>
      <c r="H511" s="14">
        <v>0</v>
      </c>
      <c r="I511" s="14">
        <v>0</v>
      </c>
      <c r="J511" s="14">
        <v>0</v>
      </c>
      <c r="K511" s="14">
        <v>0</v>
      </c>
      <c r="L511" s="14">
        <v>0</v>
      </c>
      <c r="M511" s="14">
        <v>3</v>
      </c>
      <c r="N511" s="14">
        <v>5</v>
      </c>
      <c r="O511" s="14">
        <v>0</v>
      </c>
      <c r="P511" s="14">
        <v>0</v>
      </c>
      <c r="Q511" s="14">
        <v>0</v>
      </c>
      <c r="R511" s="14">
        <v>0</v>
      </c>
      <c r="S511" s="14">
        <v>0</v>
      </c>
      <c r="T511" s="14">
        <v>0</v>
      </c>
      <c r="U511" s="14">
        <v>0</v>
      </c>
      <c r="V511" s="14">
        <v>1</v>
      </c>
      <c r="W511" s="14">
        <v>0</v>
      </c>
      <c r="X511" s="14">
        <v>0</v>
      </c>
      <c r="Y511" s="14">
        <v>0</v>
      </c>
      <c r="Z511" s="14">
        <v>0</v>
      </c>
      <c r="AA511" s="14">
        <v>0</v>
      </c>
      <c r="AB511" s="14">
        <v>0</v>
      </c>
      <c r="AC511" s="14">
        <v>0</v>
      </c>
      <c r="AD511" s="25">
        <v>0</v>
      </c>
      <c r="AE511" s="25">
        <v>0</v>
      </c>
      <c r="AF511" s="25">
        <v>0</v>
      </c>
      <c r="AG511" s="25">
        <v>0.42307692299999999</v>
      </c>
      <c r="AH511" s="25">
        <v>0.4140625</v>
      </c>
      <c r="AI511" s="14" t="s">
        <v>1571</v>
      </c>
      <c r="AJ511" s="14" t="s">
        <v>33</v>
      </c>
    </row>
    <row r="512" spans="1:36" x14ac:dyDescent="0.25">
      <c r="A512" s="1">
        <v>523</v>
      </c>
      <c r="B512" s="25" t="s">
        <v>654</v>
      </c>
      <c r="C512" s="25" t="s">
        <v>542</v>
      </c>
      <c r="D512" s="25" t="s">
        <v>13</v>
      </c>
      <c r="E512" s="25" t="s">
        <v>224</v>
      </c>
      <c r="F512" s="25">
        <v>274.48</v>
      </c>
      <c r="G512" s="25">
        <v>49</v>
      </c>
      <c r="H512" s="25">
        <v>6</v>
      </c>
      <c r="I512" s="25">
        <v>0</v>
      </c>
      <c r="J512" s="25">
        <v>6</v>
      </c>
      <c r="K512" s="25">
        <v>3</v>
      </c>
      <c r="L512" s="25">
        <v>0</v>
      </c>
      <c r="M512" s="25">
        <v>2</v>
      </c>
      <c r="N512" s="25">
        <v>11</v>
      </c>
      <c r="O512" s="25">
        <v>0</v>
      </c>
      <c r="P512" s="25">
        <v>0</v>
      </c>
      <c r="Q512" s="25">
        <v>0</v>
      </c>
      <c r="R512" s="25">
        <v>0</v>
      </c>
      <c r="S512" s="25">
        <v>0</v>
      </c>
      <c r="T512" s="25">
        <v>0</v>
      </c>
      <c r="U512" s="25">
        <v>0</v>
      </c>
      <c r="V512" s="25">
        <v>1</v>
      </c>
      <c r="W512" s="25">
        <v>0</v>
      </c>
      <c r="X512" s="25">
        <v>5</v>
      </c>
      <c r="Y512" s="25">
        <v>0</v>
      </c>
      <c r="Z512" s="25">
        <v>0</v>
      </c>
      <c r="AA512" s="25">
        <v>0</v>
      </c>
      <c r="AB512" s="25">
        <v>0</v>
      </c>
      <c r="AC512" s="25">
        <v>0</v>
      </c>
      <c r="AD512" s="25">
        <v>0</v>
      </c>
      <c r="AE512" s="25">
        <v>0</v>
      </c>
      <c r="AF512" s="25">
        <v>0</v>
      </c>
      <c r="AG512" s="25">
        <v>0.51518646700000004</v>
      </c>
      <c r="AH512" s="25">
        <v>0.58317580300000005</v>
      </c>
      <c r="AI512" s="25" t="s">
        <v>1237</v>
      </c>
      <c r="AJ512" s="14" t="s">
        <v>33</v>
      </c>
    </row>
    <row r="513" spans="1:36" x14ac:dyDescent="0.25">
      <c r="A513" s="1">
        <v>524</v>
      </c>
      <c r="B513" s="25" t="s">
        <v>1277</v>
      </c>
      <c r="C513" s="25" t="s">
        <v>2111</v>
      </c>
      <c r="D513" s="25" t="s">
        <v>13</v>
      </c>
      <c r="E513" s="25" t="s">
        <v>224</v>
      </c>
      <c r="F513" s="25">
        <v>274.48470359999999</v>
      </c>
      <c r="G513" s="25">
        <v>49</v>
      </c>
      <c r="H513" s="25">
        <v>6</v>
      </c>
      <c r="I513" s="25">
        <v>0</v>
      </c>
      <c r="J513" s="25">
        <v>6</v>
      </c>
      <c r="K513" s="25">
        <v>3</v>
      </c>
      <c r="L513" s="25">
        <v>0</v>
      </c>
      <c r="M513" s="25">
        <v>2</v>
      </c>
      <c r="N513" s="25">
        <v>11</v>
      </c>
      <c r="O513" s="25">
        <v>0</v>
      </c>
      <c r="P513" s="25">
        <v>0</v>
      </c>
      <c r="Q513" s="25">
        <v>0</v>
      </c>
      <c r="R513" s="25">
        <v>0</v>
      </c>
      <c r="S513" s="25">
        <v>0</v>
      </c>
      <c r="T513" s="25">
        <v>0</v>
      </c>
      <c r="U513" s="25">
        <v>0</v>
      </c>
      <c r="V513" s="25">
        <v>1</v>
      </c>
      <c r="W513" s="25">
        <v>0</v>
      </c>
      <c r="X513" s="25">
        <v>5</v>
      </c>
      <c r="Y513" s="25">
        <v>0</v>
      </c>
      <c r="Z513" s="25">
        <v>0</v>
      </c>
      <c r="AA513" s="25">
        <v>0</v>
      </c>
      <c r="AB513" s="25">
        <v>0</v>
      </c>
      <c r="AC513" s="25">
        <v>0</v>
      </c>
      <c r="AD513" s="25">
        <v>0</v>
      </c>
      <c r="AE513" s="25">
        <v>0</v>
      </c>
      <c r="AF513" s="25">
        <v>0</v>
      </c>
      <c r="AG513" s="25">
        <v>0.51518646700000004</v>
      </c>
      <c r="AH513" s="25">
        <v>0.58317580300000005</v>
      </c>
      <c r="AI513" s="25" t="s">
        <v>1306</v>
      </c>
      <c r="AJ513" s="14" t="s">
        <v>33</v>
      </c>
    </row>
    <row r="514" spans="1:36" x14ac:dyDescent="0.25">
      <c r="A514" s="1">
        <v>527</v>
      </c>
      <c r="B514" s="25" t="s">
        <v>1749</v>
      </c>
      <c r="C514" s="25" t="s">
        <v>1465</v>
      </c>
      <c r="D514" s="25" t="s">
        <v>20</v>
      </c>
      <c r="E514" s="25" t="s">
        <v>1750</v>
      </c>
      <c r="F514" s="25">
        <v>170.286</v>
      </c>
      <c r="G514" s="25">
        <v>49</v>
      </c>
      <c r="H514" s="25">
        <v>0</v>
      </c>
      <c r="I514" s="25">
        <v>0</v>
      </c>
      <c r="J514" s="25">
        <v>0</v>
      </c>
      <c r="K514" s="25">
        <v>0</v>
      </c>
      <c r="L514" s="25">
        <v>0</v>
      </c>
      <c r="M514" s="25">
        <v>2</v>
      </c>
      <c r="N514" s="25">
        <v>8</v>
      </c>
      <c r="O514" s="25">
        <v>0</v>
      </c>
      <c r="P514" s="25">
        <v>0</v>
      </c>
      <c r="Q514" s="25">
        <v>0</v>
      </c>
      <c r="R514" s="25">
        <v>1</v>
      </c>
      <c r="S514" s="25">
        <v>0</v>
      </c>
      <c r="T514" s="25">
        <v>0</v>
      </c>
      <c r="U514" s="25">
        <v>0</v>
      </c>
      <c r="V514" s="25">
        <v>0</v>
      </c>
      <c r="W514" s="25">
        <v>0</v>
      </c>
      <c r="X514" s="25">
        <v>0</v>
      </c>
      <c r="Y514" s="25">
        <v>0</v>
      </c>
      <c r="Z514" s="25">
        <v>0</v>
      </c>
      <c r="AA514" s="25">
        <v>0</v>
      </c>
      <c r="AB514" s="25">
        <v>0</v>
      </c>
      <c r="AC514" s="25">
        <v>0</v>
      </c>
      <c r="AD514" s="25">
        <v>0</v>
      </c>
      <c r="AE514" s="25">
        <v>0</v>
      </c>
      <c r="AF514" s="25">
        <v>0</v>
      </c>
      <c r="AG514" s="25">
        <v>0.48958333300000001</v>
      </c>
      <c r="AH514" s="25">
        <v>0.49652777799999998</v>
      </c>
      <c r="AI514" s="25" t="s">
        <v>1571</v>
      </c>
      <c r="AJ514" s="14" t="s">
        <v>33</v>
      </c>
    </row>
    <row r="515" spans="1:36" x14ac:dyDescent="0.25">
      <c r="A515" s="1">
        <v>528</v>
      </c>
      <c r="B515" s="14" t="s">
        <v>1666</v>
      </c>
      <c r="C515" s="14" t="s">
        <v>1416</v>
      </c>
      <c r="D515" s="14" t="s">
        <v>12</v>
      </c>
      <c r="E515" s="29" t="s">
        <v>166</v>
      </c>
      <c r="F515" s="14">
        <v>140.26</v>
      </c>
      <c r="G515" s="14">
        <v>49.1</v>
      </c>
      <c r="H515" s="14">
        <v>0</v>
      </c>
      <c r="I515" s="14">
        <v>1</v>
      </c>
      <c r="J515" s="14">
        <v>0</v>
      </c>
      <c r="K515" s="14">
        <v>1</v>
      </c>
      <c r="L515" s="14">
        <v>0</v>
      </c>
      <c r="M515" s="14">
        <v>1</v>
      </c>
      <c r="N515" s="14">
        <v>7</v>
      </c>
      <c r="O515" s="14">
        <v>0</v>
      </c>
      <c r="P515" s="14">
        <v>0</v>
      </c>
      <c r="Q515" s="14">
        <v>0</v>
      </c>
      <c r="R515" s="14">
        <v>0</v>
      </c>
      <c r="S515" s="14">
        <v>0</v>
      </c>
      <c r="T515" s="14">
        <v>0</v>
      </c>
      <c r="U515" s="14">
        <v>0</v>
      </c>
      <c r="V515" s="14">
        <v>0</v>
      </c>
      <c r="W515" s="14">
        <v>1</v>
      </c>
      <c r="X515" s="14">
        <v>0</v>
      </c>
      <c r="Y515" s="14">
        <v>1</v>
      </c>
      <c r="Z515" s="14">
        <v>0</v>
      </c>
      <c r="AA515" s="14">
        <v>0</v>
      </c>
      <c r="AB515" s="14">
        <v>0</v>
      </c>
      <c r="AC515" s="14">
        <v>0</v>
      </c>
      <c r="AD515" s="25">
        <v>0</v>
      </c>
      <c r="AE515" s="25">
        <v>0</v>
      </c>
      <c r="AF515" s="25">
        <v>0</v>
      </c>
      <c r="AG515" s="25">
        <v>0.45500000000000002</v>
      </c>
      <c r="AH515" s="25">
        <v>0.46500000000000002</v>
      </c>
      <c r="AI515" s="14" t="s">
        <v>1571</v>
      </c>
      <c r="AJ515" s="14" t="s">
        <v>33</v>
      </c>
    </row>
    <row r="516" spans="1:36" x14ac:dyDescent="0.25">
      <c r="A516" s="1">
        <v>529</v>
      </c>
      <c r="B516" s="25" t="s">
        <v>1642</v>
      </c>
      <c r="C516" s="25" t="s">
        <v>1401</v>
      </c>
      <c r="D516" s="25" t="s">
        <v>16</v>
      </c>
      <c r="E516" s="25" t="s">
        <v>1643</v>
      </c>
      <c r="F516" s="25">
        <v>192.33199999999999</v>
      </c>
      <c r="G516" s="25">
        <v>49.1</v>
      </c>
      <c r="H516" s="25">
        <v>0</v>
      </c>
      <c r="I516" s="25">
        <v>0</v>
      </c>
      <c r="J516" s="25">
        <v>0</v>
      </c>
      <c r="K516" s="25">
        <v>0</v>
      </c>
      <c r="L516" s="25">
        <v>1</v>
      </c>
      <c r="M516" s="25">
        <v>1</v>
      </c>
      <c r="N516" s="25">
        <v>3</v>
      </c>
      <c r="O516" s="25">
        <v>0</v>
      </c>
      <c r="P516" s="25">
        <v>0</v>
      </c>
      <c r="Q516" s="25">
        <v>0</v>
      </c>
      <c r="R516" s="25">
        <v>0</v>
      </c>
      <c r="S516" s="25">
        <v>0</v>
      </c>
      <c r="T516" s="25">
        <v>0</v>
      </c>
      <c r="U516" s="25">
        <v>0</v>
      </c>
      <c r="V516" s="25">
        <v>0</v>
      </c>
      <c r="W516" s="25">
        <v>0</v>
      </c>
      <c r="X516" s="25">
        <v>0</v>
      </c>
      <c r="Y516" s="25">
        <v>0</v>
      </c>
      <c r="Z516" s="25">
        <v>3</v>
      </c>
      <c r="AA516" s="25">
        <v>6</v>
      </c>
      <c r="AB516" s="25">
        <v>0</v>
      </c>
      <c r="AC516" s="25">
        <v>0</v>
      </c>
      <c r="AD516" s="25">
        <v>0</v>
      </c>
      <c r="AE516" s="25">
        <v>0</v>
      </c>
      <c r="AF516" s="25">
        <v>0</v>
      </c>
      <c r="AG516" s="25">
        <v>0.34876543199999999</v>
      </c>
      <c r="AH516" s="25">
        <v>0.373046875</v>
      </c>
      <c r="AI516" s="25" t="s">
        <v>1571</v>
      </c>
      <c r="AJ516" s="14" t="s">
        <v>33</v>
      </c>
    </row>
    <row r="517" spans="1:36" x14ac:dyDescent="0.25">
      <c r="A517" s="1">
        <v>530</v>
      </c>
      <c r="B517" s="25" t="s">
        <v>664</v>
      </c>
      <c r="C517" s="25" t="s">
        <v>365</v>
      </c>
      <c r="D517" s="25" t="s">
        <v>13</v>
      </c>
      <c r="E517" s="25" t="s">
        <v>150</v>
      </c>
      <c r="F517" s="25">
        <v>204.35</v>
      </c>
      <c r="G517" s="25">
        <v>50</v>
      </c>
      <c r="H517" s="25">
        <v>6</v>
      </c>
      <c r="I517" s="25">
        <v>0</v>
      </c>
      <c r="J517" s="25">
        <v>6</v>
      </c>
      <c r="K517" s="25">
        <v>3</v>
      </c>
      <c r="L517" s="25">
        <v>0</v>
      </c>
      <c r="M517" s="25">
        <v>1</v>
      </c>
      <c r="N517" s="25">
        <v>8</v>
      </c>
      <c r="O517" s="25">
        <v>0</v>
      </c>
      <c r="P517" s="25">
        <v>0</v>
      </c>
      <c r="Q517" s="25">
        <v>0</v>
      </c>
      <c r="R517" s="25">
        <v>0</v>
      </c>
      <c r="S517" s="25">
        <v>0</v>
      </c>
      <c r="T517" s="25">
        <v>0</v>
      </c>
      <c r="U517" s="25">
        <v>0</v>
      </c>
      <c r="V517" s="25">
        <v>0</v>
      </c>
      <c r="W517" s="25">
        <v>0</v>
      </c>
      <c r="X517" s="25">
        <v>5</v>
      </c>
      <c r="Y517" s="25">
        <v>0</v>
      </c>
      <c r="Z517" s="25">
        <v>0</v>
      </c>
      <c r="AA517" s="25">
        <v>0</v>
      </c>
      <c r="AB517" s="25">
        <v>0</v>
      </c>
      <c r="AC517" s="25">
        <v>0</v>
      </c>
      <c r="AD517" s="25">
        <v>0</v>
      </c>
      <c r="AE517" s="25">
        <v>0</v>
      </c>
      <c r="AF517" s="25">
        <v>0</v>
      </c>
      <c r="AG517" s="25">
        <v>0.48520710099999997</v>
      </c>
      <c r="AH517" s="25">
        <v>0.49845678999999998</v>
      </c>
      <c r="AI517" s="25" t="s">
        <v>1059</v>
      </c>
      <c r="AJ517" s="14" t="s">
        <v>33</v>
      </c>
    </row>
    <row r="518" spans="1:36" x14ac:dyDescent="0.25">
      <c r="A518" s="1">
        <v>531</v>
      </c>
      <c r="B518" s="14" t="s">
        <v>1892</v>
      </c>
      <c r="C518" s="14" t="s">
        <v>1534</v>
      </c>
      <c r="D518" s="14" t="s">
        <v>13</v>
      </c>
      <c r="E518" s="29" t="s">
        <v>150</v>
      </c>
      <c r="F518" s="14">
        <v>204.34200000000001</v>
      </c>
      <c r="G518" s="14">
        <v>50</v>
      </c>
      <c r="H518" s="14">
        <v>6</v>
      </c>
      <c r="I518" s="14">
        <v>0</v>
      </c>
      <c r="J518" s="14">
        <v>6</v>
      </c>
      <c r="K518" s="14">
        <v>3</v>
      </c>
      <c r="L518" s="14">
        <v>0</v>
      </c>
      <c r="M518" s="14">
        <v>1</v>
      </c>
      <c r="N518" s="14">
        <v>8</v>
      </c>
      <c r="O518" s="14">
        <v>0</v>
      </c>
      <c r="P518" s="14">
        <v>0</v>
      </c>
      <c r="Q518" s="14">
        <v>0</v>
      </c>
      <c r="R518" s="14">
        <v>0</v>
      </c>
      <c r="S518" s="14">
        <v>0</v>
      </c>
      <c r="T518" s="14">
        <v>0</v>
      </c>
      <c r="U518" s="14">
        <v>0</v>
      </c>
      <c r="V518" s="14">
        <v>0</v>
      </c>
      <c r="W518" s="14">
        <v>0</v>
      </c>
      <c r="X518" s="14">
        <v>5</v>
      </c>
      <c r="Y518" s="14">
        <v>0</v>
      </c>
      <c r="Z518" s="14">
        <v>0</v>
      </c>
      <c r="AA518" s="14">
        <v>0</v>
      </c>
      <c r="AB518" s="14">
        <v>0</v>
      </c>
      <c r="AC518" s="14">
        <v>0</v>
      </c>
      <c r="AD518" s="25">
        <v>0</v>
      </c>
      <c r="AE518" s="25">
        <v>0</v>
      </c>
      <c r="AF518" s="25">
        <v>0</v>
      </c>
      <c r="AG518" s="25">
        <v>0.50277008300000003</v>
      </c>
      <c r="AH518" s="25">
        <v>0.49845678999999998</v>
      </c>
      <c r="AI518" s="14" t="s">
        <v>1571</v>
      </c>
      <c r="AJ518" s="14" t="s">
        <v>33</v>
      </c>
    </row>
    <row r="519" spans="1:36" x14ac:dyDescent="0.25">
      <c r="A519" s="1">
        <v>532</v>
      </c>
      <c r="B519" s="14" t="s">
        <v>1635</v>
      </c>
      <c r="C519" s="14" t="s">
        <v>2112</v>
      </c>
      <c r="D519" s="14" t="s">
        <v>16</v>
      </c>
      <c r="E519" s="29" t="s">
        <v>166</v>
      </c>
      <c r="F519" s="14">
        <v>140.26</v>
      </c>
      <c r="G519" s="14">
        <v>50</v>
      </c>
      <c r="H519" s="14">
        <v>0</v>
      </c>
      <c r="I519" s="14">
        <v>0</v>
      </c>
      <c r="J519" s="14">
        <v>0</v>
      </c>
      <c r="K519" s="14">
        <v>0</v>
      </c>
      <c r="L519" s="14">
        <v>0</v>
      </c>
      <c r="M519" s="14">
        <v>2</v>
      </c>
      <c r="N519" s="14">
        <v>1</v>
      </c>
      <c r="O519" s="14">
        <v>0</v>
      </c>
      <c r="P519" s="14">
        <v>0</v>
      </c>
      <c r="Q519" s="14">
        <v>0</v>
      </c>
      <c r="R519" s="14">
        <v>0</v>
      </c>
      <c r="S519" s="14">
        <v>0</v>
      </c>
      <c r="T519" s="14">
        <v>0</v>
      </c>
      <c r="U519" s="14">
        <v>0</v>
      </c>
      <c r="V519" s="14">
        <v>1</v>
      </c>
      <c r="W519" s="14">
        <v>0</v>
      </c>
      <c r="X519" s="14">
        <v>0</v>
      </c>
      <c r="Y519" s="14">
        <v>0</v>
      </c>
      <c r="Z519" s="14">
        <v>1</v>
      </c>
      <c r="AA519" s="14">
        <v>5</v>
      </c>
      <c r="AB519" s="14">
        <v>0</v>
      </c>
      <c r="AC519" s="14">
        <v>0</v>
      </c>
      <c r="AD519" s="25">
        <v>0</v>
      </c>
      <c r="AE519" s="25">
        <v>0</v>
      </c>
      <c r="AF519" s="25">
        <v>0</v>
      </c>
      <c r="AG519" s="25">
        <v>0.34499999999999997</v>
      </c>
      <c r="AH519" s="25">
        <v>0.36499999999999999</v>
      </c>
      <c r="AI519" s="14" t="s">
        <v>1571</v>
      </c>
      <c r="AJ519" s="14" t="s">
        <v>33</v>
      </c>
    </row>
    <row r="520" spans="1:36" x14ac:dyDescent="0.25">
      <c r="A520" s="1">
        <v>533</v>
      </c>
      <c r="B520" s="14" t="s">
        <v>617</v>
      </c>
      <c r="C520" s="14" t="s">
        <v>479</v>
      </c>
      <c r="D520" s="14" t="s">
        <v>10</v>
      </c>
      <c r="E520" s="29" t="s">
        <v>131</v>
      </c>
      <c r="F520" s="14">
        <v>158.28</v>
      </c>
      <c r="G520" s="14">
        <v>50.3</v>
      </c>
      <c r="H520" s="14">
        <v>0</v>
      </c>
      <c r="I520" s="14">
        <v>0</v>
      </c>
      <c r="J520" s="14">
        <v>0</v>
      </c>
      <c r="K520" s="14">
        <v>0</v>
      </c>
      <c r="L520" s="14">
        <v>0</v>
      </c>
      <c r="M520" s="14">
        <v>1</v>
      </c>
      <c r="N520" s="14">
        <v>9</v>
      </c>
      <c r="O520" s="14">
        <v>1</v>
      </c>
      <c r="P520" s="14">
        <v>0</v>
      </c>
      <c r="Q520" s="14">
        <v>0</v>
      </c>
      <c r="R520" s="14">
        <v>0</v>
      </c>
      <c r="S520" s="14">
        <v>0</v>
      </c>
      <c r="T520" s="14">
        <v>0</v>
      </c>
      <c r="U520" s="14">
        <v>0</v>
      </c>
      <c r="V520" s="14">
        <v>0</v>
      </c>
      <c r="W520" s="14">
        <v>0</v>
      </c>
      <c r="X520" s="14">
        <v>0</v>
      </c>
      <c r="Y520" s="14">
        <v>0</v>
      </c>
      <c r="Z520" s="14">
        <v>0</v>
      </c>
      <c r="AA520" s="14">
        <v>0</v>
      </c>
      <c r="AB520" s="14">
        <v>1</v>
      </c>
      <c r="AC520" s="14">
        <v>0</v>
      </c>
      <c r="AD520" s="25">
        <v>0</v>
      </c>
      <c r="AE520" s="25">
        <v>0</v>
      </c>
      <c r="AF520" s="25">
        <v>0</v>
      </c>
      <c r="AG520" s="25">
        <v>0.44214875999999997</v>
      </c>
      <c r="AH520" s="25">
        <v>0.46500000000000002</v>
      </c>
      <c r="AI520" s="14" t="s">
        <v>1174</v>
      </c>
      <c r="AJ520" s="14" t="s">
        <v>33</v>
      </c>
    </row>
    <row r="521" spans="1:36" x14ac:dyDescent="0.25">
      <c r="A521" s="1">
        <v>534</v>
      </c>
      <c r="B521" s="25" t="s">
        <v>1706</v>
      </c>
      <c r="C521" s="25" t="s">
        <v>1440</v>
      </c>
      <c r="D521" s="25" t="s">
        <v>10</v>
      </c>
      <c r="E521" s="25" t="s">
        <v>1707</v>
      </c>
      <c r="F521" s="25">
        <v>158.27600000000001</v>
      </c>
      <c r="G521" s="25">
        <v>50.3</v>
      </c>
      <c r="H521" s="25">
        <v>0</v>
      </c>
      <c r="I521" s="25">
        <v>0</v>
      </c>
      <c r="J521" s="25">
        <v>0</v>
      </c>
      <c r="K521" s="25">
        <v>0</v>
      </c>
      <c r="L521" s="25">
        <v>0</v>
      </c>
      <c r="M521" s="25">
        <v>1</v>
      </c>
      <c r="N521" s="25">
        <v>9</v>
      </c>
      <c r="O521" s="25">
        <v>1</v>
      </c>
      <c r="P521" s="25">
        <v>0</v>
      </c>
      <c r="Q521" s="25">
        <v>0</v>
      </c>
      <c r="R521" s="25">
        <v>0</v>
      </c>
      <c r="S521" s="25">
        <v>0</v>
      </c>
      <c r="T521" s="25">
        <v>0</v>
      </c>
      <c r="U521" s="25">
        <v>0</v>
      </c>
      <c r="V521" s="25">
        <v>0</v>
      </c>
      <c r="W521" s="25">
        <v>0</v>
      </c>
      <c r="X521" s="25">
        <v>0</v>
      </c>
      <c r="Y521" s="25">
        <v>0</v>
      </c>
      <c r="Z521" s="25">
        <v>0</v>
      </c>
      <c r="AA521" s="25">
        <v>0</v>
      </c>
      <c r="AB521" s="25">
        <v>1</v>
      </c>
      <c r="AC521" s="25">
        <v>0</v>
      </c>
      <c r="AD521" s="25">
        <v>0</v>
      </c>
      <c r="AE521" s="25">
        <v>0</v>
      </c>
      <c r="AF521" s="25">
        <v>0</v>
      </c>
      <c r="AG521" s="25">
        <v>0.44214875999999997</v>
      </c>
      <c r="AH521" s="25">
        <v>0.46500000000000002</v>
      </c>
      <c r="AI521" s="25" t="s">
        <v>1571</v>
      </c>
      <c r="AJ521" s="14" t="s">
        <v>33</v>
      </c>
    </row>
    <row r="522" spans="1:36" x14ac:dyDescent="0.25">
      <c r="A522" s="1">
        <v>535</v>
      </c>
      <c r="B522" s="14" t="s">
        <v>1264</v>
      </c>
      <c r="C522" s="14" t="s">
        <v>2113</v>
      </c>
      <c r="D522" s="14" t="s">
        <v>10</v>
      </c>
      <c r="E522" s="29" t="s">
        <v>209</v>
      </c>
      <c r="F522" s="14">
        <v>268.4785182</v>
      </c>
      <c r="G522" s="14">
        <v>51</v>
      </c>
      <c r="H522" s="14">
        <v>0</v>
      </c>
      <c r="I522" s="14">
        <v>1</v>
      </c>
      <c r="J522" s="14">
        <v>0</v>
      </c>
      <c r="K522" s="14">
        <v>1</v>
      </c>
      <c r="L522" s="14">
        <v>0</v>
      </c>
      <c r="M522" s="14">
        <v>1</v>
      </c>
      <c r="N522" s="14">
        <v>15</v>
      </c>
      <c r="O522" s="14">
        <v>1</v>
      </c>
      <c r="P522" s="14">
        <v>0</v>
      </c>
      <c r="Q522" s="14">
        <v>0</v>
      </c>
      <c r="R522" s="14">
        <v>0</v>
      </c>
      <c r="S522" s="14">
        <v>0</v>
      </c>
      <c r="T522" s="14">
        <v>0</v>
      </c>
      <c r="U522" s="14">
        <v>0</v>
      </c>
      <c r="V522" s="14">
        <v>0</v>
      </c>
      <c r="W522" s="14">
        <v>2</v>
      </c>
      <c r="X522" s="14">
        <v>0</v>
      </c>
      <c r="Y522" s="14">
        <v>0</v>
      </c>
      <c r="Z522" s="14">
        <v>0</v>
      </c>
      <c r="AA522" s="14">
        <v>0</v>
      </c>
      <c r="AB522" s="14">
        <v>1</v>
      </c>
      <c r="AC522" s="14">
        <v>0</v>
      </c>
      <c r="AD522" s="25">
        <v>0</v>
      </c>
      <c r="AE522" s="25">
        <v>0</v>
      </c>
      <c r="AF522" s="25">
        <v>0</v>
      </c>
      <c r="AG522" s="25">
        <v>0.58587257599999998</v>
      </c>
      <c r="AH522" s="25">
        <v>0.58587257599999998</v>
      </c>
      <c r="AI522" s="14" t="s">
        <v>1306</v>
      </c>
      <c r="AJ522" s="14" t="s">
        <v>33</v>
      </c>
    </row>
    <row r="523" spans="1:36" x14ac:dyDescent="0.25">
      <c r="A523" s="1">
        <v>537</v>
      </c>
      <c r="B523" s="14" t="s">
        <v>822</v>
      </c>
      <c r="C523" s="14" t="s">
        <v>391</v>
      </c>
      <c r="D523" s="14" t="s">
        <v>12</v>
      </c>
      <c r="E523" s="29" t="s">
        <v>105</v>
      </c>
      <c r="F523" s="14">
        <v>126.24</v>
      </c>
      <c r="G523" s="14">
        <v>51</v>
      </c>
      <c r="H523" s="14">
        <v>0</v>
      </c>
      <c r="I523" s="14">
        <v>1</v>
      </c>
      <c r="J523" s="14">
        <v>0</v>
      </c>
      <c r="K523" s="14">
        <v>1</v>
      </c>
      <c r="L523" s="14">
        <v>0</v>
      </c>
      <c r="M523" s="14">
        <v>3</v>
      </c>
      <c r="N523" s="14">
        <v>3</v>
      </c>
      <c r="O523" s="14">
        <v>0</v>
      </c>
      <c r="P523" s="14">
        <v>0</v>
      </c>
      <c r="Q523" s="14">
        <v>0</v>
      </c>
      <c r="R523" s="14">
        <v>0</v>
      </c>
      <c r="S523" s="14">
        <v>0</v>
      </c>
      <c r="T523" s="14">
        <v>0</v>
      </c>
      <c r="U523" s="14">
        <v>0</v>
      </c>
      <c r="V523" s="14">
        <v>1</v>
      </c>
      <c r="W523" s="14">
        <v>0</v>
      </c>
      <c r="X523" s="14">
        <v>0</v>
      </c>
      <c r="Y523" s="14">
        <v>1</v>
      </c>
      <c r="Z523" s="14">
        <v>0</v>
      </c>
      <c r="AA523" s="14">
        <v>0</v>
      </c>
      <c r="AB523" s="14">
        <v>0</v>
      </c>
      <c r="AC523" s="14">
        <v>0</v>
      </c>
      <c r="AD523" s="25">
        <v>0</v>
      </c>
      <c r="AE523" s="25">
        <v>0</v>
      </c>
      <c r="AF523" s="25">
        <v>0</v>
      </c>
      <c r="AG523" s="25">
        <v>0.42499999999999999</v>
      </c>
      <c r="AH523" s="25">
        <v>0.43827160500000001</v>
      </c>
      <c r="AI523" s="14" t="s">
        <v>1088</v>
      </c>
      <c r="AJ523" s="14" t="s">
        <v>33</v>
      </c>
    </row>
    <row r="524" spans="1:36" x14ac:dyDescent="0.25">
      <c r="A524" s="1">
        <v>540</v>
      </c>
      <c r="B524" s="25" t="s">
        <v>1663</v>
      </c>
      <c r="C524" s="25" t="s">
        <v>2114</v>
      </c>
      <c r="D524" s="25" t="s">
        <v>12</v>
      </c>
      <c r="E524" s="25" t="s">
        <v>105</v>
      </c>
      <c r="F524" s="25">
        <v>126.23399999999999</v>
      </c>
      <c r="G524" s="25">
        <v>51</v>
      </c>
      <c r="H524" s="25">
        <v>0</v>
      </c>
      <c r="I524" s="25">
        <v>1</v>
      </c>
      <c r="J524" s="25">
        <v>0</v>
      </c>
      <c r="K524" s="25">
        <v>1</v>
      </c>
      <c r="L524" s="25">
        <v>0</v>
      </c>
      <c r="M524" s="25">
        <v>3</v>
      </c>
      <c r="N524" s="25">
        <v>3</v>
      </c>
      <c r="O524" s="25">
        <v>0</v>
      </c>
      <c r="P524" s="25">
        <v>0</v>
      </c>
      <c r="Q524" s="25">
        <v>0</v>
      </c>
      <c r="R524" s="25">
        <v>0</v>
      </c>
      <c r="S524" s="25">
        <v>0</v>
      </c>
      <c r="T524" s="25">
        <v>0</v>
      </c>
      <c r="U524" s="25">
        <v>0</v>
      </c>
      <c r="V524" s="25">
        <v>1</v>
      </c>
      <c r="W524" s="25">
        <v>0</v>
      </c>
      <c r="X524" s="25">
        <v>0</v>
      </c>
      <c r="Y524" s="25">
        <v>1</v>
      </c>
      <c r="Z524" s="25">
        <v>0</v>
      </c>
      <c r="AA524" s="25">
        <v>0</v>
      </c>
      <c r="AB524" s="25">
        <v>0</v>
      </c>
      <c r="AC524" s="25">
        <v>0</v>
      </c>
      <c r="AD524" s="25">
        <v>0</v>
      </c>
      <c r="AE524" s="25">
        <v>0</v>
      </c>
      <c r="AF524" s="25">
        <v>0</v>
      </c>
      <c r="AG524" s="25">
        <v>0.409090909</v>
      </c>
      <c r="AH524" s="25">
        <v>0.43827160500000001</v>
      </c>
      <c r="AI524" s="25" t="s">
        <v>1571</v>
      </c>
      <c r="AJ524" s="14" t="s">
        <v>33</v>
      </c>
    </row>
    <row r="525" spans="1:36" x14ac:dyDescent="0.25">
      <c r="A525" s="1">
        <v>542</v>
      </c>
      <c r="B525" s="14" t="s">
        <v>1278</v>
      </c>
      <c r="C525" s="14" t="s">
        <v>2115</v>
      </c>
      <c r="D525" s="14" t="s">
        <v>13</v>
      </c>
      <c r="E525" s="29" t="s">
        <v>181</v>
      </c>
      <c r="F525" s="14">
        <v>232.40485140000001</v>
      </c>
      <c r="G525" s="14">
        <v>51</v>
      </c>
      <c r="H525" s="14">
        <v>6</v>
      </c>
      <c r="I525" s="14">
        <v>0</v>
      </c>
      <c r="J525" s="14">
        <v>6</v>
      </c>
      <c r="K525" s="14">
        <v>3</v>
      </c>
      <c r="L525" s="14">
        <v>0</v>
      </c>
      <c r="M525" s="14">
        <v>2</v>
      </c>
      <c r="N525" s="14">
        <v>8</v>
      </c>
      <c r="O525" s="14">
        <v>0</v>
      </c>
      <c r="P525" s="14">
        <v>0</v>
      </c>
      <c r="Q525" s="14">
        <v>0</v>
      </c>
      <c r="R525" s="14">
        <v>0</v>
      </c>
      <c r="S525" s="14">
        <v>0</v>
      </c>
      <c r="T525" s="14">
        <v>0</v>
      </c>
      <c r="U525" s="14">
        <v>0</v>
      </c>
      <c r="V525" s="14">
        <v>1</v>
      </c>
      <c r="W525" s="14">
        <v>0</v>
      </c>
      <c r="X525" s="14">
        <v>5</v>
      </c>
      <c r="Y525" s="14">
        <v>0</v>
      </c>
      <c r="Z525" s="14">
        <v>0</v>
      </c>
      <c r="AA525" s="14">
        <v>0</v>
      </c>
      <c r="AB525" s="14">
        <v>0</v>
      </c>
      <c r="AC525" s="14">
        <v>0</v>
      </c>
      <c r="AD525" s="25">
        <v>0</v>
      </c>
      <c r="AE525" s="25">
        <v>0</v>
      </c>
      <c r="AF525" s="25">
        <v>0</v>
      </c>
      <c r="AG525" s="25">
        <v>0.50108166600000004</v>
      </c>
      <c r="AH525" s="25">
        <v>0.53625</v>
      </c>
      <c r="AI525" s="14" t="s">
        <v>1306</v>
      </c>
      <c r="AJ525" s="14" t="s">
        <v>33</v>
      </c>
    </row>
    <row r="526" spans="1:36" x14ac:dyDescent="0.25">
      <c r="A526" s="1">
        <v>545</v>
      </c>
      <c r="B526" s="14" t="s">
        <v>1300</v>
      </c>
      <c r="C526" s="14" t="s">
        <v>2116</v>
      </c>
      <c r="D526" s="14" t="s">
        <v>17</v>
      </c>
      <c r="E526" s="29" t="s">
        <v>204</v>
      </c>
      <c r="F526" s="14">
        <v>268.4354242</v>
      </c>
      <c r="G526" s="14">
        <v>51</v>
      </c>
      <c r="H526" s="14">
        <v>0</v>
      </c>
      <c r="I526" s="14">
        <v>1</v>
      </c>
      <c r="J526" s="14">
        <v>0</v>
      </c>
      <c r="K526" s="14">
        <v>1</v>
      </c>
      <c r="L526" s="14">
        <v>0</v>
      </c>
      <c r="M526" s="14">
        <v>2</v>
      </c>
      <c r="N526" s="14">
        <v>12</v>
      </c>
      <c r="O526" s="14">
        <v>0</v>
      </c>
      <c r="P526" s="14">
        <v>0</v>
      </c>
      <c r="Q526" s="14">
        <v>0</v>
      </c>
      <c r="R526" s="14">
        <v>0</v>
      </c>
      <c r="S526" s="14">
        <v>0</v>
      </c>
      <c r="T526" s="14">
        <v>0</v>
      </c>
      <c r="U526" s="14">
        <v>1</v>
      </c>
      <c r="V526" s="14">
        <v>0</v>
      </c>
      <c r="W526" s="14">
        <v>2</v>
      </c>
      <c r="X526" s="14">
        <v>0</v>
      </c>
      <c r="Y526" s="14">
        <v>0</v>
      </c>
      <c r="Z526" s="14">
        <v>0</v>
      </c>
      <c r="AA526" s="14">
        <v>0</v>
      </c>
      <c r="AB526" s="14">
        <v>0</v>
      </c>
      <c r="AC526" s="14">
        <v>0</v>
      </c>
      <c r="AD526" s="25">
        <v>0</v>
      </c>
      <c r="AE526" s="25">
        <v>0</v>
      </c>
      <c r="AF526" s="25">
        <v>0</v>
      </c>
      <c r="AG526" s="25">
        <v>0.55681818199999999</v>
      </c>
      <c r="AH526" s="25">
        <v>0.59624999999999995</v>
      </c>
      <c r="AI526" s="14" t="s">
        <v>1306</v>
      </c>
      <c r="AJ526" s="14" t="s">
        <v>33</v>
      </c>
    </row>
    <row r="527" spans="1:36" x14ac:dyDescent="0.25">
      <c r="A527" s="1">
        <v>546</v>
      </c>
      <c r="B527" s="14" t="s">
        <v>805</v>
      </c>
      <c r="C527" s="14" t="s">
        <v>472</v>
      </c>
      <c r="D527" s="14" t="s">
        <v>21</v>
      </c>
      <c r="E527" s="29" t="s">
        <v>204</v>
      </c>
      <c r="F527" s="14">
        <v>268.43</v>
      </c>
      <c r="G527" s="14">
        <v>51</v>
      </c>
      <c r="H527" s="14">
        <v>0</v>
      </c>
      <c r="I527" s="14">
        <v>1</v>
      </c>
      <c r="J527" s="14">
        <v>0</v>
      </c>
      <c r="K527" s="14">
        <v>1</v>
      </c>
      <c r="L527" s="14">
        <v>0</v>
      </c>
      <c r="M527" s="14">
        <v>2</v>
      </c>
      <c r="N527" s="14">
        <v>12</v>
      </c>
      <c r="O527" s="14">
        <v>0</v>
      </c>
      <c r="P527" s="14">
        <v>0</v>
      </c>
      <c r="Q527" s="14">
        <v>0</v>
      </c>
      <c r="R527" s="14">
        <v>0</v>
      </c>
      <c r="S527" s="14">
        <v>0</v>
      </c>
      <c r="T527" s="14">
        <v>0</v>
      </c>
      <c r="U527" s="14">
        <v>1</v>
      </c>
      <c r="V527" s="14">
        <v>0</v>
      </c>
      <c r="W527" s="14">
        <v>2</v>
      </c>
      <c r="X527" s="14">
        <v>0</v>
      </c>
      <c r="Y527" s="14">
        <v>0</v>
      </c>
      <c r="Z527" s="14">
        <v>0</v>
      </c>
      <c r="AA527" s="14">
        <v>0</v>
      </c>
      <c r="AB527" s="14">
        <v>0</v>
      </c>
      <c r="AC527" s="14">
        <v>0</v>
      </c>
      <c r="AD527" s="25">
        <v>0</v>
      </c>
      <c r="AE527" s="25">
        <v>0</v>
      </c>
      <c r="AF527" s="25">
        <v>0</v>
      </c>
      <c r="AG527" s="25">
        <v>0.55681818199999999</v>
      </c>
      <c r="AH527" s="25">
        <v>0.59875</v>
      </c>
      <c r="AI527" s="14" t="s">
        <v>1167</v>
      </c>
      <c r="AJ527" s="14" t="s">
        <v>33</v>
      </c>
    </row>
    <row r="528" spans="1:36" x14ac:dyDescent="0.25">
      <c r="A528" s="1">
        <v>547</v>
      </c>
      <c r="B528" s="25" t="s">
        <v>815</v>
      </c>
      <c r="C528" s="25" t="s">
        <v>478</v>
      </c>
      <c r="D528" s="25" t="s">
        <v>21</v>
      </c>
      <c r="E528" s="25" t="s">
        <v>209</v>
      </c>
      <c r="F528" s="25">
        <v>268.48</v>
      </c>
      <c r="G528" s="25">
        <v>51</v>
      </c>
      <c r="H528" s="25">
        <v>0</v>
      </c>
      <c r="I528" s="25">
        <v>1</v>
      </c>
      <c r="J528" s="25">
        <v>0</v>
      </c>
      <c r="K528" s="25">
        <v>1</v>
      </c>
      <c r="L528" s="25">
        <v>0</v>
      </c>
      <c r="M528" s="25">
        <v>1</v>
      </c>
      <c r="N528" s="25">
        <v>15</v>
      </c>
      <c r="O528" s="25">
        <v>1</v>
      </c>
      <c r="P528" s="25">
        <v>0</v>
      </c>
      <c r="Q528" s="25">
        <v>0</v>
      </c>
      <c r="R528" s="25">
        <v>0</v>
      </c>
      <c r="S528" s="25">
        <v>0</v>
      </c>
      <c r="T528" s="25">
        <v>0</v>
      </c>
      <c r="U528" s="25">
        <v>0</v>
      </c>
      <c r="V528" s="25">
        <v>0</v>
      </c>
      <c r="W528" s="25">
        <v>2</v>
      </c>
      <c r="X528" s="25">
        <v>0</v>
      </c>
      <c r="Y528" s="25">
        <v>0</v>
      </c>
      <c r="Z528" s="25">
        <v>0</v>
      </c>
      <c r="AA528" s="25">
        <v>0</v>
      </c>
      <c r="AB528" s="25">
        <v>1</v>
      </c>
      <c r="AC528" s="25">
        <v>0</v>
      </c>
      <c r="AD528" s="25">
        <v>0</v>
      </c>
      <c r="AE528" s="25">
        <v>0</v>
      </c>
      <c r="AF528" s="25">
        <v>0</v>
      </c>
      <c r="AG528" s="25">
        <v>0.58587257599999998</v>
      </c>
      <c r="AH528" s="25">
        <v>0.58587257599999998</v>
      </c>
      <c r="AI528" s="25" t="s">
        <v>1173</v>
      </c>
      <c r="AJ528" s="14" t="s">
        <v>33</v>
      </c>
    </row>
    <row r="529" spans="1:36" x14ac:dyDescent="0.25">
      <c r="A529" s="1">
        <v>549</v>
      </c>
      <c r="B529" s="25" t="s">
        <v>741</v>
      </c>
      <c r="C529" s="25" t="s">
        <v>289</v>
      </c>
      <c r="D529" s="25" t="s">
        <v>19</v>
      </c>
      <c r="E529" s="25" t="s">
        <v>96</v>
      </c>
      <c r="F529" s="25">
        <v>142.28</v>
      </c>
      <c r="G529" s="25">
        <v>51.7</v>
      </c>
      <c r="H529" s="25">
        <v>0</v>
      </c>
      <c r="I529" s="25">
        <v>0</v>
      </c>
      <c r="J529" s="25">
        <v>0</v>
      </c>
      <c r="K529" s="25">
        <v>0</v>
      </c>
      <c r="L529" s="25">
        <v>0</v>
      </c>
      <c r="M529" s="25">
        <v>4</v>
      </c>
      <c r="N529" s="25">
        <v>4</v>
      </c>
      <c r="O529" s="25">
        <v>0</v>
      </c>
      <c r="P529" s="25">
        <v>0</v>
      </c>
      <c r="Q529" s="25">
        <v>0</v>
      </c>
      <c r="R529" s="25">
        <v>0</v>
      </c>
      <c r="S529" s="25">
        <v>0</v>
      </c>
      <c r="T529" s="25">
        <v>0</v>
      </c>
      <c r="U529" s="25">
        <v>0</v>
      </c>
      <c r="V529" s="25">
        <v>2</v>
      </c>
      <c r="W529" s="25">
        <v>0</v>
      </c>
      <c r="X529" s="25">
        <v>0</v>
      </c>
      <c r="Y529" s="25">
        <v>0</v>
      </c>
      <c r="Z529" s="25">
        <v>0</v>
      </c>
      <c r="AA529" s="25">
        <v>0</v>
      </c>
      <c r="AB529" s="25">
        <v>0</v>
      </c>
      <c r="AC529" s="25">
        <v>0</v>
      </c>
      <c r="AD529" s="25">
        <v>0</v>
      </c>
      <c r="AE529" s="25">
        <v>0</v>
      </c>
      <c r="AF529" s="25">
        <v>0</v>
      </c>
      <c r="AG529" s="25">
        <v>0.39500000000000002</v>
      </c>
      <c r="AH529" s="25">
        <v>0.43827160500000001</v>
      </c>
      <c r="AI529" s="25" t="s">
        <v>978</v>
      </c>
      <c r="AJ529" s="14" t="s">
        <v>33</v>
      </c>
    </row>
    <row r="530" spans="1:36" x14ac:dyDescent="0.25">
      <c r="A530" s="1">
        <v>550</v>
      </c>
      <c r="B530" s="25" t="s">
        <v>683</v>
      </c>
      <c r="C530" s="25" t="s">
        <v>297</v>
      </c>
      <c r="D530" s="25" t="s">
        <v>16</v>
      </c>
      <c r="E530" s="25" t="s">
        <v>105</v>
      </c>
      <c r="F530" s="25">
        <v>126.24</v>
      </c>
      <c r="G530" s="25">
        <v>52</v>
      </c>
      <c r="H530" s="25">
        <v>0</v>
      </c>
      <c r="I530" s="25">
        <v>0</v>
      </c>
      <c r="J530" s="25">
        <v>0</v>
      </c>
      <c r="K530" s="25">
        <v>0</v>
      </c>
      <c r="L530" s="25">
        <v>0</v>
      </c>
      <c r="M530" s="25">
        <v>1</v>
      </c>
      <c r="N530" s="25">
        <v>2</v>
      </c>
      <c r="O530" s="25">
        <v>0</v>
      </c>
      <c r="P530" s="25">
        <v>0</v>
      </c>
      <c r="Q530" s="25">
        <v>0</v>
      </c>
      <c r="R530" s="25">
        <v>0</v>
      </c>
      <c r="S530" s="25">
        <v>0</v>
      </c>
      <c r="T530" s="25">
        <v>0</v>
      </c>
      <c r="U530" s="25">
        <v>0</v>
      </c>
      <c r="V530" s="25">
        <v>0</v>
      </c>
      <c r="W530" s="25">
        <v>0</v>
      </c>
      <c r="X530" s="25">
        <v>0</v>
      </c>
      <c r="Y530" s="25">
        <v>0</v>
      </c>
      <c r="Z530" s="25">
        <v>1</v>
      </c>
      <c r="AA530" s="25">
        <v>5</v>
      </c>
      <c r="AB530" s="25">
        <v>0</v>
      </c>
      <c r="AC530" s="25">
        <v>0</v>
      </c>
      <c r="AD530" s="25">
        <v>0</v>
      </c>
      <c r="AE530" s="25">
        <v>0</v>
      </c>
      <c r="AF530" s="25">
        <v>0</v>
      </c>
      <c r="AG530" s="25">
        <v>0.30165289299999998</v>
      </c>
      <c r="AH530" s="25">
        <v>0.32716049400000002</v>
      </c>
      <c r="AI530" s="25" t="s">
        <v>987</v>
      </c>
      <c r="AJ530" s="14" t="s">
        <v>33</v>
      </c>
    </row>
    <row r="531" spans="1:36" x14ac:dyDescent="0.25">
      <c r="A531" s="1">
        <v>551</v>
      </c>
      <c r="B531" s="25" t="s">
        <v>1624</v>
      </c>
      <c r="C531" s="25" t="s">
        <v>1392</v>
      </c>
      <c r="D531" s="25" t="s">
        <v>16</v>
      </c>
      <c r="E531" s="25" t="s">
        <v>105</v>
      </c>
      <c r="F531" s="25">
        <v>126.23399999999999</v>
      </c>
      <c r="G531" s="25">
        <v>52</v>
      </c>
      <c r="H531" s="25">
        <v>0</v>
      </c>
      <c r="I531" s="25">
        <v>0</v>
      </c>
      <c r="J531" s="25">
        <v>0</v>
      </c>
      <c r="K531" s="25">
        <v>0</v>
      </c>
      <c r="L531" s="25">
        <v>0</v>
      </c>
      <c r="M531" s="25">
        <v>1</v>
      </c>
      <c r="N531" s="25">
        <v>2</v>
      </c>
      <c r="O531" s="25">
        <v>0</v>
      </c>
      <c r="P531" s="25">
        <v>0</v>
      </c>
      <c r="Q531" s="25">
        <v>0</v>
      </c>
      <c r="R531" s="25">
        <v>0</v>
      </c>
      <c r="S531" s="25">
        <v>0</v>
      </c>
      <c r="T531" s="25">
        <v>0</v>
      </c>
      <c r="U531" s="25">
        <v>0</v>
      </c>
      <c r="V531" s="25">
        <v>0</v>
      </c>
      <c r="W531" s="25">
        <v>0</v>
      </c>
      <c r="X531" s="25">
        <v>0</v>
      </c>
      <c r="Y531" s="25">
        <v>0</v>
      </c>
      <c r="Z531" s="25">
        <v>1</v>
      </c>
      <c r="AA531" s="25">
        <v>5</v>
      </c>
      <c r="AB531" s="25">
        <v>0</v>
      </c>
      <c r="AC531" s="25">
        <v>0</v>
      </c>
      <c r="AD531" s="25">
        <v>0</v>
      </c>
      <c r="AE531" s="25">
        <v>0</v>
      </c>
      <c r="AF531" s="25">
        <v>0</v>
      </c>
      <c r="AG531" s="25">
        <v>0.32888888900000002</v>
      </c>
      <c r="AH531" s="25">
        <v>0.32716049400000002</v>
      </c>
      <c r="AI531" s="25" t="s">
        <v>1571</v>
      </c>
      <c r="AJ531" s="14" t="s">
        <v>33</v>
      </c>
    </row>
    <row r="532" spans="1:36" x14ac:dyDescent="0.25">
      <c r="A532" s="1">
        <v>552</v>
      </c>
      <c r="B532" s="14" t="s">
        <v>742</v>
      </c>
      <c r="C532" s="14" t="s">
        <v>282</v>
      </c>
      <c r="D532" s="14" t="s">
        <v>19</v>
      </c>
      <c r="E532" s="29" t="s">
        <v>90</v>
      </c>
      <c r="F532" s="14">
        <v>114.23</v>
      </c>
      <c r="G532" s="14">
        <v>52.6</v>
      </c>
      <c r="H532" s="14">
        <v>0</v>
      </c>
      <c r="I532" s="14">
        <v>0</v>
      </c>
      <c r="J532" s="14">
        <v>0</v>
      </c>
      <c r="K532" s="14">
        <v>0</v>
      </c>
      <c r="L532" s="14">
        <v>0</v>
      </c>
      <c r="M532" s="14">
        <v>3</v>
      </c>
      <c r="N532" s="14">
        <v>4</v>
      </c>
      <c r="O532" s="14">
        <v>0</v>
      </c>
      <c r="P532" s="14">
        <v>0</v>
      </c>
      <c r="Q532" s="14">
        <v>0</v>
      </c>
      <c r="R532" s="14">
        <v>0</v>
      </c>
      <c r="S532" s="14">
        <v>0</v>
      </c>
      <c r="T532" s="14">
        <v>0</v>
      </c>
      <c r="U532" s="14">
        <v>0</v>
      </c>
      <c r="V532" s="14">
        <v>1</v>
      </c>
      <c r="W532" s="14">
        <v>0</v>
      </c>
      <c r="X532" s="14">
        <v>0</v>
      </c>
      <c r="Y532" s="14">
        <v>0</v>
      </c>
      <c r="Z532" s="14">
        <v>0</v>
      </c>
      <c r="AA532" s="14">
        <v>0</v>
      </c>
      <c r="AB532" s="14">
        <v>0</v>
      </c>
      <c r="AC532" s="14">
        <v>0</v>
      </c>
      <c r="AD532" s="25">
        <v>0</v>
      </c>
      <c r="AE532" s="25">
        <v>0</v>
      </c>
      <c r="AF532" s="25">
        <v>0</v>
      </c>
      <c r="AG532" s="25">
        <v>0.3671875</v>
      </c>
      <c r="AH532" s="25">
        <v>0.37755102000000001</v>
      </c>
      <c r="AI532" s="14" t="s">
        <v>971</v>
      </c>
      <c r="AJ532" s="14" t="s">
        <v>33</v>
      </c>
    </row>
    <row r="533" spans="1:36" x14ac:dyDescent="0.25">
      <c r="A533" s="1">
        <v>553</v>
      </c>
      <c r="B533" s="14" t="s">
        <v>712</v>
      </c>
      <c r="C533" s="14" t="s">
        <v>258</v>
      </c>
      <c r="D533" s="14" t="s">
        <v>17</v>
      </c>
      <c r="E533" s="29" t="s">
        <v>66</v>
      </c>
      <c r="F533" s="14">
        <v>214.34</v>
      </c>
      <c r="G533" s="14">
        <v>52.9</v>
      </c>
      <c r="H533" s="14">
        <v>0</v>
      </c>
      <c r="I533" s="14">
        <v>0</v>
      </c>
      <c r="J533" s="14">
        <v>0</v>
      </c>
      <c r="K533" s="14">
        <v>0</v>
      </c>
      <c r="L533" s="14">
        <v>0</v>
      </c>
      <c r="M533" s="14">
        <v>2</v>
      </c>
      <c r="N533" s="14">
        <v>10</v>
      </c>
      <c r="O533" s="14">
        <v>0</v>
      </c>
      <c r="P533" s="14">
        <v>0</v>
      </c>
      <c r="Q533" s="14">
        <v>0</v>
      </c>
      <c r="R533" s="14">
        <v>0</v>
      </c>
      <c r="S533" s="14">
        <v>0</v>
      </c>
      <c r="T533" s="14">
        <v>0</v>
      </c>
      <c r="U533" s="14">
        <v>1</v>
      </c>
      <c r="V533" s="14">
        <v>0</v>
      </c>
      <c r="W533" s="14">
        <v>0</v>
      </c>
      <c r="X533" s="14">
        <v>0</v>
      </c>
      <c r="Y533" s="14">
        <v>0</v>
      </c>
      <c r="Z533" s="14">
        <v>0</v>
      </c>
      <c r="AA533" s="14">
        <v>0</v>
      </c>
      <c r="AB533" s="14">
        <v>0</v>
      </c>
      <c r="AC533" s="14">
        <v>0</v>
      </c>
      <c r="AD533" s="25">
        <v>0</v>
      </c>
      <c r="AE533" s="25">
        <v>0</v>
      </c>
      <c r="AF533" s="25">
        <v>0</v>
      </c>
      <c r="AG533" s="25">
        <v>0.54</v>
      </c>
      <c r="AH533" s="25">
        <v>0.54444444400000003</v>
      </c>
      <c r="AI533" s="14" t="s">
        <v>944</v>
      </c>
      <c r="AJ533" s="14" t="s">
        <v>33</v>
      </c>
    </row>
    <row r="534" spans="1:36" x14ac:dyDescent="0.25">
      <c r="A534" s="1">
        <v>556</v>
      </c>
      <c r="B534" s="25" t="s">
        <v>612</v>
      </c>
      <c r="C534" s="25" t="s">
        <v>525</v>
      </c>
      <c r="D534" s="25" t="s">
        <v>10</v>
      </c>
      <c r="E534" s="25" t="s">
        <v>223</v>
      </c>
      <c r="F534" s="25">
        <v>172.31</v>
      </c>
      <c r="G534" s="25">
        <v>53.2</v>
      </c>
      <c r="H534" s="25">
        <v>0</v>
      </c>
      <c r="I534" s="25">
        <v>0</v>
      </c>
      <c r="J534" s="25">
        <v>0</v>
      </c>
      <c r="K534" s="25">
        <v>0</v>
      </c>
      <c r="L534" s="25">
        <v>0</v>
      </c>
      <c r="M534" s="25">
        <v>1</v>
      </c>
      <c r="N534" s="25">
        <v>10</v>
      </c>
      <c r="O534" s="25">
        <v>1</v>
      </c>
      <c r="P534" s="25">
        <v>0</v>
      </c>
      <c r="Q534" s="25">
        <v>0</v>
      </c>
      <c r="R534" s="25">
        <v>0</v>
      </c>
      <c r="S534" s="25">
        <v>0</v>
      </c>
      <c r="T534" s="25">
        <v>0</v>
      </c>
      <c r="U534" s="25">
        <v>0</v>
      </c>
      <c r="V534" s="25">
        <v>0</v>
      </c>
      <c r="W534" s="25">
        <v>0</v>
      </c>
      <c r="X534" s="25">
        <v>0</v>
      </c>
      <c r="Y534" s="25">
        <v>0</v>
      </c>
      <c r="Z534" s="25">
        <v>0</v>
      </c>
      <c r="AA534" s="25">
        <v>0</v>
      </c>
      <c r="AB534" s="25">
        <v>1</v>
      </c>
      <c r="AC534" s="25">
        <v>0</v>
      </c>
      <c r="AD534" s="25">
        <v>0</v>
      </c>
      <c r="AE534" s="25">
        <v>0</v>
      </c>
      <c r="AF534" s="25">
        <v>0</v>
      </c>
      <c r="AG534" s="25">
        <v>0.46875</v>
      </c>
      <c r="AH534" s="25">
        <v>0.483471074</v>
      </c>
      <c r="AI534" s="25" t="s">
        <v>1221</v>
      </c>
      <c r="AJ534" s="14" t="s">
        <v>33</v>
      </c>
    </row>
    <row r="535" spans="1:36" x14ac:dyDescent="0.25">
      <c r="A535" s="1">
        <v>560</v>
      </c>
      <c r="B535" s="14" t="s">
        <v>716</v>
      </c>
      <c r="C535" s="14" t="s">
        <v>530</v>
      </c>
      <c r="D535" s="14" t="s">
        <v>17</v>
      </c>
      <c r="E535" s="29" t="s">
        <v>226</v>
      </c>
      <c r="F535" s="14">
        <v>228.37</v>
      </c>
      <c r="G535" s="14">
        <v>54.6</v>
      </c>
      <c r="H535" s="14">
        <v>0</v>
      </c>
      <c r="I535" s="14">
        <v>0</v>
      </c>
      <c r="J535" s="14">
        <v>0</v>
      </c>
      <c r="K535" s="14">
        <v>0</v>
      </c>
      <c r="L535" s="14">
        <v>0</v>
      </c>
      <c r="M535" s="14">
        <v>2</v>
      </c>
      <c r="N535" s="14">
        <v>11</v>
      </c>
      <c r="O535" s="14">
        <v>0</v>
      </c>
      <c r="P535" s="14">
        <v>0</v>
      </c>
      <c r="Q535" s="14">
        <v>0</v>
      </c>
      <c r="R535" s="14">
        <v>0</v>
      </c>
      <c r="S535" s="14">
        <v>0</v>
      </c>
      <c r="T535" s="14">
        <v>0</v>
      </c>
      <c r="U535" s="14">
        <v>1</v>
      </c>
      <c r="V535" s="14">
        <v>0</v>
      </c>
      <c r="W535" s="14">
        <v>0</v>
      </c>
      <c r="X535" s="14">
        <v>0</v>
      </c>
      <c r="Y535" s="14">
        <v>0</v>
      </c>
      <c r="Z535" s="14">
        <v>0</v>
      </c>
      <c r="AA535" s="14">
        <v>0</v>
      </c>
      <c r="AB535" s="14">
        <v>0</v>
      </c>
      <c r="AC535" s="14">
        <v>0</v>
      </c>
      <c r="AD535" s="25">
        <v>0</v>
      </c>
      <c r="AE535" s="25">
        <v>0</v>
      </c>
      <c r="AF535" s="25">
        <v>0</v>
      </c>
      <c r="AG535" s="25">
        <v>0.556640625</v>
      </c>
      <c r="AH535" s="25">
        <v>0.560546875</v>
      </c>
      <c r="AI535" s="14" t="s">
        <v>1227</v>
      </c>
      <c r="AJ535" s="14" t="s">
        <v>33</v>
      </c>
    </row>
    <row r="536" spans="1:36" x14ac:dyDescent="0.25">
      <c r="A536" s="1">
        <v>561</v>
      </c>
      <c r="B536" s="14" t="s">
        <v>1830</v>
      </c>
      <c r="C536" s="14" t="s">
        <v>1499</v>
      </c>
      <c r="D536" s="14" t="s">
        <v>18</v>
      </c>
      <c r="E536" s="29" t="s">
        <v>141</v>
      </c>
      <c r="F536" s="14">
        <v>46.067999999999998</v>
      </c>
      <c r="G536" s="14">
        <v>55</v>
      </c>
      <c r="H536" s="14">
        <v>0</v>
      </c>
      <c r="I536" s="14">
        <v>0</v>
      </c>
      <c r="J536" s="14">
        <v>0</v>
      </c>
      <c r="K536" s="14">
        <v>0</v>
      </c>
      <c r="L536" s="14">
        <v>0</v>
      </c>
      <c r="M536" s="14">
        <v>2</v>
      </c>
      <c r="N536" s="14">
        <v>0</v>
      </c>
      <c r="O536" s="14">
        <v>0</v>
      </c>
      <c r="P536" s="14">
        <v>1</v>
      </c>
      <c r="Q536" s="14">
        <v>0</v>
      </c>
      <c r="R536" s="14">
        <v>0</v>
      </c>
      <c r="S536" s="14">
        <v>0</v>
      </c>
      <c r="T536" s="14">
        <v>0</v>
      </c>
      <c r="U536" s="14">
        <v>0</v>
      </c>
      <c r="V536" s="14">
        <v>0</v>
      </c>
      <c r="W536" s="14">
        <v>0</v>
      </c>
      <c r="X536" s="14">
        <v>0</v>
      </c>
      <c r="Y536" s="14">
        <v>0</v>
      </c>
      <c r="Z536" s="14">
        <v>0</v>
      </c>
      <c r="AA536" s="14">
        <v>0</v>
      </c>
      <c r="AB536" s="14">
        <v>0</v>
      </c>
      <c r="AC536" s="14">
        <v>0</v>
      </c>
      <c r="AD536" s="25">
        <v>0</v>
      </c>
      <c r="AE536" s="25">
        <v>0</v>
      </c>
      <c r="AF536" s="25">
        <v>0</v>
      </c>
      <c r="AG536" s="25">
        <v>0.1875</v>
      </c>
      <c r="AH536" s="25">
        <v>0</v>
      </c>
      <c r="AI536" s="14" t="s">
        <v>1571</v>
      </c>
      <c r="AJ536" s="14" t="s">
        <v>33</v>
      </c>
    </row>
    <row r="537" spans="1:36" x14ac:dyDescent="0.25">
      <c r="A537" s="1">
        <v>565</v>
      </c>
      <c r="B537" s="25" t="s">
        <v>639</v>
      </c>
      <c r="C537" s="25" t="s">
        <v>540</v>
      </c>
      <c r="D537" s="25" t="s">
        <v>12</v>
      </c>
      <c r="E537" s="25" t="s">
        <v>227</v>
      </c>
      <c r="F537" s="25">
        <v>336.64</v>
      </c>
      <c r="G537" s="25">
        <v>56</v>
      </c>
      <c r="H537" s="25">
        <v>0</v>
      </c>
      <c r="I537" s="25">
        <v>1</v>
      </c>
      <c r="J537" s="25">
        <v>0</v>
      </c>
      <c r="K537" s="25">
        <v>1</v>
      </c>
      <c r="L537" s="25">
        <v>0</v>
      </c>
      <c r="M537" s="25">
        <v>4</v>
      </c>
      <c r="N537" s="25">
        <v>16</v>
      </c>
      <c r="O537" s="25">
        <v>0</v>
      </c>
      <c r="P537" s="25">
        <v>0</v>
      </c>
      <c r="Q537" s="25">
        <v>0</v>
      </c>
      <c r="R537" s="25">
        <v>0</v>
      </c>
      <c r="S537" s="25">
        <v>0</v>
      </c>
      <c r="T537" s="25">
        <v>0</v>
      </c>
      <c r="U537" s="25">
        <v>0</v>
      </c>
      <c r="V537" s="25">
        <v>2</v>
      </c>
      <c r="W537" s="25">
        <v>2</v>
      </c>
      <c r="X537" s="25">
        <v>0</v>
      </c>
      <c r="Y537" s="25">
        <v>0</v>
      </c>
      <c r="Z537" s="25">
        <v>0</v>
      </c>
      <c r="AA537" s="25">
        <v>0</v>
      </c>
      <c r="AB537" s="25">
        <v>0</v>
      </c>
      <c r="AC537" s="25">
        <v>0</v>
      </c>
      <c r="AD537" s="25">
        <v>0</v>
      </c>
      <c r="AE537" s="25">
        <v>0</v>
      </c>
      <c r="AF537" s="25">
        <v>0</v>
      </c>
      <c r="AG537" s="25">
        <v>0.62934027800000003</v>
      </c>
      <c r="AH537" s="25">
        <v>0.63107638899999996</v>
      </c>
      <c r="AI537" s="25" t="s">
        <v>1235</v>
      </c>
      <c r="AJ537" s="14" t="s">
        <v>33</v>
      </c>
    </row>
    <row r="538" spans="1:36" x14ac:dyDescent="0.25">
      <c r="A538" s="1">
        <v>566</v>
      </c>
      <c r="B538" s="14" t="s">
        <v>1341</v>
      </c>
      <c r="C538" s="14" t="s">
        <v>2117</v>
      </c>
      <c r="D538" s="14" t="s">
        <v>12</v>
      </c>
      <c r="E538" s="29" t="s">
        <v>227</v>
      </c>
      <c r="F538" s="14">
        <v>336.6388177</v>
      </c>
      <c r="G538" s="14">
        <v>56</v>
      </c>
      <c r="H538" s="14">
        <v>0</v>
      </c>
      <c r="I538" s="14">
        <v>1</v>
      </c>
      <c r="J538" s="14">
        <v>0</v>
      </c>
      <c r="K538" s="14">
        <v>1</v>
      </c>
      <c r="L538" s="14">
        <v>0</v>
      </c>
      <c r="M538" s="14">
        <v>4</v>
      </c>
      <c r="N538" s="14">
        <v>16</v>
      </c>
      <c r="O538" s="14">
        <v>0</v>
      </c>
      <c r="P538" s="14">
        <v>0</v>
      </c>
      <c r="Q538" s="14">
        <v>0</v>
      </c>
      <c r="R538" s="14">
        <v>0</v>
      </c>
      <c r="S538" s="14">
        <v>0</v>
      </c>
      <c r="T538" s="14">
        <v>0</v>
      </c>
      <c r="U538" s="14">
        <v>0</v>
      </c>
      <c r="V538" s="14">
        <v>2</v>
      </c>
      <c r="W538" s="14">
        <v>2</v>
      </c>
      <c r="X538" s="14">
        <v>0</v>
      </c>
      <c r="Y538" s="14">
        <v>0</v>
      </c>
      <c r="Z538" s="14">
        <v>0</v>
      </c>
      <c r="AA538" s="14">
        <v>0</v>
      </c>
      <c r="AB538" s="14">
        <v>0</v>
      </c>
      <c r="AC538" s="14">
        <v>0</v>
      </c>
      <c r="AD538" s="25">
        <v>0</v>
      </c>
      <c r="AE538" s="25">
        <v>0</v>
      </c>
      <c r="AF538" s="25">
        <v>0</v>
      </c>
      <c r="AG538" s="25">
        <v>0.60880000000000001</v>
      </c>
      <c r="AH538" s="25">
        <v>0.62065972199999997</v>
      </c>
      <c r="AI538" s="14" t="s">
        <v>1306</v>
      </c>
      <c r="AJ538" s="14" t="s">
        <v>33</v>
      </c>
    </row>
    <row r="539" spans="1:36" x14ac:dyDescent="0.25">
      <c r="A539" s="1">
        <v>568</v>
      </c>
      <c r="B539" s="25" t="s">
        <v>1343</v>
      </c>
      <c r="C539" s="25" t="s">
        <v>2118</v>
      </c>
      <c r="D539" s="25" t="s">
        <v>12</v>
      </c>
      <c r="E539" s="25" t="s">
        <v>227</v>
      </c>
      <c r="F539" s="25">
        <v>336.6388177</v>
      </c>
      <c r="G539" s="25">
        <v>56</v>
      </c>
      <c r="H539" s="25">
        <v>0</v>
      </c>
      <c r="I539" s="25">
        <v>1</v>
      </c>
      <c r="J539" s="25">
        <v>0</v>
      </c>
      <c r="K539" s="25">
        <v>1</v>
      </c>
      <c r="L539" s="25">
        <v>0</v>
      </c>
      <c r="M539" s="25">
        <v>4</v>
      </c>
      <c r="N539" s="25">
        <v>16</v>
      </c>
      <c r="O539" s="25">
        <v>0</v>
      </c>
      <c r="P539" s="25">
        <v>0</v>
      </c>
      <c r="Q539" s="25">
        <v>0</v>
      </c>
      <c r="R539" s="25">
        <v>0</v>
      </c>
      <c r="S539" s="25">
        <v>0</v>
      </c>
      <c r="T539" s="25">
        <v>0</v>
      </c>
      <c r="U539" s="25">
        <v>0</v>
      </c>
      <c r="V539" s="25">
        <v>2</v>
      </c>
      <c r="W539" s="25">
        <v>2</v>
      </c>
      <c r="X539" s="25">
        <v>0</v>
      </c>
      <c r="Y539" s="25">
        <v>0</v>
      </c>
      <c r="Z539" s="25">
        <v>0</v>
      </c>
      <c r="AA539" s="25">
        <v>0</v>
      </c>
      <c r="AB539" s="25">
        <v>0</v>
      </c>
      <c r="AC539" s="25">
        <v>0</v>
      </c>
      <c r="AD539" s="25">
        <v>0</v>
      </c>
      <c r="AE539" s="25">
        <v>0</v>
      </c>
      <c r="AF539" s="25">
        <v>0</v>
      </c>
      <c r="AG539" s="25">
        <v>0.60880000000000001</v>
      </c>
      <c r="AH539" s="25">
        <v>0.62586805599999995</v>
      </c>
      <c r="AI539" s="25" t="s">
        <v>1306</v>
      </c>
      <c r="AJ539" s="14" t="s">
        <v>33</v>
      </c>
    </row>
    <row r="540" spans="1:36" x14ac:dyDescent="0.25">
      <c r="A540" s="1">
        <v>569</v>
      </c>
      <c r="B540" s="25" t="s">
        <v>1344</v>
      </c>
      <c r="C540" s="25" t="s">
        <v>2119</v>
      </c>
      <c r="D540" s="25" t="s">
        <v>12</v>
      </c>
      <c r="E540" s="25" t="s">
        <v>227</v>
      </c>
      <c r="F540" s="25">
        <v>336.6388177</v>
      </c>
      <c r="G540" s="25">
        <v>56</v>
      </c>
      <c r="H540" s="25">
        <v>0</v>
      </c>
      <c r="I540" s="25">
        <v>1</v>
      </c>
      <c r="J540" s="25">
        <v>0</v>
      </c>
      <c r="K540" s="25">
        <v>1</v>
      </c>
      <c r="L540" s="25">
        <v>0</v>
      </c>
      <c r="M540" s="25">
        <v>4</v>
      </c>
      <c r="N540" s="25">
        <v>16</v>
      </c>
      <c r="O540" s="25">
        <v>0</v>
      </c>
      <c r="P540" s="25">
        <v>0</v>
      </c>
      <c r="Q540" s="25">
        <v>0</v>
      </c>
      <c r="R540" s="25">
        <v>0</v>
      </c>
      <c r="S540" s="25">
        <v>0</v>
      </c>
      <c r="T540" s="25">
        <v>0</v>
      </c>
      <c r="U540" s="25">
        <v>0</v>
      </c>
      <c r="V540" s="25">
        <v>2</v>
      </c>
      <c r="W540" s="25">
        <v>2</v>
      </c>
      <c r="X540" s="25">
        <v>0</v>
      </c>
      <c r="Y540" s="25">
        <v>0</v>
      </c>
      <c r="Z540" s="25">
        <v>0</v>
      </c>
      <c r="AA540" s="25">
        <v>0</v>
      </c>
      <c r="AB540" s="25">
        <v>0</v>
      </c>
      <c r="AC540" s="25">
        <v>0</v>
      </c>
      <c r="AD540" s="25">
        <v>0</v>
      </c>
      <c r="AE540" s="25">
        <v>0</v>
      </c>
      <c r="AF540" s="25">
        <v>0</v>
      </c>
      <c r="AG540" s="25">
        <v>0.60880000000000001</v>
      </c>
      <c r="AH540" s="25">
        <v>0.62586805599999995</v>
      </c>
      <c r="AI540" s="25" t="s">
        <v>1306</v>
      </c>
      <c r="AJ540" s="14" t="s">
        <v>33</v>
      </c>
    </row>
    <row r="541" spans="1:36" x14ac:dyDescent="0.25">
      <c r="A541" s="1">
        <v>570</v>
      </c>
      <c r="B541" s="14" t="s">
        <v>1345</v>
      </c>
      <c r="C541" s="14" t="s">
        <v>2120</v>
      </c>
      <c r="D541" s="14" t="s">
        <v>12</v>
      </c>
      <c r="E541" s="29" t="s">
        <v>227</v>
      </c>
      <c r="F541" s="14">
        <v>336.6388177</v>
      </c>
      <c r="G541" s="14">
        <v>56</v>
      </c>
      <c r="H541" s="14">
        <v>0</v>
      </c>
      <c r="I541" s="14">
        <v>1</v>
      </c>
      <c r="J541" s="14">
        <v>0</v>
      </c>
      <c r="K541" s="14">
        <v>1</v>
      </c>
      <c r="L541" s="14">
        <v>0</v>
      </c>
      <c r="M541" s="14">
        <v>4</v>
      </c>
      <c r="N541" s="14">
        <v>16</v>
      </c>
      <c r="O541" s="14">
        <v>0</v>
      </c>
      <c r="P541" s="14">
        <v>0</v>
      </c>
      <c r="Q541" s="14">
        <v>0</v>
      </c>
      <c r="R541" s="14">
        <v>0</v>
      </c>
      <c r="S541" s="14">
        <v>0</v>
      </c>
      <c r="T541" s="14">
        <v>0</v>
      </c>
      <c r="U541" s="14">
        <v>0</v>
      </c>
      <c r="V541" s="14">
        <v>2</v>
      </c>
      <c r="W541" s="14">
        <v>2</v>
      </c>
      <c r="X541" s="14">
        <v>0</v>
      </c>
      <c r="Y541" s="14">
        <v>0</v>
      </c>
      <c r="Z541" s="14">
        <v>0</v>
      </c>
      <c r="AA541" s="14">
        <v>0</v>
      </c>
      <c r="AB541" s="14">
        <v>0</v>
      </c>
      <c r="AC541" s="14">
        <v>0</v>
      </c>
      <c r="AD541" s="25">
        <v>0</v>
      </c>
      <c r="AE541" s="25">
        <v>0</v>
      </c>
      <c r="AF541" s="25">
        <v>0</v>
      </c>
      <c r="AG541" s="25">
        <v>0.60880000000000001</v>
      </c>
      <c r="AH541" s="25">
        <v>0.63107638899999996</v>
      </c>
      <c r="AI541" s="14" t="s">
        <v>1306</v>
      </c>
      <c r="AJ541" s="14" t="s">
        <v>33</v>
      </c>
    </row>
    <row r="542" spans="1:36" x14ac:dyDescent="0.25">
      <c r="A542" s="1">
        <v>571</v>
      </c>
      <c r="B542" s="14" t="s">
        <v>1346</v>
      </c>
      <c r="C542" s="14" t="s">
        <v>2121</v>
      </c>
      <c r="D542" s="14" t="s">
        <v>12</v>
      </c>
      <c r="E542" s="29" t="s">
        <v>227</v>
      </c>
      <c r="F542" s="14">
        <v>336.6388177</v>
      </c>
      <c r="G542" s="14">
        <v>56</v>
      </c>
      <c r="H542" s="14">
        <v>0</v>
      </c>
      <c r="I542" s="14">
        <v>1</v>
      </c>
      <c r="J542" s="14">
        <v>0</v>
      </c>
      <c r="K542" s="14">
        <v>1</v>
      </c>
      <c r="L542" s="14">
        <v>0</v>
      </c>
      <c r="M542" s="14">
        <v>4</v>
      </c>
      <c r="N542" s="14">
        <v>16</v>
      </c>
      <c r="O542" s="14">
        <v>0</v>
      </c>
      <c r="P542" s="14">
        <v>0</v>
      </c>
      <c r="Q542" s="14">
        <v>0</v>
      </c>
      <c r="R542" s="14">
        <v>0</v>
      </c>
      <c r="S542" s="14">
        <v>0</v>
      </c>
      <c r="T542" s="14">
        <v>0</v>
      </c>
      <c r="U542" s="14">
        <v>0</v>
      </c>
      <c r="V542" s="14">
        <v>2</v>
      </c>
      <c r="W542" s="14">
        <v>2</v>
      </c>
      <c r="X542" s="14">
        <v>0</v>
      </c>
      <c r="Y542" s="14">
        <v>0</v>
      </c>
      <c r="Z542" s="14">
        <v>0</v>
      </c>
      <c r="AA542" s="14">
        <v>0</v>
      </c>
      <c r="AB542" s="14">
        <v>0</v>
      </c>
      <c r="AC542" s="14">
        <v>0</v>
      </c>
      <c r="AD542" s="25">
        <v>0</v>
      </c>
      <c r="AE542" s="25">
        <v>0</v>
      </c>
      <c r="AF542" s="25">
        <v>0</v>
      </c>
      <c r="AG542" s="25">
        <v>0.60880000000000001</v>
      </c>
      <c r="AH542" s="25">
        <v>0.62586805599999995</v>
      </c>
      <c r="AI542" s="14" t="s">
        <v>1306</v>
      </c>
      <c r="AJ542" s="14" t="s">
        <v>33</v>
      </c>
    </row>
    <row r="543" spans="1:36" x14ac:dyDescent="0.25">
      <c r="A543" s="1">
        <v>572</v>
      </c>
      <c r="B543" s="14" t="s">
        <v>1820</v>
      </c>
      <c r="C543" s="14" t="s">
        <v>1495</v>
      </c>
      <c r="D543" s="14" t="s">
        <v>1931</v>
      </c>
      <c r="E543" s="29" t="s">
        <v>121</v>
      </c>
      <c r="F543" s="14">
        <v>296.47800000000001</v>
      </c>
      <c r="G543" s="14">
        <v>56</v>
      </c>
      <c r="H543" s="14">
        <v>0</v>
      </c>
      <c r="I543" s="14">
        <v>1</v>
      </c>
      <c r="J543" s="14">
        <v>0</v>
      </c>
      <c r="K543" s="14">
        <v>1</v>
      </c>
      <c r="L543" s="14">
        <v>0</v>
      </c>
      <c r="M543" s="14">
        <v>2</v>
      </c>
      <c r="N543" s="14">
        <v>14</v>
      </c>
      <c r="O543" s="14">
        <v>0</v>
      </c>
      <c r="P543" s="14">
        <v>0</v>
      </c>
      <c r="Q543" s="14">
        <v>0</v>
      </c>
      <c r="R543" s="14">
        <v>0</v>
      </c>
      <c r="S543" s="14">
        <v>0</v>
      </c>
      <c r="T543" s="14">
        <v>0</v>
      </c>
      <c r="U543" s="14">
        <v>1</v>
      </c>
      <c r="V543" s="14">
        <v>0</v>
      </c>
      <c r="W543" s="14">
        <v>2</v>
      </c>
      <c r="X543" s="14">
        <v>0</v>
      </c>
      <c r="Y543" s="14">
        <v>0</v>
      </c>
      <c r="Z543" s="14">
        <v>0</v>
      </c>
      <c r="AA543" s="14">
        <v>0</v>
      </c>
      <c r="AB543" s="14">
        <v>0</v>
      </c>
      <c r="AC543" s="14">
        <v>0</v>
      </c>
      <c r="AD543" s="25">
        <v>0</v>
      </c>
      <c r="AE543" s="25">
        <v>0</v>
      </c>
      <c r="AF543" s="25">
        <v>0</v>
      </c>
      <c r="AG543" s="25">
        <v>0.61466942099999999</v>
      </c>
      <c r="AH543" s="25">
        <v>0.61053718999999995</v>
      </c>
      <c r="AI543" s="14" t="s">
        <v>1571</v>
      </c>
      <c r="AJ543" s="14" t="s">
        <v>33</v>
      </c>
    </row>
    <row r="544" spans="1:36" x14ac:dyDescent="0.25">
      <c r="A544" s="1">
        <v>573</v>
      </c>
      <c r="B544" s="14" t="s">
        <v>744</v>
      </c>
      <c r="C544" s="14" t="s">
        <v>449</v>
      </c>
      <c r="D544" s="14" t="s">
        <v>19</v>
      </c>
      <c r="E544" s="29" t="s">
        <v>175</v>
      </c>
      <c r="F544" s="14">
        <v>338.65</v>
      </c>
      <c r="G544" s="14">
        <v>56</v>
      </c>
      <c r="H544" s="14">
        <v>0</v>
      </c>
      <c r="I544" s="14">
        <v>0</v>
      </c>
      <c r="J544" s="14">
        <v>0</v>
      </c>
      <c r="K544" s="14">
        <v>0</v>
      </c>
      <c r="L544" s="14">
        <v>0</v>
      </c>
      <c r="M544" s="14">
        <v>4</v>
      </c>
      <c r="N544" s="14">
        <v>18</v>
      </c>
      <c r="O544" s="14">
        <v>0</v>
      </c>
      <c r="P544" s="14">
        <v>0</v>
      </c>
      <c r="Q544" s="14">
        <v>0</v>
      </c>
      <c r="R544" s="14">
        <v>0</v>
      </c>
      <c r="S544" s="14">
        <v>0</v>
      </c>
      <c r="T544" s="14">
        <v>0</v>
      </c>
      <c r="U544" s="14">
        <v>0</v>
      </c>
      <c r="V544" s="14">
        <v>2</v>
      </c>
      <c r="W544" s="14">
        <v>0</v>
      </c>
      <c r="X544" s="14">
        <v>0</v>
      </c>
      <c r="Y544" s="14">
        <v>0</v>
      </c>
      <c r="Z544" s="14">
        <v>0</v>
      </c>
      <c r="AA544" s="14">
        <v>0</v>
      </c>
      <c r="AB544" s="14">
        <v>0</v>
      </c>
      <c r="AC544" s="14">
        <v>0</v>
      </c>
      <c r="AD544" s="25">
        <v>0</v>
      </c>
      <c r="AE544" s="25">
        <v>0</v>
      </c>
      <c r="AF544" s="25">
        <v>0</v>
      </c>
      <c r="AG544" s="25">
        <v>0.60329861100000004</v>
      </c>
      <c r="AH544" s="25">
        <v>0.62287334599999999</v>
      </c>
      <c r="AI544" s="14" t="s">
        <v>1145</v>
      </c>
      <c r="AJ544" s="14" t="s">
        <v>33</v>
      </c>
    </row>
    <row r="545" spans="1:36" x14ac:dyDescent="0.25">
      <c r="A545" s="1">
        <v>574</v>
      </c>
      <c r="B545" s="25" t="s">
        <v>1311</v>
      </c>
      <c r="C545" s="25" t="s">
        <v>2122</v>
      </c>
      <c r="D545" s="25" t="s">
        <v>7</v>
      </c>
      <c r="E545" s="25" t="s">
        <v>175</v>
      </c>
      <c r="F545" s="25">
        <v>338.65469919999998</v>
      </c>
      <c r="G545" s="25">
        <v>56</v>
      </c>
      <c r="H545" s="25">
        <v>0</v>
      </c>
      <c r="I545" s="25">
        <v>0</v>
      </c>
      <c r="J545" s="25">
        <v>0</v>
      </c>
      <c r="K545" s="25">
        <v>0</v>
      </c>
      <c r="L545" s="25">
        <v>0</v>
      </c>
      <c r="M545" s="25">
        <v>4</v>
      </c>
      <c r="N545" s="25">
        <v>18</v>
      </c>
      <c r="O545" s="25">
        <v>0</v>
      </c>
      <c r="P545" s="25">
        <v>0</v>
      </c>
      <c r="Q545" s="25">
        <v>0</v>
      </c>
      <c r="R545" s="25">
        <v>0</v>
      </c>
      <c r="S545" s="25">
        <v>0</v>
      </c>
      <c r="T545" s="25">
        <v>0</v>
      </c>
      <c r="U545" s="25">
        <v>0</v>
      </c>
      <c r="V545" s="25">
        <v>2</v>
      </c>
      <c r="W545" s="25">
        <v>0</v>
      </c>
      <c r="X545" s="25">
        <v>0</v>
      </c>
      <c r="Y545" s="25">
        <v>0</v>
      </c>
      <c r="Z545" s="25">
        <v>0</v>
      </c>
      <c r="AA545" s="25">
        <v>0</v>
      </c>
      <c r="AB545" s="25">
        <v>0</v>
      </c>
      <c r="AC545" s="25">
        <v>0</v>
      </c>
      <c r="AD545" s="25">
        <v>0</v>
      </c>
      <c r="AE545" s="25">
        <v>0</v>
      </c>
      <c r="AF545" s="25">
        <v>0</v>
      </c>
      <c r="AG545" s="25">
        <v>0.59982638899999996</v>
      </c>
      <c r="AH545" s="25">
        <v>0.62287334599999999</v>
      </c>
      <c r="AI545" s="25" t="s">
        <v>1306</v>
      </c>
      <c r="AJ545" s="14" t="s">
        <v>33</v>
      </c>
    </row>
    <row r="546" spans="1:36" x14ac:dyDescent="0.25">
      <c r="A546" s="1">
        <v>576</v>
      </c>
      <c r="B546" s="14" t="s">
        <v>1313</v>
      </c>
      <c r="C546" s="14" t="s">
        <v>2123</v>
      </c>
      <c r="D546" s="14" t="s">
        <v>7</v>
      </c>
      <c r="E546" s="29" t="s">
        <v>175</v>
      </c>
      <c r="F546" s="14">
        <v>338.65469919999998</v>
      </c>
      <c r="G546" s="14">
        <v>56</v>
      </c>
      <c r="H546" s="14">
        <v>0</v>
      </c>
      <c r="I546" s="14">
        <v>0</v>
      </c>
      <c r="J546" s="14">
        <v>0</v>
      </c>
      <c r="K546" s="14">
        <v>0</v>
      </c>
      <c r="L546" s="14">
        <v>0</v>
      </c>
      <c r="M546" s="14">
        <v>4</v>
      </c>
      <c r="N546" s="14">
        <v>18</v>
      </c>
      <c r="O546" s="14">
        <v>0</v>
      </c>
      <c r="P546" s="14">
        <v>0</v>
      </c>
      <c r="Q546" s="14">
        <v>0</v>
      </c>
      <c r="R546" s="14">
        <v>0</v>
      </c>
      <c r="S546" s="14">
        <v>0</v>
      </c>
      <c r="T546" s="14">
        <v>0</v>
      </c>
      <c r="U546" s="14">
        <v>0</v>
      </c>
      <c r="V546" s="14">
        <v>2</v>
      </c>
      <c r="W546" s="14">
        <v>0</v>
      </c>
      <c r="X546" s="14">
        <v>0</v>
      </c>
      <c r="Y546" s="14">
        <v>0</v>
      </c>
      <c r="Z546" s="14">
        <v>0</v>
      </c>
      <c r="AA546" s="14">
        <v>0</v>
      </c>
      <c r="AB546" s="14">
        <v>0</v>
      </c>
      <c r="AC546" s="14">
        <v>0</v>
      </c>
      <c r="AD546" s="25">
        <v>0</v>
      </c>
      <c r="AE546" s="25">
        <v>0</v>
      </c>
      <c r="AF546" s="25">
        <v>0</v>
      </c>
      <c r="AG546" s="25">
        <v>0.59982638899999996</v>
      </c>
      <c r="AH546" s="25">
        <v>0.62287334599999999</v>
      </c>
      <c r="AI546" s="14" t="s">
        <v>1306</v>
      </c>
      <c r="AJ546" s="14" t="s">
        <v>33</v>
      </c>
    </row>
    <row r="547" spans="1:36" x14ac:dyDescent="0.25">
      <c r="A547" s="1">
        <v>577</v>
      </c>
      <c r="B547" s="14" t="s">
        <v>1814</v>
      </c>
      <c r="C547" s="14" t="s">
        <v>1490</v>
      </c>
      <c r="D547" s="14" t="s">
        <v>1931</v>
      </c>
      <c r="E547" s="29" t="s">
        <v>1815</v>
      </c>
      <c r="F547" s="14">
        <v>268.42599999999999</v>
      </c>
      <c r="G547" s="14">
        <v>56.6</v>
      </c>
      <c r="H547" s="14">
        <v>0</v>
      </c>
      <c r="I547" s="14">
        <v>1</v>
      </c>
      <c r="J547" s="14">
        <v>0</v>
      </c>
      <c r="K547" s="14">
        <v>1</v>
      </c>
      <c r="L547" s="14">
        <v>0</v>
      </c>
      <c r="M547" s="14">
        <v>2</v>
      </c>
      <c r="N547" s="14">
        <v>12</v>
      </c>
      <c r="O547" s="14">
        <v>0</v>
      </c>
      <c r="P547" s="14">
        <v>0</v>
      </c>
      <c r="Q547" s="14">
        <v>0</v>
      </c>
      <c r="R547" s="14">
        <v>0</v>
      </c>
      <c r="S547" s="14">
        <v>0</v>
      </c>
      <c r="T547" s="14">
        <v>0</v>
      </c>
      <c r="U547" s="14">
        <v>1</v>
      </c>
      <c r="V547" s="14">
        <v>0</v>
      </c>
      <c r="W547" s="14">
        <v>2</v>
      </c>
      <c r="X547" s="14">
        <v>0</v>
      </c>
      <c r="Y547" s="14">
        <v>0</v>
      </c>
      <c r="Z547" s="14">
        <v>0</v>
      </c>
      <c r="AA547" s="14">
        <v>0</v>
      </c>
      <c r="AB547" s="14">
        <v>0</v>
      </c>
      <c r="AC547" s="14">
        <v>0</v>
      </c>
      <c r="AD547" s="25">
        <v>0</v>
      </c>
      <c r="AE547" s="25">
        <v>0</v>
      </c>
      <c r="AF547" s="25">
        <v>0</v>
      </c>
      <c r="AG547" s="25">
        <v>0.59875</v>
      </c>
      <c r="AH547" s="25">
        <v>0.59375</v>
      </c>
      <c r="AI547" s="14" t="s">
        <v>1571</v>
      </c>
      <c r="AJ547" s="14" t="s">
        <v>33</v>
      </c>
    </row>
    <row r="548" spans="1:36" x14ac:dyDescent="0.25">
      <c r="A548" s="1">
        <v>578</v>
      </c>
      <c r="B548" s="25" t="s">
        <v>1668</v>
      </c>
      <c r="C548" s="25" t="s">
        <v>1417</v>
      </c>
      <c r="D548" s="25" t="s">
        <v>12</v>
      </c>
      <c r="E548" s="25" t="s">
        <v>168</v>
      </c>
      <c r="F548" s="25">
        <v>168.31200000000001</v>
      </c>
      <c r="G548" s="25">
        <v>56.8</v>
      </c>
      <c r="H548" s="25">
        <v>0</v>
      </c>
      <c r="I548" s="25">
        <v>1</v>
      </c>
      <c r="J548" s="25">
        <v>0</v>
      </c>
      <c r="K548" s="25">
        <v>1</v>
      </c>
      <c r="L548" s="25">
        <v>0</v>
      </c>
      <c r="M548" s="25">
        <v>1</v>
      </c>
      <c r="N548" s="25">
        <v>9</v>
      </c>
      <c r="O548" s="25">
        <v>0</v>
      </c>
      <c r="P548" s="25">
        <v>0</v>
      </c>
      <c r="Q548" s="25">
        <v>0</v>
      </c>
      <c r="R548" s="25">
        <v>0</v>
      </c>
      <c r="S548" s="25">
        <v>0</v>
      </c>
      <c r="T548" s="25">
        <v>0</v>
      </c>
      <c r="U548" s="25">
        <v>0</v>
      </c>
      <c r="V548" s="25">
        <v>0</v>
      </c>
      <c r="W548" s="25">
        <v>1</v>
      </c>
      <c r="X548" s="25">
        <v>0</v>
      </c>
      <c r="Y548" s="25">
        <v>1</v>
      </c>
      <c r="Z548" s="25">
        <v>0</v>
      </c>
      <c r="AA548" s="25">
        <v>0</v>
      </c>
      <c r="AB548" s="25">
        <v>0</v>
      </c>
      <c r="AC548" s="25">
        <v>0</v>
      </c>
      <c r="AD548" s="25">
        <v>0</v>
      </c>
      <c r="AE548" s="25">
        <v>0</v>
      </c>
      <c r="AF548" s="25">
        <v>0</v>
      </c>
      <c r="AG548" s="25">
        <v>0.48263888900000002</v>
      </c>
      <c r="AH548" s="25">
        <v>0.49652777799999998</v>
      </c>
      <c r="AI548" s="25" t="s">
        <v>1571</v>
      </c>
      <c r="AJ548" s="14" t="s">
        <v>33</v>
      </c>
    </row>
    <row r="549" spans="1:36" x14ac:dyDescent="0.25">
      <c r="A549" s="1">
        <v>579</v>
      </c>
      <c r="B549" s="25" t="s">
        <v>680</v>
      </c>
      <c r="C549" s="25" t="s">
        <v>432</v>
      </c>
      <c r="D549" s="25" t="s">
        <v>16</v>
      </c>
      <c r="E549" s="25" t="s">
        <v>185</v>
      </c>
      <c r="F549" s="25">
        <v>280.52999999999997</v>
      </c>
      <c r="G549" s="25">
        <v>57</v>
      </c>
      <c r="H549" s="25">
        <v>0</v>
      </c>
      <c r="I549" s="25">
        <v>0</v>
      </c>
      <c r="J549" s="25">
        <v>0</v>
      </c>
      <c r="K549" s="25">
        <v>0</v>
      </c>
      <c r="L549" s="25">
        <v>0</v>
      </c>
      <c r="M549" s="25">
        <v>2</v>
      </c>
      <c r="N549" s="25">
        <v>11</v>
      </c>
      <c r="O549" s="25">
        <v>0</v>
      </c>
      <c r="P549" s="25">
        <v>0</v>
      </c>
      <c r="Q549" s="25">
        <v>0</v>
      </c>
      <c r="R549" s="25">
        <v>0</v>
      </c>
      <c r="S549" s="25">
        <v>0</v>
      </c>
      <c r="T549" s="25">
        <v>0</v>
      </c>
      <c r="U549" s="25">
        <v>0</v>
      </c>
      <c r="V549" s="25">
        <v>1</v>
      </c>
      <c r="W549" s="25">
        <v>0</v>
      </c>
      <c r="X549" s="25">
        <v>0</v>
      </c>
      <c r="Y549" s="25">
        <v>0</v>
      </c>
      <c r="Z549" s="25">
        <v>1</v>
      </c>
      <c r="AA549" s="25">
        <v>5</v>
      </c>
      <c r="AB549" s="25">
        <v>0</v>
      </c>
      <c r="AC549" s="25">
        <v>0</v>
      </c>
      <c r="AD549" s="25">
        <v>0</v>
      </c>
      <c r="AE549" s="25">
        <v>0</v>
      </c>
      <c r="AF549" s="25">
        <v>0</v>
      </c>
      <c r="AG549" s="25">
        <v>0.57256235799999999</v>
      </c>
      <c r="AH549" s="25">
        <v>0.59125000000000005</v>
      </c>
      <c r="AI549" s="25" t="s">
        <v>1128</v>
      </c>
      <c r="AJ549" s="14" t="s">
        <v>33</v>
      </c>
    </row>
    <row r="550" spans="1:36" x14ac:dyDescent="0.25">
      <c r="A550" s="1">
        <v>581</v>
      </c>
      <c r="B550" s="14" t="s">
        <v>1564</v>
      </c>
      <c r="C550" s="14" t="s">
        <v>2124</v>
      </c>
      <c r="D550" s="14" t="s">
        <v>21</v>
      </c>
      <c r="E550" s="29" t="s">
        <v>185</v>
      </c>
      <c r="F550" s="14">
        <v>280.53234809999998</v>
      </c>
      <c r="G550" s="14">
        <v>57</v>
      </c>
      <c r="H550" s="14">
        <v>0</v>
      </c>
      <c r="I550" s="14">
        <v>0</v>
      </c>
      <c r="J550" s="14">
        <v>0</v>
      </c>
      <c r="K550" s="14">
        <v>0</v>
      </c>
      <c r="L550" s="14">
        <v>0</v>
      </c>
      <c r="M550" s="14">
        <v>2</v>
      </c>
      <c r="N550" s="14">
        <v>11</v>
      </c>
      <c r="O550" s="14">
        <v>0</v>
      </c>
      <c r="P550" s="14">
        <v>0</v>
      </c>
      <c r="Q550" s="14">
        <v>0</v>
      </c>
      <c r="R550" s="14">
        <v>0</v>
      </c>
      <c r="S550" s="14">
        <v>0</v>
      </c>
      <c r="T550" s="14">
        <v>0</v>
      </c>
      <c r="U550" s="14">
        <v>0</v>
      </c>
      <c r="V550" s="14">
        <v>1</v>
      </c>
      <c r="W550" s="14">
        <v>0</v>
      </c>
      <c r="X550" s="14">
        <v>0</v>
      </c>
      <c r="Y550" s="14">
        <v>0</v>
      </c>
      <c r="Z550" s="14">
        <v>1</v>
      </c>
      <c r="AA550" s="14">
        <v>5</v>
      </c>
      <c r="AB550" s="14">
        <v>0</v>
      </c>
      <c r="AC550" s="14">
        <v>0</v>
      </c>
      <c r="AD550" s="25">
        <v>0</v>
      </c>
      <c r="AE550" s="25">
        <v>0</v>
      </c>
      <c r="AF550" s="25">
        <v>0</v>
      </c>
      <c r="AG550" s="25">
        <v>0.56802721099999998</v>
      </c>
      <c r="AH550" s="25">
        <v>0.57874999999999999</v>
      </c>
      <c r="AI550" s="14" t="s">
        <v>1306</v>
      </c>
      <c r="AJ550" s="14" t="s">
        <v>33</v>
      </c>
    </row>
    <row r="551" spans="1:36" x14ac:dyDescent="0.25">
      <c r="A551" s="1">
        <v>582</v>
      </c>
      <c r="B551" s="14" t="s">
        <v>1818</v>
      </c>
      <c r="C551" s="14" t="s">
        <v>1494</v>
      </c>
      <c r="D551" s="14" t="s">
        <v>1931</v>
      </c>
      <c r="E551" s="29" t="s">
        <v>1819</v>
      </c>
      <c r="F551" s="14">
        <v>296.47800000000001</v>
      </c>
      <c r="G551" s="14">
        <v>57.2</v>
      </c>
      <c r="H551" s="14">
        <v>0</v>
      </c>
      <c r="I551" s="14">
        <v>1</v>
      </c>
      <c r="J551" s="14">
        <v>0</v>
      </c>
      <c r="K551" s="14">
        <v>1</v>
      </c>
      <c r="L551" s="14">
        <v>0</v>
      </c>
      <c r="M551" s="14">
        <v>2</v>
      </c>
      <c r="N551" s="14">
        <v>14</v>
      </c>
      <c r="O551" s="14">
        <v>0</v>
      </c>
      <c r="P551" s="14">
        <v>0</v>
      </c>
      <c r="Q551" s="14">
        <v>0</v>
      </c>
      <c r="R551" s="14">
        <v>0</v>
      </c>
      <c r="S551" s="14">
        <v>0</v>
      </c>
      <c r="T551" s="14">
        <v>0</v>
      </c>
      <c r="U551" s="14">
        <v>1</v>
      </c>
      <c r="V551" s="14">
        <v>0</v>
      </c>
      <c r="W551" s="14">
        <v>2</v>
      </c>
      <c r="X551" s="14">
        <v>0</v>
      </c>
      <c r="Y551" s="14">
        <v>0</v>
      </c>
      <c r="Z551" s="14">
        <v>0</v>
      </c>
      <c r="AA551" s="14">
        <v>0</v>
      </c>
      <c r="AB551" s="14">
        <v>0</v>
      </c>
      <c r="AC551" s="14">
        <v>0</v>
      </c>
      <c r="AD551" s="25">
        <v>0</v>
      </c>
      <c r="AE551" s="25">
        <v>0</v>
      </c>
      <c r="AF551" s="25">
        <v>0</v>
      </c>
      <c r="AG551" s="25">
        <v>0.61466942099999999</v>
      </c>
      <c r="AH551" s="25">
        <v>0.61053718999999995</v>
      </c>
      <c r="AI551" s="14" t="s">
        <v>1571</v>
      </c>
      <c r="AJ551" s="14" t="s">
        <v>33</v>
      </c>
    </row>
    <row r="552" spans="1:36" x14ac:dyDescent="0.25">
      <c r="A552" s="1">
        <v>583</v>
      </c>
      <c r="B552" s="25" t="s">
        <v>723</v>
      </c>
      <c r="C552" s="25" t="s">
        <v>440</v>
      </c>
      <c r="D552" s="25" t="s">
        <v>18</v>
      </c>
      <c r="E552" s="25" t="s">
        <v>100</v>
      </c>
      <c r="F552" s="25">
        <v>104.15</v>
      </c>
      <c r="G552" s="25">
        <v>57.3</v>
      </c>
      <c r="H552" s="25">
        <v>0</v>
      </c>
      <c r="I552" s="25">
        <v>0</v>
      </c>
      <c r="J552" s="25">
        <v>0</v>
      </c>
      <c r="K552" s="25">
        <v>0</v>
      </c>
      <c r="L552" s="25">
        <v>0</v>
      </c>
      <c r="M552" s="25">
        <v>2</v>
      </c>
      <c r="N552" s="25">
        <v>3</v>
      </c>
      <c r="O552" s="25">
        <v>0</v>
      </c>
      <c r="P552" s="25">
        <v>2</v>
      </c>
      <c r="Q552" s="25">
        <v>0</v>
      </c>
      <c r="R552" s="25">
        <v>0</v>
      </c>
      <c r="S552" s="25">
        <v>0</v>
      </c>
      <c r="T552" s="25">
        <v>0</v>
      </c>
      <c r="U552" s="25">
        <v>0</v>
      </c>
      <c r="V552" s="25">
        <v>0</v>
      </c>
      <c r="W552" s="25">
        <v>0</v>
      </c>
      <c r="X552" s="25">
        <v>0</v>
      </c>
      <c r="Y552" s="25">
        <v>0</v>
      </c>
      <c r="Z552" s="25">
        <v>0</v>
      </c>
      <c r="AA552" s="25">
        <v>0</v>
      </c>
      <c r="AB552" s="25">
        <v>0</v>
      </c>
      <c r="AC552" s="25">
        <v>0</v>
      </c>
      <c r="AD552" s="25">
        <v>0</v>
      </c>
      <c r="AE552" s="25">
        <v>0</v>
      </c>
      <c r="AF552" s="25">
        <v>0</v>
      </c>
      <c r="AG552" s="25">
        <v>0.31944444399999999</v>
      </c>
      <c r="AH552" s="25">
        <v>0.31944444399999999</v>
      </c>
      <c r="AI552" s="25" t="s">
        <v>1136</v>
      </c>
      <c r="AJ552" s="14" t="s">
        <v>33</v>
      </c>
    </row>
    <row r="553" spans="1:36" x14ac:dyDescent="0.25">
      <c r="A553" s="1">
        <v>584</v>
      </c>
      <c r="B553" s="14" t="s">
        <v>1835</v>
      </c>
      <c r="C553" s="14" t="s">
        <v>2125</v>
      </c>
      <c r="D553" s="14" t="s">
        <v>18</v>
      </c>
      <c r="E553" s="29" t="s">
        <v>189</v>
      </c>
      <c r="F553" s="14">
        <v>118.172</v>
      </c>
      <c r="G553" s="14">
        <v>57.3</v>
      </c>
      <c r="H553" s="14">
        <v>0</v>
      </c>
      <c r="I553" s="14">
        <v>0</v>
      </c>
      <c r="J553" s="14">
        <v>0</v>
      </c>
      <c r="K553" s="14">
        <v>0</v>
      </c>
      <c r="L553" s="14">
        <v>0</v>
      </c>
      <c r="M553" s="14">
        <v>3</v>
      </c>
      <c r="N553" s="14">
        <v>2</v>
      </c>
      <c r="O553" s="14">
        <v>0</v>
      </c>
      <c r="P553" s="14">
        <v>2</v>
      </c>
      <c r="Q553" s="14">
        <v>0</v>
      </c>
      <c r="R553" s="14">
        <v>0</v>
      </c>
      <c r="S553" s="14">
        <v>0</v>
      </c>
      <c r="T553" s="14">
        <v>0</v>
      </c>
      <c r="U553" s="14">
        <v>0</v>
      </c>
      <c r="V553" s="14">
        <v>1</v>
      </c>
      <c r="W553" s="14">
        <v>0</v>
      </c>
      <c r="X553" s="14">
        <v>0</v>
      </c>
      <c r="Y553" s="14">
        <v>0</v>
      </c>
      <c r="Z553" s="14">
        <v>0</v>
      </c>
      <c r="AA553" s="14">
        <v>0</v>
      </c>
      <c r="AB553" s="14">
        <v>0</v>
      </c>
      <c r="AC553" s="14">
        <v>0</v>
      </c>
      <c r="AD553" s="25">
        <v>0</v>
      </c>
      <c r="AE553" s="25">
        <v>0</v>
      </c>
      <c r="AF553" s="25">
        <v>0</v>
      </c>
      <c r="AG553" s="25">
        <v>0.3671875</v>
      </c>
      <c r="AH553" s="25">
        <v>0.37755102000000001</v>
      </c>
      <c r="AI553" s="14" t="s">
        <v>1571</v>
      </c>
      <c r="AJ553" s="14" t="s">
        <v>33</v>
      </c>
    </row>
    <row r="554" spans="1:36" x14ac:dyDescent="0.25">
      <c r="A554" s="1">
        <v>585</v>
      </c>
      <c r="B554" s="14" t="s">
        <v>656</v>
      </c>
      <c r="C554" s="14" t="s">
        <v>423</v>
      </c>
      <c r="D554" s="14" t="s">
        <v>13</v>
      </c>
      <c r="E554" s="29" t="s">
        <v>180</v>
      </c>
      <c r="F554" s="14">
        <v>330.59</v>
      </c>
      <c r="G554" s="14">
        <v>58</v>
      </c>
      <c r="H554" s="14">
        <v>6</v>
      </c>
      <c r="I554" s="14">
        <v>0</v>
      </c>
      <c r="J554" s="14">
        <v>6</v>
      </c>
      <c r="K554" s="14">
        <v>3</v>
      </c>
      <c r="L554" s="14">
        <v>1</v>
      </c>
      <c r="M554" s="14">
        <v>3</v>
      </c>
      <c r="N554" s="14">
        <v>14</v>
      </c>
      <c r="O554" s="14">
        <v>0</v>
      </c>
      <c r="P554" s="14">
        <v>0</v>
      </c>
      <c r="Q554" s="14">
        <v>0</v>
      </c>
      <c r="R554" s="14">
        <v>0</v>
      </c>
      <c r="S554" s="14">
        <v>0</v>
      </c>
      <c r="T554" s="14">
        <v>0</v>
      </c>
      <c r="U554" s="14">
        <v>0</v>
      </c>
      <c r="V554" s="14">
        <v>0</v>
      </c>
      <c r="W554" s="14">
        <v>0</v>
      </c>
      <c r="X554" s="14">
        <v>5</v>
      </c>
      <c r="Y554" s="14">
        <v>0</v>
      </c>
      <c r="Z554" s="14">
        <v>0</v>
      </c>
      <c r="AA554" s="14">
        <v>0</v>
      </c>
      <c r="AB554" s="14">
        <v>0</v>
      </c>
      <c r="AC554" s="14">
        <v>0</v>
      </c>
      <c r="AD554" s="25">
        <v>0</v>
      </c>
      <c r="AE554" s="25">
        <v>0</v>
      </c>
      <c r="AF554" s="25">
        <v>0</v>
      </c>
      <c r="AG554" s="25">
        <v>0.605867347</v>
      </c>
      <c r="AH554" s="25">
        <v>0.61865569300000001</v>
      </c>
      <c r="AI554" s="14" t="s">
        <v>1121</v>
      </c>
      <c r="AJ554" s="14" t="s">
        <v>33</v>
      </c>
    </row>
    <row r="555" spans="1:36" x14ac:dyDescent="0.25">
      <c r="A555" s="1">
        <v>586</v>
      </c>
      <c r="B555" s="25" t="s">
        <v>1634</v>
      </c>
      <c r="C555" s="25" t="s">
        <v>2126</v>
      </c>
      <c r="D555" s="25" t="s">
        <v>16</v>
      </c>
      <c r="E555" s="25" t="s">
        <v>166</v>
      </c>
      <c r="F555" s="25">
        <v>140.26</v>
      </c>
      <c r="G555" s="25">
        <v>58</v>
      </c>
      <c r="H555" s="25">
        <v>0</v>
      </c>
      <c r="I555" s="25">
        <v>0</v>
      </c>
      <c r="J555" s="25">
        <v>0</v>
      </c>
      <c r="K555" s="25">
        <v>0</v>
      </c>
      <c r="L555" s="25">
        <v>0</v>
      </c>
      <c r="M555" s="25">
        <v>2</v>
      </c>
      <c r="N555" s="25">
        <v>2</v>
      </c>
      <c r="O555" s="25">
        <v>0</v>
      </c>
      <c r="P555" s="25">
        <v>0</v>
      </c>
      <c r="Q555" s="25">
        <v>0</v>
      </c>
      <c r="R555" s="25">
        <v>0</v>
      </c>
      <c r="S555" s="25">
        <v>0</v>
      </c>
      <c r="T555" s="25">
        <v>0</v>
      </c>
      <c r="U555" s="25">
        <v>0</v>
      </c>
      <c r="V555" s="25">
        <v>0</v>
      </c>
      <c r="W555" s="25">
        <v>0</v>
      </c>
      <c r="X555" s="25">
        <v>0</v>
      </c>
      <c r="Y555" s="25">
        <v>0</v>
      </c>
      <c r="Z555" s="25">
        <v>2</v>
      </c>
      <c r="AA555" s="25">
        <v>4</v>
      </c>
      <c r="AB555" s="25">
        <v>0</v>
      </c>
      <c r="AC555" s="25">
        <v>0</v>
      </c>
      <c r="AD555" s="25">
        <v>0</v>
      </c>
      <c r="AE555" s="25">
        <v>0</v>
      </c>
      <c r="AF555" s="25">
        <v>0</v>
      </c>
      <c r="AG555" s="25">
        <v>0.34</v>
      </c>
      <c r="AH555" s="25">
        <v>0.36</v>
      </c>
      <c r="AI555" s="25" t="s">
        <v>1571</v>
      </c>
      <c r="AJ555" s="14" t="s">
        <v>33</v>
      </c>
    </row>
    <row r="556" spans="1:36" x14ac:dyDescent="0.25">
      <c r="A556" s="1">
        <v>589</v>
      </c>
      <c r="B556" s="25" t="s">
        <v>1598</v>
      </c>
      <c r="C556" s="25" t="s">
        <v>1383</v>
      </c>
      <c r="D556" s="25" t="s">
        <v>19</v>
      </c>
      <c r="E556" s="25" t="s">
        <v>1599</v>
      </c>
      <c r="F556" s="25">
        <v>184.35400000000001</v>
      </c>
      <c r="G556" s="25">
        <v>58</v>
      </c>
      <c r="H556" s="25">
        <v>0</v>
      </c>
      <c r="I556" s="25">
        <v>0</v>
      </c>
      <c r="J556" s="25">
        <v>0</v>
      </c>
      <c r="K556" s="25">
        <v>0</v>
      </c>
      <c r="L556" s="25">
        <v>0</v>
      </c>
      <c r="M556" s="25">
        <v>4</v>
      </c>
      <c r="N556" s="25">
        <v>7</v>
      </c>
      <c r="O556" s="25">
        <v>0</v>
      </c>
      <c r="P556" s="25">
        <v>0</v>
      </c>
      <c r="Q556" s="25">
        <v>0</v>
      </c>
      <c r="R556" s="25">
        <v>0</v>
      </c>
      <c r="S556" s="25">
        <v>0</v>
      </c>
      <c r="T556" s="25">
        <v>0</v>
      </c>
      <c r="U556" s="25">
        <v>0</v>
      </c>
      <c r="V556" s="25">
        <v>2</v>
      </c>
      <c r="W556" s="25">
        <v>0</v>
      </c>
      <c r="X556" s="25">
        <v>0</v>
      </c>
      <c r="Y556" s="25">
        <v>0</v>
      </c>
      <c r="Z556" s="25">
        <v>0</v>
      </c>
      <c r="AA556" s="25">
        <v>0</v>
      </c>
      <c r="AB556" s="25">
        <v>0</v>
      </c>
      <c r="AC556" s="25">
        <v>0</v>
      </c>
      <c r="AD556" s="25">
        <v>0</v>
      </c>
      <c r="AE556" s="25">
        <v>0</v>
      </c>
      <c r="AF556" s="25">
        <v>0</v>
      </c>
      <c r="AG556" s="25">
        <v>0.51697530899999999</v>
      </c>
      <c r="AH556" s="25">
        <v>0.49652777799999998</v>
      </c>
      <c r="AI556" s="25" t="s">
        <v>1571</v>
      </c>
      <c r="AJ556" s="14" t="s">
        <v>33</v>
      </c>
    </row>
    <row r="557" spans="1:36" x14ac:dyDescent="0.25">
      <c r="A557" s="1">
        <v>592</v>
      </c>
      <c r="B557" s="14" t="s">
        <v>1821</v>
      </c>
      <c r="C557" s="14" t="s">
        <v>1496</v>
      </c>
      <c r="D557" s="14" t="s">
        <v>1931</v>
      </c>
      <c r="E557" s="29" t="s">
        <v>1819</v>
      </c>
      <c r="F557" s="14">
        <v>296.47800000000001</v>
      </c>
      <c r="G557" s="14">
        <v>58.6</v>
      </c>
      <c r="H557" s="14">
        <v>0</v>
      </c>
      <c r="I557" s="14">
        <v>1</v>
      </c>
      <c r="J557" s="14">
        <v>0</v>
      </c>
      <c r="K557" s="14">
        <v>1</v>
      </c>
      <c r="L557" s="14">
        <v>0</v>
      </c>
      <c r="M557" s="14">
        <v>2</v>
      </c>
      <c r="N557" s="14">
        <v>14</v>
      </c>
      <c r="O557" s="14">
        <v>0</v>
      </c>
      <c r="P557" s="14">
        <v>0</v>
      </c>
      <c r="Q557" s="14">
        <v>0</v>
      </c>
      <c r="R557" s="14">
        <v>0</v>
      </c>
      <c r="S557" s="14">
        <v>0</v>
      </c>
      <c r="T557" s="14">
        <v>0</v>
      </c>
      <c r="U557" s="14">
        <v>1</v>
      </c>
      <c r="V557" s="14">
        <v>0</v>
      </c>
      <c r="W557" s="14">
        <v>2</v>
      </c>
      <c r="X557" s="14">
        <v>0</v>
      </c>
      <c r="Y557" s="14">
        <v>0</v>
      </c>
      <c r="Z557" s="14">
        <v>0</v>
      </c>
      <c r="AA557" s="14">
        <v>0</v>
      </c>
      <c r="AB557" s="14">
        <v>0</v>
      </c>
      <c r="AC557" s="14">
        <v>0</v>
      </c>
      <c r="AD557" s="25">
        <v>0</v>
      </c>
      <c r="AE557" s="25">
        <v>0</v>
      </c>
      <c r="AF557" s="25">
        <v>0</v>
      </c>
      <c r="AG557" s="25">
        <v>0.61673553699999994</v>
      </c>
      <c r="AH557" s="25">
        <v>0.61673553699999994</v>
      </c>
      <c r="AI557" s="14" t="s">
        <v>1571</v>
      </c>
      <c r="AJ557" s="14" t="s">
        <v>33</v>
      </c>
    </row>
    <row r="558" spans="1:36" x14ac:dyDescent="0.25">
      <c r="A558" s="1">
        <v>593</v>
      </c>
      <c r="B558" s="14" t="s">
        <v>794</v>
      </c>
      <c r="C558" s="14" t="s">
        <v>343</v>
      </c>
      <c r="D558" s="14" t="s">
        <v>21</v>
      </c>
      <c r="E558" s="29" t="s">
        <v>121</v>
      </c>
      <c r="F558" s="14">
        <v>296.49</v>
      </c>
      <c r="G558" s="14">
        <v>58.6</v>
      </c>
      <c r="H558" s="14">
        <v>0</v>
      </c>
      <c r="I558" s="14">
        <v>1</v>
      </c>
      <c r="J558" s="14">
        <v>0</v>
      </c>
      <c r="K558" s="14">
        <v>1</v>
      </c>
      <c r="L558" s="14">
        <v>0</v>
      </c>
      <c r="M558" s="14">
        <v>2</v>
      </c>
      <c r="N558" s="14">
        <v>14</v>
      </c>
      <c r="O558" s="14">
        <v>0</v>
      </c>
      <c r="P558" s="14">
        <v>0</v>
      </c>
      <c r="Q558" s="14">
        <v>0</v>
      </c>
      <c r="R558" s="14">
        <v>0</v>
      </c>
      <c r="S558" s="14">
        <v>0</v>
      </c>
      <c r="T558" s="14">
        <v>0</v>
      </c>
      <c r="U558" s="14">
        <v>1</v>
      </c>
      <c r="V558" s="14">
        <v>0</v>
      </c>
      <c r="W558" s="14">
        <v>2</v>
      </c>
      <c r="X558" s="14">
        <v>0</v>
      </c>
      <c r="Y558" s="14">
        <v>0</v>
      </c>
      <c r="Z558" s="14">
        <v>0</v>
      </c>
      <c r="AA558" s="14">
        <v>0</v>
      </c>
      <c r="AB558" s="14">
        <v>0</v>
      </c>
      <c r="AC558" s="14">
        <v>0</v>
      </c>
      <c r="AD558" s="25">
        <v>0</v>
      </c>
      <c r="AE558" s="25">
        <v>0</v>
      </c>
      <c r="AF558" s="25">
        <v>0</v>
      </c>
      <c r="AG558" s="25">
        <v>0.57899305599999995</v>
      </c>
      <c r="AH558" s="25">
        <v>0.61673553699999994</v>
      </c>
      <c r="AI558" s="14" t="s">
        <v>1035</v>
      </c>
      <c r="AJ558" s="14" t="s">
        <v>33</v>
      </c>
    </row>
    <row r="559" spans="1:36" x14ac:dyDescent="0.25">
      <c r="A559" s="1">
        <v>594</v>
      </c>
      <c r="B559" s="14" t="s">
        <v>1304</v>
      </c>
      <c r="C559" s="14" t="s">
        <v>2127</v>
      </c>
      <c r="D559" s="14" t="s">
        <v>17</v>
      </c>
      <c r="E559" s="29" t="s">
        <v>84</v>
      </c>
      <c r="F559" s="14">
        <v>324.54189380000003</v>
      </c>
      <c r="G559" s="14">
        <v>58.8</v>
      </c>
      <c r="H559" s="14">
        <v>0</v>
      </c>
      <c r="I559" s="14">
        <v>1</v>
      </c>
      <c r="J559" s="14">
        <v>0</v>
      </c>
      <c r="K559" s="14">
        <v>1</v>
      </c>
      <c r="L559" s="14">
        <v>0</v>
      </c>
      <c r="M559" s="14">
        <v>2</v>
      </c>
      <c r="N559" s="14">
        <v>16</v>
      </c>
      <c r="O559" s="14">
        <v>0</v>
      </c>
      <c r="P559" s="14">
        <v>0</v>
      </c>
      <c r="Q559" s="14">
        <v>0</v>
      </c>
      <c r="R559" s="14">
        <v>0</v>
      </c>
      <c r="S559" s="14">
        <v>0</v>
      </c>
      <c r="T559" s="14">
        <v>0</v>
      </c>
      <c r="U559" s="14">
        <v>1</v>
      </c>
      <c r="V559" s="14">
        <v>0</v>
      </c>
      <c r="W559" s="14">
        <v>2</v>
      </c>
      <c r="X559" s="14">
        <v>0</v>
      </c>
      <c r="Y559" s="14">
        <v>0</v>
      </c>
      <c r="Z559" s="14">
        <v>0</v>
      </c>
      <c r="AA559" s="14">
        <v>0</v>
      </c>
      <c r="AB559" s="14">
        <v>0</v>
      </c>
      <c r="AC559" s="14">
        <v>0</v>
      </c>
      <c r="AD559" s="25">
        <v>0</v>
      </c>
      <c r="AE559" s="25">
        <v>0</v>
      </c>
      <c r="AF559" s="25">
        <v>0</v>
      </c>
      <c r="AG559" s="25">
        <v>0.59097633100000002</v>
      </c>
      <c r="AH559" s="25">
        <v>0.61892361100000004</v>
      </c>
      <c r="AI559" s="14" t="s">
        <v>1306</v>
      </c>
      <c r="AJ559" s="14" t="s">
        <v>33</v>
      </c>
    </row>
    <row r="560" spans="1:36" x14ac:dyDescent="0.25">
      <c r="A560" s="1">
        <v>595</v>
      </c>
      <c r="B560" s="14" t="s">
        <v>858</v>
      </c>
      <c r="C560" s="14" t="s">
        <v>518</v>
      </c>
      <c r="D560" s="14" t="s">
        <v>21</v>
      </c>
      <c r="E560" s="29" t="s">
        <v>84</v>
      </c>
      <c r="F560" s="14">
        <v>324.54000000000002</v>
      </c>
      <c r="G560" s="14">
        <v>58.8</v>
      </c>
      <c r="H560" s="14">
        <v>0</v>
      </c>
      <c r="I560" s="14">
        <v>1</v>
      </c>
      <c r="J560" s="14">
        <v>0</v>
      </c>
      <c r="K560" s="14">
        <v>1</v>
      </c>
      <c r="L560" s="14">
        <v>0</v>
      </c>
      <c r="M560" s="14">
        <v>2</v>
      </c>
      <c r="N560" s="14">
        <v>16</v>
      </c>
      <c r="O560" s="14">
        <v>0</v>
      </c>
      <c r="P560" s="14">
        <v>0</v>
      </c>
      <c r="Q560" s="14">
        <v>0</v>
      </c>
      <c r="R560" s="14">
        <v>0</v>
      </c>
      <c r="S560" s="14">
        <v>0</v>
      </c>
      <c r="T560" s="14">
        <v>0</v>
      </c>
      <c r="U560" s="14">
        <v>1</v>
      </c>
      <c r="V560" s="14">
        <v>0</v>
      </c>
      <c r="W560" s="14">
        <v>2</v>
      </c>
      <c r="X560" s="14">
        <v>0</v>
      </c>
      <c r="Y560" s="14">
        <v>0</v>
      </c>
      <c r="Z560" s="14">
        <v>0</v>
      </c>
      <c r="AA560" s="14">
        <v>0</v>
      </c>
      <c r="AB560" s="14">
        <v>0</v>
      </c>
      <c r="AC560" s="14">
        <v>0</v>
      </c>
      <c r="AD560" s="25">
        <v>0</v>
      </c>
      <c r="AE560" s="25">
        <v>0</v>
      </c>
      <c r="AF560" s="25">
        <v>0</v>
      </c>
      <c r="AG560" s="25">
        <v>0.59097633100000002</v>
      </c>
      <c r="AH560" s="25">
        <v>0.62239583300000001</v>
      </c>
      <c r="AI560" s="14" t="s">
        <v>1213</v>
      </c>
      <c r="AJ560" s="14" t="s">
        <v>33</v>
      </c>
    </row>
    <row r="561" spans="1:36" x14ac:dyDescent="0.25">
      <c r="A561" s="1">
        <v>596</v>
      </c>
      <c r="B561" s="25" t="s">
        <v>633</v>
      </c>
      <c r="C561" s="25" t="s">
        <v>495</v>
      </c>
      <c r="D561" s="25" t="s">
        <v>12</v>
      </c>
      <c r="E561" s="25" t="s">
        <v>166</v>
      </c>
      <c r="F561" s="25">
        <v>140.26</v>
      </c>
      <c r="G561" s="25">
        <v>59</v>
      </c>
      <c r="H561" s="25">
        <v>0</v>
      </c>
      <c r="I561" s="25">
        <v>1</v>
      </c>
      <c r="J561" s="25">
        <v>0</v>
      </c>
      <c r="K561" s="25">
        <v>1</v>
      </c>
      <c r="L561" s="25">
        <v>0</v>
      </c>
      <c r="M561" s="25">
        <v>1</v>
      </c>
      <c r="N561" s="25">
        <v>7</v>
      </c>
      <c r="O561" s="25">
        <v>0</v>
      </c>
      <c r="P561" s="25">
        <v>0</v>
      </c>
      <c r="Q561" s="25">
        <v>0</v>
      </c>
      <c r="R561" s="25">
        <v>0</v>
      </c>
      <c r="S561" s="25">
        <v>0</v>
      </c>
      <c r="T561" s="25">
        <v>0</v>
      </c>
      <c r="U561" s="25">
        <v>0</v>
      </c>
      <c r="V561" s="25">
        <v>0</v>
      </c>
      <c r="W561" s="25">
        <v>1</v>
      </c>
      <c r="X561" s="25">
        <v>0</v>
      </c>
      <c r="Y561" s="25">
        <v>1</v>
      </c>
      <c r="Z561" s="25">
        <v>0</v>
      </c>
      <c r="AA561" s="25">
        <v>0</v>
      </c>
      <c r="AB561" s="25">
        <v>0</v>
      </c>
      <c r="AC561" s="25">
        <v>0</v>
      </c>
      <c r="AD561" s="25">
        <v>0</v>
      </c>
      <c r="AE561" s="25">
        <v>0</v>
      </c>
      <c r="AF561" s="25">
        <v>0</v>
      </c>
      <c r="AG561" s="25">
        <v>0.45500000000000002</v>
      </c>
      <c r="AH561" s="25">
        <v>0.46500000000000002</v>
      </c>
      <c r="AI561" s="25" t="s">
        <v>1189</v>
      </c>
      <c r="AJ561" s="14" t="s">
        <v>33</v>
      </c>
    </row>
    <row r="562" spans="1:36" x14ac:dyDescent="0.25">
      <c r="A562" s="1">
        <v>598</v>
      </c>
      <c r="B562" s="14" t="s">
        <v>748</v>
      </c>
      <c r="C562" s="14" t="s">
        <v>749</v>
      </c>
      <c r="D562" s="14" t="s">
        <v>19</v>
      </c>
      <c r="E562" s="29" t="s">
        <v>176</v>
      </c>
      <c r="F562" s="14">
        <v>282.55</v>
      </c>
      <c r="G562" s="14">
        <v>59</v>
      </c>
      <c r="H562" s="14">
        <v>0</v>
      </c>
      <c r="I562" s="14">
        <v>0</v>
      </c>
      <c r="J562" s="14">
        <v>0</v>
      </c>
      <c r="K562" s="14">
        <v>0</v>
      </c>
      <c r="L562" s="14">
        <v>0</v>
      </c>
      <c r="M562" s="14">
        <v>4</v>
      </c>
      <c r="N562" s="14">
        <v>14</v>
      </c>
      <c r="O562" s="14">
        <v>0</v>
      </c>
      <c r="P562" s="14">
        <v>0</v>
      </c>
      <c r="Q562" s="14">
        <v>0</v>
      </c>
      <c r="R562" s="14">
        <v>0</v>
      </c>
      <c r="S562" s="14">
        <v>0</v>
      </c>
      <c r="T562" s="14">
        <v>0</v>
      </c>
      <c r="U562" s="14">
        <v>0</v>
      </c>
      <c r="V562" s="14">
        <v>2</v>
      </c>
      <c r="W562" s="14">
        <v>0</v>
      </c>
      <c r="X562" s="14">
        <v>0</v>
      </c>
      <c r="Y562" s="14">
        <v>0</v>
      </c>
      <c r="Z562" s="14">
        <v>0</v>
      </c>
      <c r="AA562" s="14">
        <v>0</v>
      </c>
      <c r="AB562" s="14">
        <v>0</v>
      </c>
      <c r="AC562" s="14">
        <v>0</v>
      </c>
      <c r="AD562" s="25">
        <v>0</v>
      </c>
      <c r="AE562" s="25">
        <v>0</v>
      </c>
      <c r="AF562" s="25">
        <v>0</v>
      </c>
      <c r="AG562" s="25">
        <v>0.56874999999999998</v>
      </c>
      <c r="AH562" s="25">
        <v>0.59141274200000005</v>
      </c>
      <c r="AI562" s="14" t="s">
        <v>1253</v>
      </c>
      <c r="AJ562" s="14" t="s">
        <v>33</v>
      </c>
    </row>
    <row r="563" spans="1:36" x14ac:dyDescent="0.25">
      <c r="A563" s="1">
        <v>600</v>
      </c>
      <c r="B563" s="25" t="s">
        <v>1325</v>
      </c>
      <c r="C563" s="25" t="s">
        <v>2128</v>
      </c>
      <c r="D563" s="25" t="s">
        <v>7</v>
      </c>
      <c r="E563" s="25" t="s">
        <v>176</v>
      </c>
      <c r="F563" s="25">
        <v>282.54822960000001</v>
      </c>
      <c r="G563" s="25">
        <v>59</v>
      </c>
      <c r="H563" s="25">
        <v>0</v>
      </c>
      <c r="I563" s="25">
        <v>0</v>
      </c>
      <c r="J563" s="25">
        <v>0</v>
      </c>
      <c r="K563" s="25">
        <v>0</v>
      </c>
      <c r="L563" s="25">
        <v>0</v>
      </c>
      <c r="M563" s="25">
        <v>4</v>
      </c>
      <c r="N563" s="25">
        <v>14</v>
      </c>
      <c r="O563" s="25">
        <v>0</v>
      </c>
      <c r="P563" s="25">
        <v>0</v>
      </c>
      <c r="Q563" s="25">
        <v>0</v>
      </c>
      <c r="R563" s="25">
        <v>0</v>
      </c>
      <c r="S563" s="25">
        <v>0</v>
      </c>
      <c r="T563" s="25">
        <v>0</v>
      </c>
      <c r="U563" s="25">
        <v>0</v>
      </c>
      <c r="V563" s="25">
        <v>2</v>
      </c>
      <c r="W563" s="25">
        <v>0</v>
      </c>
      <c r="X563" s="25">
        <v>0</v>
      </c>
      <c r="Y563" s="25">
        <v>0</v>
      </c>
      <c r="Z563" s="25">
        <v>0</v>
      </c>
      <c r="AA563" s="25">
        <v>0</v>
      </c>
      <c r="AB563" s="25">
        <v>0</v>
      </c>
      <c r="AC563" s="25">
        <v>0</v>
      </c>
      <c r="AD563" s="25">
        <v>0</v>
      </c>
      <c r="AE563" s="25">
        <v>0</v>
      </c>
      <c r="AF563" s="25">
        <v>0</v>
      </c>
      <c r="AG563" s="25">
        <v>0.56874999999999998</v>
      </c>
      <c r="AH563" s="25">
        <v>0.58310249300000006</v>
      </c>
      <c r="AI563" s="25" t="s">
        <v>1306</v>
      </c>
      <c r="AJ563" s="14" t="s">
        <v>33</v>
      </c>
    </row>
    <row r="564" spans="1:36" x14ac:dyDescent="0.25">
      <c r="A564" s="1">
        <v>601</v>
      </c>
      <c r="B564" s="25" t="s">
        <v>1327</v>
      </c>
      <c r="C564" s="25" t="s">
        <v>2129</v>
      </c>
      <c r="D564" s="25" t="s">
        <v>7</v>
      </c>
      <c r="E564" s="25" t="s">
        <v>176</v>
      </c>
      <c r="F564" s="25">
        <v>282.54822960000001</v>
      </c>
      <c r="G564" s="25">
        <v>59</v>
      </c>
      <c r="H564" s="25">
        <v>0</v>
      </c>
      <c r="I564" s="25">
        <v>0</v>
      </c>
      <c r="J564" s="25">
        <v>0</v>
      </c>
      <c r="K564" s="25">
        <v>0</v>
      </c>
      <c r="L564" s="25">
        <v>0</v>
      </c>
      <c r="M564" s="25">
        <v>4</v>
      </c>
      <c r="N564" s="25">
        <v>14</v>
      </c>
      <c r="O564" s="25">
        <v>0</v>
      </c>
      <c r="P564" s="25">
        <v>0</v>
      </c>
      <c r="Q564" s="25">
        <v>0</v>
      </c>
      <c r="R564" s="25">
        <v>0</v>
      </c>
      <c r="S564" s="25">
        <v>0</v>
      </c>
      <c r="T564" s="25">
        <v>0</v>
      </c>
      <c r="U564" s="25">
        <v>0</v>
      </c>
      <c r="V564" s="25">
        <v>2</v>
      </c>
      <c r="W564" s="25">
        <v>0</v>
      </c>
      <c r="X564" s="25">
        <v>0</v>
      </c>
      <c r="Y564" s="25">
        <v>0</v>
      </c>
      <c r="Z564" s="25">
        <v>0</v>
      </c>
      <c r="AA564" s="25">
        <v>0</v>
      </c>
      <c r="AB564" s="25">
        <v>0</v>
      </c>
      <c r="AC564" s="25">
        <v>0</v>
      </c>
      <c r="AD564" s="25">
        <v>0</v>
      </c>
      <c r="AE564" s="25">
        <v>0</v>
      </c>
      <c r="AF564" s="25">
        <v>0</v>
      </c>
      <c r="AG564" s="25">
        <v>0.56874999999999998</v>
      </c>
      <c r="AH564" s="25">
        <v>0.58864265900000001</v>
      </c>
      <c r="AI564" s="25" t="s">
        <v>1306</v>
      </c>
      <c r="AJ564" s="14" t="s">
        <v>33</v>
      </c>
    </row>
    <row r="565" spans="1:36" x14ac:dyDescent="0.25">
      <c r="A565" s="1">
        <v>603</v>
      </c>
      <c r="B565" s="14" t="s">
        <v>779</v>
      </c>
      <c r="C565" s="14" t="s">
        <v>2130</v>
      </c>
      <c r="D565" s="14" t="s">
        <v>17</v>
      </c>
      <c r="E565" s="29" t="s">
        <v>51</v>
      </c>
      <c r="F565" s="14">
        <v>338.57</v>
      </c>
      <c r="G565" s="14">
        <v>59.6</v>
      </c>
      <c r="H565" s="14">
        <v>0</v>
      </c>
      <c r="I565" s="14">
        <v>1</v>
      </c>
      <c r="J565" s="14">
        <v>0</v>
      </c>
      <c r="K565" s="14">
        <v>1</v>
      </c>
      <c r="L565" s="14">
        <v>0</v>
      </c>
      <c r="M565" s="14">
        <v>3</v>
      </c>
      <c r="N565" s="14">
        <v>15</v>
      </c>
      <c r="O565" s="14">
        <v>0</v>
      </c>
      <c r="P565" s="14">
        <v>0</v>
      </c>
      <c r="Q565" s="14">
        <v>0</v>
      </c>
      <c r="R565" s="14">
        <v>0</v>
      </c>
      <c r="S565" s="14">
        <v>0</v>
      </c>
      <c r="T565" s="14">
        <v>0</v>
      </c>
      <c r="U565" s="14">
        <v>1</v>
      </c>
      <c r="V565" s="14">
        <v>1</v>
      </c>
      <c r="W565" s="14">
        <v>2</v>
      </c>
      <c r="X565" s="14">
        <v>0</v>
      </c>
      <c r="Y565" s="14">
        <v>0</v>
      </c>
      <c r="Z565" s="14">
        <v>0</v>
      </c>
      <c r="AA565" s="14">
        <v>0</v>
      </c>
      <c r="AB565" s="14">
        <v>0</v>
      </c>
      <c r="AC565" s="14">
        <v>0</v>
      </c>
      <c r="AD565" s="25">
        <v>0</v>
      </c>
      <c r="AE565" s="25">
        <v>0</v>
      </c>
      <c r="AF565" s="25">
        <v>0</v>
      </c>
      <c r="AG565" s="25">
        <v>0.59327846399999995</v>
      </c>
      <c r="AH565" s="25">
        <v>0.63119999999999998</v>
      </c>
      <c r="AI565" s="14" t="s">
        <v>1072</v>
      </c>
      <c r="AJ565" s="14" t="s">
        <v>33</v>
      </c>
    </row>
    <row r="566" spans="1:36" x14ac:dyDescent="0.25">
      <c r="A566" s="1">
        <v>604</v>
      </c>
      <c r="B566" s="14" t="s">
        <v>719</v>
      </c>
      <c r="C566" s="14" t="s">
        <v>321</v>
      </c>
      <c r="D566" s="14" t="s">
        <v>18</v>
      </c>
      <c r="E566" s="29" t="s">
        <v>102</v>
      </c>
      <c r="F566" s="14">
        <v>130.22999999999999</v>
      </c>
      <c r="G566" s="14">
        <v>59.7</v>
      </c>
      <c r="H566" s="14">
        <v>0</v>
      </c>
      <c r="I566" s="14">
        <v>0</v>
      </c>
      <c r="J566" s="14">
        <v>0</v>
      </c>
      <c r="K566" s="14">
        <v>0</v>
      </c>
      <c r="L566" s="14">
        <v>0</v>
      </c>
      <c r="M566" s="14">
        <v>4</v>
      </c>
      <c r="N566" s="14">
        <v>2</v>
      </c>
      <c r="O566" s="14">
        <v>0</v>
      </c>
      <c r="P566" s="14">
        <v>1</v>
      </c>
      <c r="Q566" s="14">
        <v>0</v>
      </c>
      <c r="R566" s="14">
        <v>0</v>
      </c>
      <c r="S566" s="14">
        <v>0</v>
      </c>
      <c r="T566" s="14">
        <v>0</v>
      </c>
      <c r="U566" s="14">
        <v>0</v>
      </c>
      <c r="V566" s="14">
        <v>2</v>
      </c>
      <c r="W566" s="14">
        <v>0</v>
      </c>
      <c r="X566" s="14">
        <v>0</v>
      </c>
      <c r="Y566" s="14">
        <v>0</v>
      </c>
      <c r="Z566" s="14">
        <v>0</v>
      </c>
      <c r="AA566" s="14">
        <v>0</v>
      </c>
      <c r="AB566" s="14">
        <v>0</v>
      </c>
      <c r="AC566" s="14">
        <v>0</v>
      </c>
      <c r="AD566" s="25">
        <v>0</v>
      </c>
      <c r="AE566" s="25">
        <v>0</v>
      </c>
      <c r="AF566" s="25">
        <v>0</v>
      </c>
      <c r="AG566" s="25">
        <v>0.40123456800000001</v>
      </c>
      <c r="AH566" s="25">
        <v>0.4140625</v>
      </c>
      <c r="AI566" s="14" t="s">
        <v>1013</v>
      </c>
      <c r="AJ566" s="14" t="s">
        <v>33</v>
      </c>
    </row>
    <row r="567" spans="1:36" x14ac:dyDescent="0.25">
      <c r="A567" s="1">
        <v>605</v>
      </c>
      <c r="B567" s="14" t="s">
        <v>1602</v>
      </c>
      <c r="C567" s="14" t="s">
        <v>2131</v>
      </c>
      <c r="D567" s="14" t="s">
        <v>19</v>
      </c>
      <c r="E567" s="29" t="s">
        <v>132</v>
      </c>
      <c r="F567" s="14">
        <v>226.43199999999999</v>
      </c>
      <c r="G567" s="14">
        <v>60.8</v>
      </c>
      <c r="H567" s="14">
        <v>0</v>
      </c>
      <c r="I567" s="14">
        <v>0</v>
      </c>
      <c r="J567" s="14">
        <v>0</v>
      </c>
      <c r="K567" s="14">
        <v>0</v>
      </c>
      <c r="L567" s="14">
        <v>0</v>
      </c>
      <c r="M567" s="14">
        <v>5</v>
      </c>
      <c r="N567" s="14">
        <v>8</v>
      </c>
      <c r="O567" s="14">
        <v>0</v>
      </c>
      <c r="P567" s="14">
        <v>0</v>
      </c>
      <c r="Q567" s="14">
        <v>0</v>
      </c>
      <c r="R567" s="14">
        <v>0</v>
      </c>
      <c r="S567" s="14">
        <v>0</v>
      </c>
      <c r="T567" s="14">
        <v>0</v>
      </c>
      <c r="U567" s="14">
        <v>0</v>
      </c>
      <c r="V567" s="14">
        <v>3</v>
      </c>
      <c r="W567" s="14">
        <v>0</v>
      </c>
      <c r="X567" s="14">
        <v>0</v>
      </c>
      <c r="Y567" s="14">
        <v>0</v>
      </c>
      <c r="Z567" s="14">
        <v>0</v>
      </c>
      <c r="AA567" s="14">
        <v>0</v>
      </c>
      <c r="AB567" s="14">
        <v>0</v>
      </c>
      <c r="AC567" s="14">
        <v>0</v>
      </c>
      <c r="AD567" s="25">
        <v>0</v>
      </c>
      <c r="AE567" s="25">
        <v>0</v>
      </c>
      <c r="AF567" s="25">
        <v>0</v>
      </c>
      <c r="AG567" s="25">
        <v>0.55681818199999999</v>
      </c>
      <c r="AH567" s="25">
        <v>0.54444444400000003</v>
      </c>
      <c r="AI567" s="14" t="s">
        <v>1571</v>
      </c>
      <c r="AJ567" s="14" t="s">
        <v>33</v>
      </c>
    </row>
    <row r="568" spans="1:36" x14ac:dyDescent="0.25">
      <c r="A568" s="1">
        <v>606</v>
      </c>
      <c r="B568" s="25" t="s">
        <v>1297</v>
      </c>
      <c r="C568" s="25" t="s">
        <v>2132</v>
      </c>
      <c r="D568" s="25" t="s">
        <v>17</v>
      </c>
      <c r="E568" s="25" t="s">
        <v>98</v>
      </c>
      <c r="F568" s="25">
        <v>310.5152764</v>
      </c>
      <c r="G568" s="25">
        <v>60.85</v>
      </c>
      <c r="H568" s="25">
        <v>0</v>
      </c>
      <c r="I568" s="25">
        <v>1</v>
      </c>
      <c r="J568" s="25">
        <v>0</v>
      </c>
      <c r="K568" s="25">
        <v>1</v>
      </c>
      <c r="L568" s="25">
        <v>0</v>
      </c>
      <c r="M568" s="25">
        <v>2</v>
      </c>
      <c r="N568" s="25">
        <v>15</v>
      </c>
      <c r="O568" s="25">
        <v>0</v>
      </c>
      <c r="P568" s="25">
        <v>0</v>
      </c>
      <c r="Q568" s="25">
        <v>0</v>
      </c>
      <c r="R568" s="25">
        <v>0</v>
      </c>
      <c r="S568" s="25">
        <v>0</v>
      </c>
      <c r="T568" s="25">
        <v>0</v>
      </c>
      <c r="U568" s="25">
        <v>1</v>
      </c>
      <c r="V568" s="25">
        <v>0</v>
      </c>
      <c r="W568" s="25">
        <v>2</v>
      </c>
      <c r="X568" s="25">
        <v>0</v>
      </c>
      <c r="Y568" s="25">
        <v>0</v>
      </c>
      <c r="Z568" s="25">
        <v>0</v>
      </c>
      <c r="AA568" s="25">
        <v>0</v>
      </c>
      <c r="AB568" s="25">
        <v>0</v>
      </c>
      <c r="AC568" s="25">
        <v>0</v>
      </c>
      <c r="AD568" s="25">
        <v>0</v>
      </c>
      <c r="AE568" s="25">
        <v>0</v>
      </c>
      <c r="AF568" s="25">
        <v>0</v>
      </c>
      <c r="AG568" s="25">
        <v>0.58320000000000005</v>
      </c>
      <c r="AH568" s="25">
        <v>0.60775047299999996</v>
      </c>
      <c r="AI568" s="25" t="s">
        <v>1306</v>
      </c>
      <c r="AJ568" s="14" t="s">
        <v>33</v>
      </c>
    </row>
    <row r="569" spans="1:36" x14ac:dyDescent="0.25">
      <c r="A569" s="1">
        <v>607</v>
      </c>
      <c r="B569" s="25" t="s">
        <v>853</v>
      </c>
      <c r="C569" s="25" t="s">
        <v>291</v>
      </c>
      <c r="D569" s="25" t="s">
        <v>21</v>
      </c>
      <c r="E569" s="25" t="s">
        <v>98</v>
      </c>
      <c r="F569" s="25">
        <v>310.51</v>
      </c>
      <c r="G569" s="25">
        <v>60.85</v>
      </c>
      <c r="H569" s="25">
        <v>0</v>
      </c>
      <c r="I569" s="25">
        <v>1</v>
      </c>
      <c r="J569" s="25">
        <v>0</v>
      </c>
      <c r="K569" s="25">
        <v>1</v>
      </c>
      <c r="L569" s="25">
        <v>0</v>
      </c>
      <c r="M569" s="25">
        <v>2</v>
      </c>
      <c r="N569" s="25">
        <v>15</v>
      </c>
      <c r="O569" s="25">
        <v>0</v>
      </c>
      <c r="P569" s="25">
        <v>0</v>
      </c>
      <c r="Q569" s="25">
        <v>0</v>
      </c>
      <c r="R569" s="25">
        <v>0</v>
      </c>
      <c r="S569" s="25">
        <v>0</v>
      </c>
      <c r="T569" s="25">
        <v>0</v>
      </c>
      <c r="U569" s="25">
        <v>1</v>
      </c>
      <c r="V569" s="25">
        <v>0</v>
      </c>
      <c r="W569" s="25">
        <v>2</v>
      </c>
      <c r="X569" s="25">
        <v>0</v>
      </c>
      <c r="Y569" s="25">
        <v>0</v>
      </c>
      <c r="Z569" s="25">
        <v>0</v>
      </c>
      <c r="AA569" s="25">
        <v>0</v>
      </c>
      <c r="AB569" s="25">
        <v>0</v>
      </c>
      <c r="AC569" s="25">
        <v>0</v>
      </c>
      <c r="AD569" s="25">
        <v>0</v>
      </c>
      <c r="AE569" s="25">
        <v>0</v>
      </c>
      <c r="AF569" s="25">
        <v>0</v>
      </c>
      <c r="AG569" s="25">
        <v>0.58320000000000005</v>
      </c>
      <c r="AH569" s="25">
        <v>0.617202268</v>
      </c>
      <c r="AI569" s="25" t="s">
        <v>980</v>
      </c>
      <c r="AJ569" s="14" t="s">
        <v>33</v>
      </c>
    </row>
    <row r="570" spans="1:36" x14ac:dyDescent="0.25">
      <c r="A570" s="1">
        <v>608</v>
      </c>
      <c r="B570" s="14" t="s">
        <v>688</v>
      </c>
      <c r="C570" s="14" t="s">
        <v>378</v>
      </c>
      <c r="D570" s="14" t="s">
        <v>17</v>
      </c>
      <c r="E570" s="29" t="s">
        <v>66</v>
      </c>
      <c r="F570" s="14">
        <v>214.34</v>
      </c>
      <c r="G570" s="14">
        <v>61</v>
      </c>
      <c r="H570" s="14">
        <v>0</v>
      </c>
      <c r="I570" s="14">
        <v>0</v>
      </c>
      <c r="J570" s="14">
        <v>0</v>
      </c>
      <c r="K570" s="14">
        <v>0</v>
      </c>
      <c r="L570" s="14">
        <v>0</v>
      </c>
      <c r="M570" s="14">
        <v>2</v>
      </c>
      <c r="N570" s="14">
        <v>10</v>
      </c>
      <c r="O570" s="14">
        <v>0</v>
      </c>
      <c r="P570" s="14">
        <v>0</v>
      </c>
      <c r="Q570" s="14">
        <v>0</v>
      </c>
      <c r="R570" s="14">
        <v>0</v>
      </c>
      <c r="S570" s="14">
        <v>0</v>
      </c>
      <c r="T570" s="14">
        <v>0</v>
      </c>
      <c r="U570" s="14">
        <v>1</v>
      </c>
      <c r="V570" s="14">
        <v>0</v>
      </c>
      <c r="W570" s="14">
        <v>0</v>
      </c>
      <c r="X570" s="14">
        <v>0</v>
      </c>
      <c r="Y570" s="14">
        <v>0</v>
      </c>
      <c r="Z570" s="14">
        <v>0</v>
      </c>
      <c r="AA570" s="14">
        <v>0</v>
      </c>
      <c r="AB570" s="14">
        <v>0</v>
      </c>
      <c r="AC570" s="14">
        <v>0</v>
      </c>
      <c r="AD570" s="25">
        <v>0</v>
      </c>
      <c r="AE570" s="25">
        <v>0</v>
      </c>
      <c r="AF570" s="25">
        <v>0</v>
      </c>
      <c r="AG570" s="25">
        <v>0.49307958499999999</v>
      </c>
      <c r="AH570" s="25">
        <v>0.54444444400000003</v>
      </c>
      <c r="AI570" s="14" t="s">
        <v>1076</v>
      </c>
      <c r="AJ570" s="14" t="s">
        <v>33</v>
      </c>
    </row>
    <row r="571" spans="1:36" x14ac:dyDescent="0.25">
      <c r="A571" s="1">
        <v>609</v>
      </c>
      <c r="B571" s="14" t="s">
        <v>1779</v>
      </c>
      <c r="C571" s="14" t="s">
        <v>2133</v>
      </c>
      <c r="D571" s="14" t="s">
        <v>1930</v>
      </c>
      <c r="E571" s="29" t="s">
        <v>104</v>
      </c>
      <c r="F571" s="14">
        <v>242.39</v>
      </c>
      <c r="G571" s="14">
        <v>61</v>
      </c>
      <c r="H571" s="14">
        <v>0</v>
      </c>
      <c r="I571" s="14">
        <v>0</v>
      </c>
      <c r="J571" s="14">
        <v>0</v>
      </c>
      <c r="K571" s="14">
        <v>0</v>
      </c>
      <c r="L571" s="14">
        <v>0</v>
      </c>
      <c r="M571" s="14">
        <v>2</v>
      </c>
      <c r="N571" s="14">
        <v>12</v>
      </c>
      <c r="O571" s="14">
        <v>0</v>
      </c>
      <c r="P571" s="14">
        <v>0</v>
      </c>
      <c r="Q571" s="14">
        <v>0</v>
      </c>
      <c r="R571" s="14">
        <v>0</v>
      </c>
      <c r="S571" s="14">
        <v>0</v>
      </c>
      <c r="T571" s="14">
        <v>0</v>
      </c>
      <c r="U571" s="14">
        <v>1</v>
      </c>
      <c r="V571" s="14">
        <v>0</v>
      </c>
      <c r="W571" s="14">
        <v>0</v>
      </c>
      <c r="X571" s="14">
        <v>0</v>
      </c>
      <c r="Y571" s="14">
        <v>0</v>
      </c>
      <c r="Z571" s="14">
        <v>0</v>
      </c>
      <c r="AA571" s="14">
        <v>0</v>
      </c>
      <c r="AB571" s="14">
        <v>0</v>
      </c>
      <c r="AC571" s="14">
        <v>0</v>
      </c>
      <c r="AD571" s="25">
        <v>0</v>
      </c>
      <c r="AE571" s="25">
        <v>0</v>
      </c>
      <c r="AF571" s="25">
        <v>0</v>
      </c>
      <c r="AG571" s="25">
        <v>0.55882352899999999</v>
      </c>
      <c r="AH571" s="25">
        <v>0.56920415199999996</v>
      </c>
      <c r="AI571" s="14" t="s">
        <v>1571</v>
      </c>
      <c r="AJ571" s="14" t="s">
        <v>33</v>
      </c>
    </row>
    <row r="572" spans="1:36" x14ac:dyDescent="0.25">
      <c r="A572" s="1">
        <v>610</v>
      </c>
      <c r="B572" s="25" t="s">
        <v>808</v>
      </c>
      <c r="C572" s="25" t="s">
        <v>555</v>
      </c>
      <c r="D572" s="25" t="s">
        <v>21</v>
      </c>
      <c r="E572" s="25" t="s">
        <v>51</v>
      </c>
      <c r="F572" s="25">
        <v>338.57</v>
      </c>
      <c r="G572" s="25">
        <v>61</v>
      </c>
      <c r="H572" s="25">
        <v>0</v>
      </c>
      <c r="I572" s="25">
        <v>1</v>
      </c>
      <c r="J572" s="25">
        <v>0</v>
      </c>
      <c r="K572" s="25">
        <v>1</v>
      </c>
      <c r="L572" s="25">
        <v>0</v>
      </c>
      <c r="M572" s="25">
        <v>2</v>
      </c>
      <c r="N572" s="25">
        <v>17</v>
      </c>
      <c r="O572" s="25">
        <v>0</v>
      </c>
      <c r="P572" s="25">
        <v>0</v>
      </c>
      <c r="Q572" s="25">
        <v>0</v>
      </c>
      <c r="R572" s="25">
        <v>0</v>
      </c>
      <c r="S572" s="25">
        <v>0</v>
      </c>
      <c r="T572" s="25">
        <v>0</v>
      </c>
      <c r="U572" s="25">
        <v>1</v>
      </c>
      <c r="V572" s="25">
        <v>0</v>
      </c>
      <c r="W572" s="25">
        <v>2</v>
      </c>
      <c r="X572" s="25">
        <v>0</v>
      </c>
      <c r="Y572" s="25">
        <v>0</v>
      </c>
      <c r="Z572" s="25">
        <v>0</v>
      </c>
      <c r="AA572" s="25">
        <v>0</v>
      </c>
      <c r="AB572" s="25">
        <v>0</v>
      </c>
      <c r="AC572" s="25">
        <v>0</v>
      </c>
      <c r="AD572" s="25">
        <v>0</v>
      </c>
      <c r="AE572" s="25">
        <v>0</v>
      </c>
      <c r="AF572" s="25">
        <v>0</v>
      </c>
      <c r="AG572" s="25">
        <v>0.59465020599999996</v>
      </c>
      <c r="AH572" s="25">
        <v>0.63600000000000001</v>
      </c>
      <c r="AI572" s="25" t="s">
        <v>1249</v>
      </c>
      <c r="AJ572" s="14" t="s">
        <v>33</v>
      </c>
    </row>
    <row r="573" spans="1:36" x14ac:dyDescent="0.25">
      <c r="A573" s="1">
        <v>611</v>
      </c>
      <c r="B573" s="25" t="s">
        <v>809</v>
      </c>
      <c r="C573" s="25" t="s">
        <v>473</v>
      </c>
      <c r="D573" s="25" t="s">
        <v>21</v>
      </c>
      <c r="E573" s="25" t="s">
        <v>206</v>
      </c>
      <c r="F573" s="25">
        <v>196.29</v>
      </c>
      <c r="G573" s="25">
        <v>61.1</v>
      </c>
      <c r="H573" s="25">
        <v>0</v>
      </c>
      <c r="I573" s="25">
        <v>2</v>
      </c>
      <c r="J573" s="25">
        <v>0</v>
      </c>
      <c r="K573" s="25">
        <v>2</v>
      </c>
      <c r="L573" s="25">
        <v>0</v>
      </c>
      <c r="M573" s="25">
        <v>0</v>
      </c>
      <c r="N573" s="25">
        <v>2</v>
      </c>
      <c r="O573" s="25">
        <v>0</v>
      </c>
      <c r="P573" s="25">
        <v>2</v>
      </c>
      <c r="Q573" s="25">
        <v>0</v>
      </c>
      <c r="R573" s="25">
        <v>0</v>
      </c>
      <c r="S573" s="25">
        <v>0</v>
      </c>
      <c r="T573" s="25">
        <v>0</v>
      </c>
      <c r="U573" s="25">
        <v>0</v>
      </c>
      <c r="V573" s="25">
        <v>0</v>
      </c>
      <c r="W573" s="25">
        <v>2</v>
      </c>
      <c r="X573" s="25">
        <v>0</v>
      </c>
      <c r="Y573" s="25">
        <v>2</v>
      </c>
      <c r="Z573" s="25">
        <v>2</v>
      </c>
      <c r="AA573" s="25">
        <v>4</v>
      </c>
      <c r="AB573" s="25">
        <v>0</v>
      </c>
      <c r="AC573" s="25">
        <v>0</v>
      </c>
      <c r="AD573" s="25">
        <v>0</v>
      </c>
      <c r="AE573" s="25">
        <v>0</v>
      </c>
      <c r="AF573" s="25">
        <v>0</v>
      </c>
      <c r="AG573" s="25">
        <v>0.52588757399999997</v>
      </c>
      <c r="AH573" s="25">
        <v>0.525390625</v>
      </c>
      <c r="AI573" s="25" t="s">
        <v>1168</v>
      </c>
      <c r="AJ573" s="14" t="s">
        <v>33</v>
      </c>
    </row>
    <row r="574" spans="1:36" x14ac:dyDescent="0.25">
      <c r="A574" s="1">
        <v>612</v>
      </c>
      <c r="B574" s="14" t="s">
        <v>1773</v>
      </c>
      <c r="C574" s="14" t="s">
        <v>1479</v>
      </c>
      <c r="D574" s="14" t="s">
        <v>1930</v>
      </c>
      <c r="E574" s="29" t="s">
        <v>66</v>
      </c>
      <c r="F574" s="14">
        <v>214.33799999999999</v>
      </c>
      <c r="G574" s="14">
        <v>61.2</v>
      </c>
      <c r="H574" s="14">
        <v>0</v>
      </c>
      <c r="I574" s="14">
        <v>0</v>
      </c>
      <c r="J574" s="14">
        <v>0</v>
      </c>
      <c r="K574" s="14">
        <v>0</v>
      </c>
      <c r="L574" s="14">
        <v>0</v>
      </c>
      <c r="M574" s="14">
        <v>2</v>
      </c>
      <c r="N574" s="14">
        <v>10</v>
      </c>
      <c r="O574" s="14">
        <v>0</v>
      </c>
      <c r="P574" s="14">
        <v>0</v>
      </c>
      <c r="Q574" s="14">
        <v>0</v>
      </c>
      <c r="R574" s="14">
        <v>0</v>
      </c>
      <c r="S574" s="14">
        <v>0</v>
      </c>
      <c r="T574" s="14">
        <v>0</v>
      </c>
      <c r="U574" s="14">
        <v>1</v>
      </c>
      <c r="V574" s="14">
        <v>0</v>
      </c>
      <c r="W574" s="14">
        <v>0</v>
      </c>
      <c r="X574" s="14">
        <v>0</v>
      </c>
      <c r="Y574" s="14">
        <v>0</v>
      </c>
      <c r="Z574" s="14">
        <v>0</v>
      </c>
      <c r="AA574" s="14">
        <v>0</v>
      </c>
      <c r="AB574" s="14">
        <v>0</v>
      </c>
      <c r="AC574" s="14">
        <v>0</v>
      </c>
      <c r="AD574" s="25">
        <v>0</v>
      </c>
      <c r="AE574" s="25">
        <v>0</v>
      </c>
      <c r="AF574" s="25">
        <v>0</v>
      </c>
      <c r="AG574" s="25">
        <v>0.54</v>
      </c>
      <c r="AH574" s="25">
        <v>0.54</v>
      </c>
      <c r="AI574" s="14" t="s">
        <v>1571</v>
      </c>
      <c r="AJ574" s="14" t="s">
        <v>33</v>
      </c>
    </row>
    <row r="575" spans="1:36" x14ac:dyDescent="0.25">
      <c r="A575" s="1">
        <v>613</v>
      </c>
      <c r="B575" s="14" t="s">
        <v>575</v>
      </c>
      <c r="C575" s="14" t="s">
        <v>279</v>
      </c>
      <c r="D575" s="14" t="s">
        <v>17</v>
      </c>
      <c r="E575" s="29" t="s">
        <v>86</v>
      </c>
      <c r="F575" s="14">
        <v>284.48</v>
      </c>
      <c r="G575" s="14">
        <v>61.7</v>
      </c>
      <c r="H575" s="14">
        <v>0</v>
      </c>
      <c r="I575" s="14">
        <v>0</v>
      </c>
      <c r="J575" s="14">
        <v>0</v>
      </c>
      <c r="K575" s="14">
        <v>0</v>
      </c>
      <c r="L575" s="14">
        <v>0</v>
      </c>
      <c r="M575" s="14">
        <v>1</v>
      </c>
      <c r="N575" s="14">
        <v>16</v>
      </c>
      <c r="O575" s="14">
        <v>0</v>
      </c>
      <c r="P575" s="14">
        <v>0</v>
      </c>
      <c r="Q575" s="14">
        <v>0</v>
      </c>
      <c r="R575" s="14">
        <v>0</v>
      </c>
      <c r="S575" s="14">
        <v>0</v>
      </c>
      <c r="T575" s="14">
        <v>0</v>
      </c>
      <c r="U575" s="14">
        <v>0</v>
      </c>
      <c r="V575" s="14">
        <v>0</v>
      </c>
      <c r="W575" s="14">
        <v>0</v>
      </c>
      <c r="X575" s="14">
        <v>0</v>
      </c>
      <c r="Y575" s="14">
        <v>0</v>
      </c>
      <c r="Z575" s="14">
        <v>0</v>
      </c>
      <c r="AA575" s="14">
        <v>0</v>
      </c>
      <c r="AB575" s="14">
        <v>0</v>
      </c>
      <c r="AC575" s="14">
        <v>0</v>
      </c>
      <c r="AD575" s="25">
        <v>0</v>
      </c>
      <c r="AE575" s="25">
        <v>0</v>
      </c>
      <c r="AF575" s="25">
        <v>1</v>
      </c>
      <c r="AG575" s="25">
        <v>0.58227040799999996</v>
      </c>
      <c r="AH575" s="25">
        <v>0.59875</v>
      </c>
      <c r="AI575" s="14" t="s">
        <v>967</v>
      </c>
      <c r="AJ575" s="14" t="s">
        <v>33</v>
      </c>
    </row>
    <row r="576" spans="1:36" x14ac:dyDescent="0.25">
      <c r="A576" s="1">
        <v>614</v>
      </c>
      <c r="B576" s="14" t="s">
        <v>1772</v>
      </c>
      <c r="C576" s="14" t="s">
        <v>2134</v>
      </c>
      <c r="D576" s="14" t="s">
        <v>1930</v>
      </c>
      <c r="E576" s="29" t="s">
        <v>155</v>
      </c>
      <c r="F576" s="14">
        <v>200.31200000000001</v>
      </c>
      <c r="G576" s="14">
        <v>62</v>
      </c>
      <c r="H576" s="14">
        <v>0</v>
      </c>
      <c r="I576" s="14">
        <v>0</v>
      </c>
      <c r="J576" s="14">
        <v>0</v>
      </c>
      <c r="K576" s="14">
        <v>0</v>
      </c>
      <c r="L576" s="14">
        <v>0</v>
      </c>
      <c r="M576" s="14">
        <v>2</v>
      </c>
      <c r="N576" s="14">
        <v>9</v>
      </c>
      <c r="O576" s="14">
        <v>0</v>
      </c>
      <c r="P576" s="14">
        <v>0</v>
      </c>
      <c r="Q576" s="14">
        <v>0</v>
      </c>
      <c r="R576" s="14">
        <v>0</v>
      </c>
      <c r="S576" s="14">
        <v>0</v>
      </c>
      <c r="T576" s="14">
        <v>0</v>
      </c>
      <c r="U576" s="14">
        <v>1</v>
      </c>
      <c r="V576" s="14">
        <v>0</v>
      </c>
      <c r="W576" s="14">
        <v>0</v>
      </c>
      <c r="X576" s="14">
        <v>0</v>
      </c>
      <c r="Y576" s="14">
        <v>0</v>
      </c>
      <c r="Z576" s="14">
        <v>0</v>
      </c>
      <c r="AA576" s="14">
        <v>0</v>
      </c>
      <c r="AB576" s="14">
        <v>0</v>
      </c>
      <c r="AC576" s="14">
        <v>0</v>
      </c>
      <c r="AD576" s="25">
        <v>0</v>
      </c>
      <c r="AE576" s="25">
        <v>0</v>
      </c>
      <c r="AF576" s="25">
        <v>0</v>
      </c>
      <c r="AG576" s="25">
        <v>0.52770083099999998</v>
      </c>
      <c r="AH576" s="25">
        <v>0.52295918399999997</v>
      </c>
      <c r="AI576" s="14" t="s">
        <v>1571</v>
      </c>
      <c r="AJ576" s="14" t="s">
        <v>33</v>
      </c>
    </row>
    <row r="577" spans="1:36" x14ac:dyDescent="0.25">
      <c r="A577" s="1">
        <v>616</v>
      </c>
      <c r="B577" s="14" t="s">
        <v>831</v>
      </c>
      <c r="C577" s="14" t="s">
        <v>832</v>
      </c>
      <c r="D577" s="14" t="s">
        <v>16</v>
      </c>
      <c r="E577" s="29" t="s">
        <v>106</v>
      </c>
      <c r="F577" s="14">
        <v>224.42</v>
      </c>
      <c r="G577" s="14">
        <v>63</v>
      </c>
      <c r="H577" s="14">
        <v>0</v>
      </c>
      <c r="I577" s="14">
        <v>0</v>
      </c>
      <c r="J577" s="14">
        <v>0</v>
      </c>
      <c r="K577" s="14">
        <v>0</v>
      </c>
      <c r="L577" s="14">
        <v>0</v>
      </c>
      <c r="M577" s="14">
        <v>3</v>
      </c>
      <c r="N577" s="14">
        <v>5</v>
      </c>
      <c r="O577" s="14">
        <v>0</v>
      </c>
      <c r="P577" s="14">
        <v>0</v>
      </c>
      <c r="Q577" s="14">
        <v>0</v>
      </c>
      <c r="R577" s="14">
        <v>0</v>
      </c>
      <c r="S577" s="14">
        <v>0</v>
      </c>
      <c r="T577" s="14">
        <v>0</v>
      </c>
      <c r="U577" s="14">
        <v>0</v>
      </c>
      <c r="V577" s="14">
        <v>2</v>
      </c>
      <c r="W577" s="14">
        <v>0</v>
      </c>
      <c r="X577" s="14">
        <v>0</v>
      </c>
      <c r="Y577" s="14">
        <v>0</v>
      </c>
      <c r="Z577" s="14">
        <v>1</v>
      </c>
      <c r="AA577" s="14">
        <v>5</v>
      </c>
      <c r="AB577" s="14">
        <v>0</v>
      </c>
      <c r="AC577" s="14">
        <v>0</v>
      </c>
      <c r="AD577" s="25">
        <v>0</v>
      </c>
      <c r="AE577" s="25">
        <v>0</v>
      </c>
      <c r="AF577" s="25">
        <v>0</v>
      </c>
      <c r="AG577" s="25">
        <v>0.55989583300000001</v>
      </c>
      <c r="AH577" s="25">
        <v>0.533203125</v>
      </c>
      <c r="AI577" s="14" t="s">
        <v>1200</v>
      </c>
      <c r="AJ577" s="14" t="s">
        <v>33</v>
      </c>
    </row>
    <row r="578" spans="1:36" x14ac:dyDescent="0.25">
      <c r="A578" s="1">
        <v>617</v>
      </c>
      <c r="B578" s="25" t="s">
        <v>1561</v>
      </c>
      <c r="C578" s="25" t="s">
        <v>2135</v>
      </c>
      <c r="D578" s="25" t="s">
        <v>21</v>
      </c>
      <c r="E578" s="25" t="s">
        <v>106</v>
      </c>
      <c r="F578" s="25">
        <v>224.42587850000001</v>
      </c>
      <c r="G578" s="25">
        <v>63</v>
      </c>
      <c r="H578" s="25">
        <v>0</v>
      </c>
      <c r="I578" s="25">
        <v>0</v>
      </c>
      <c r="J578" s="25">
        <v>0</v>
      </c>
      <c r="K578" s="25">
        <v>0</v>
      </c>
      <c r="L578" s="25">
        <v>0</v>
      </c>
      <c r="M578" s="25">
        <v>3</v>
      </c>
      <c r="N578" s="25">
        <v>5</v>
      </c>
      <c r="O578" s="25">
        <v>0</v>
      </c>
      <c r="P578" s="25">
        <v>0</v>
      </c>
      <c r="Q578" s="25">
        <v>0</v>
      </c>
      <c r="R578" s="25">
        <v>0</v>
      </c>
      <c r="S578" s="25">
        <v>0</v>
      </c>
      <c r="T578" s="25">
        <v>0</v>
      </c>
      <c r="U578" s="25">
        <v>0</v>
      </c>
      <c r="V578" s="25">
        <v>2</v>
      </c>
      <c r="W578" s="25">
        <v>0</v>
      </c>
      <c r="X578" s="25">
        <v>0</v>
      </c>
      <c r="Y578" s="25">
        <v>0</v>
      </c>
      <c r="Z578" s="25">
        <v>1</v>
      </c>
      <c r="AA578" s="25">
        <v>5</v>
      </c>
      <c r="AB578" s="25">
        <v>0</v>
      </c>
      <c r="AC578" s="25">
        <v>0</v>
      </c>
      <c r="AD578" s="25">
        <v>0</v>
      </c>
      <c r="AE578" s="25">
        <v>0</v>
      </c>
      <c r="AF578" s="25">
        <v>0</v>
      </c>
      <c r="AG578" s="25">
        <v>0.52076124599999996</v>
      </c>
      <c r="AH578" s="25">
        <v>0.52734375</v>
      </c>
      <c r="AI578" s="25" t="s">
        <v>1306</v>
      </c>
      <c r="AJ578" s="14" t="s">
        <v>33</v>
      </c>
    </row>
    <row r="579" spans="1:36" x14ac:dyDescent="0.25">
      <c r="A579" s="1">
        <v>620</v>
      </c>
      <c r="B579" s="25" t="s">
        <v>764</v>
      </c>
      <c r="C579" s="25" t="s">
        <v>410</v>
      </c>
      <c r="D579" s="25" t="s">
        <v>7</v>
      </c>
      <c r="E579" s="25" t="s">
        <v>90</v>
      </c>
      <c r="F579" s="25">
        <v>114.23</v>
      </c>
      <c r="G579" s="25">
        <v>64</v>
      </c>
      <c r="H579" s="25">
        <v>0</v>
      </c>
      <c r="I579" s="25">
        <v>0</v>
      </c>
      <c r="J579" s="25">
        <v>0</v>
      </c>
      <c r="K579" s="25">
        <v>0</v>
      </c>
      <c r="L579" s="25">
        <v>0</v>
      </c>
      <c r="M579" s="25">
        <v>2</v>
      </c>
      <c r="N579" s="25">
        <v>6</v>
      </c>
      <c r="O579" s="25">
        <v>0</v>
      </c>
      <c r="P579" s="25">
        <v>0</v>
      </c>
      <c r="Q579" s="25">
        <v>0</v>
      </c>
      <c r="R579" s="25">
        <v>0</v>
      </c>
      <c r="S579" s="25">
        <v>0</v>
      </c>
      <c r="T579" s="25">
        <v>0</v>
      </c>
      <c r="U579" s="25">
        <v>0</v>
      </c>
      <c r="V579" s="25">
        <v>0</v>
      </c>
      <c r="W579" s="25">
        <v>0</v>
      </c>
      <c r="X579" s="25">
        <v>0</v>
      </c>
      <c r="Y579" s="25">
        <v>0</v>
      </c>
      <c r="Z579" s="25">
        <v>0</v>
      </c>
      <c r="AA579" s="25">
        <v>0</v>
      </c>
      <c r="AB579" s="25">
        <v>0</v>
      </c>
      <c r="AC579" s="25">
        <v>0</v>
      </c>
      <c r="AD579" s="25">
        <v>0</v>
      </c>
      <c r="AE579" s="25">
        <v>0</v>
      </c>
      <c r="AF579" s="25">
        <v>0</v>
      </c>
      <c r="AG579" s="25">
        <v>0.375</v>
      </c>
      <c r="AH579" s="25">
        <v>0.35714285699999998</v>
      </c>
      <c r="AI579" s="25" t="s">
        <v>1107</v>
      </c>
      <c r="AJ579" s="14" t="s">
        <v>33</v>
      </c>
    </row>
    <row r="580" spans="1:36" x14ac:dyDescent="0.25">
      <c r="A580" s="1">
        <v>622</v>
      </c>
      <c r="B580" s="25" t="s">
        <v>825</v>
      </c>
      <c r="C580" s="25" t="s">
        <v>261</v>
      </c>
      <c r="D580" s="25" t="s">
        <v>12</v>
      </c>
      <c r="E580" s="25" t="s">
        <v>69</v>
      </c>
      <c r="F580" s="25">
        <v>154.29</v>
      </c>
      <c r="G580" s="25">
        <v>65</v>
      </c>
      <c r="H580" s="25">
        <v>0</v>
      </c>
      <c r="I580" s="25">
        <v>1</v>
      </c>
      <c r="J580" s="25">
        <v>0</v>
      </c>
      <c r="K580" s="25">
        <v>1</v>
      </c>
      <c r="L580" s="25">
        <v>0</v>
      </c>
      <c r="M580" s="25">
        <v>1</v>
      </c>
      <c r="N580" s="25">
        <v>8</v>
      </c>
      <c r="O580" s="25">
        <v>0</v>
      </c>
      <c r="P580" s="25">
        <v>0</v>
      </c>
      <c r="Q580" s="25">
        <v>0</v>
      </c>
      <c r="R580" s="25">
        <v>0</v>
      </c>
      <c r="S580" s="25">
        <v>0</v>
      </c>
      <c r="T580" s="25">
        <v>0</v>
      </c>
      <c r="U580" s="25">
        <v>0</v>
      </c>
      <c r="V580" s="25">
        <v>0</v>
      </c>
      <c r="W580" s="25">
        <v>1</v>
      </c>
      <c r="X580" s="25">
        <v>0</v>
      </c>
      <c r="Y580" s="25">
        <v>1</v>
      </c>
      <c r="Z580" s="25">
        <v>0</v>
      </c>
      <c r="AA580" s="25">
        <v>0</v>
      </c>
      <c r="AB580" s="25">
        <v>0</v>
      </c>
      <c r="AC580" s="25">
        <v>0</v>
      </c>
      <c r="AD580" s="25">
        <v>0</v>
      </c>
      <c r="AE580" s="25">
        <v>0</v>
      </c>
      <c r="AF580" s="25">
        <v>0</v>
      </c>
      <c r="AG580" s="25">
        <v>0.44674556199999998</v>
      </c>
      <c r="AH580" s="25">
        <v>0.47520661199999997</v>
      </c>
      <c r="AI580" s="25" t="s">
        <v>947</v>
      </c>
      <c r="AJ580" s="14" t="s">
        <v>33</v>
      </c>
    </row>
    <row r="581" spans="1:36" x14ac:dyDescent="0.25">
      <c r="A581" s="1">
        <v>623</v>
      </c>
      <c r="B581" s="14" t="s">
        <v>1667</v>
      </c>
      <c r="C581" s="14" t="s">
        <v>2136</v>
      </c>
      <c r="D581" s="14" t="s">
        <v>12</v>
      </c>
      <c r="E581" s="29" t="s">
        <v>69</v>
      </c>
      <c r="F581" s="14">
        <v>154.286</v>
      </c>
      <c r="G581" s="14">
        <v>65</v>
      </c>
      <c r="H581" s="14">
        <v>0</v>
      </c>
      <c r="I581" s="14">
        <v>1</v>
      </c>
      <c r="J581" s="14">
        <v>0</v>
      </c>
      <c r="K581" s="14">
        <v>1</v>
      </c>
      <c r="L581" s="14">
        <v>0</v>
      </c>
      <c r="M581" s="14">
        <v>1</v>
      </c>
      <c r="N581" s="14">
        <v>8</v>
      </c>
      <c r="O581" s="14">
        <v>0</v>
      </c>
      <c r="P581" s="14">
        <v>0</v>
      </c>
      <c r="Q581" s="14">
        <v>0</v>
      </c>
      <c r="R581" s="14">
        <v>0</v>
      </c>
      <c r="S581" s="14">
        <v>0</v>
      </c>
      <c r="T581" s="14">
        <v>0</v>
      </c>
      <c r="U581" s="14">
        <v>0</v>
      </c>
      <c r="V581" s="14">
        <v>0</v>
      </c>
      <c r="W581" s="14">
        <v>1</v>
      </c>
      <c r="X581" s="14">
        <v>0</v>
      </c>
      <c r="Y581" s="14">
        <v>1</v>
      </c>
      <c r="Z581" s="14">
        <v>0</v>
      </c>
      <c r="AA581" s="14">
        <v>0</v>
      </c>
      <c r="AB581" s="14">
        <v>0</v>
      </c>
      <c r="AC581" s="14">
        <v>0</v>
      </c>
      <c r="AD581" s="25">
        <v>0</v>
      </c>
      <c r="AE581" s="25">
        <v>0</v>
      </c>
      <c r="AF581" s="25">
        <v>0</v>
      </c>
      <c r="AG581" s="25">
        <v>0.46694214899999997</v>
      </c>
      <c r="AH581" s="25">
        <v>0.483471074</v>
      </c>
      <c r="AI581" s="14" t="s">
        <v>1571</v>
      </c>
      <c r="AJ581" s="14" t="s">
        <v>33</v>
      </c>
    </row>
    <row r="582" spans="1:36" x14ac:dyDescent="0.25">
      <c r="A582" s="1">
        <v>625</v>
      </c>
      <c r="B582" s="25" t="s">
        <v>642</v>
      </c>
      <c r="C582" s="25" t="s">
        <v>264</v>
      </c>
      <c r="D582" s="25" t="s">
        <v>12</v>
      </c>
      <c r="E582" s="25" t="s">
        <v>49</v>
      </c>
      <c r="F582" s="25">
        <v>252.48</v>
      </c>
      <c r="G582" s="25">
        <v>66</v>
      </c>
      <c r="H582" s="25">
        <v>0</v>
      </c>
      <c r="I582" s="25">
        <v>1</v>
      </c>
      <c r="J582" s="25">
        <v>0</v>
      </c>
      <c r="K582" s="25">
        <v>1</v>
      </c>
      <c r="L582" s="25">
        <v>0</v>
      </c>
      <c r="M582" s="25">
        <v>3</v>
      </c>
      <c r="N582" s="25">
        <v>13</v>
      </c>
      <c r="O582" s="25">
        <v>0</v>
      </c>
      <c r="P582" s="25">
        <v>0</v>
      </c>
      <c r="Q582" s="25">
        <v>0</v>
      </c>
      <c r="R582" s="25">
        <v>0</v>
      </c>
      <c r="S582" s="25">
        <v>0</v>
      </c>
      <c r="T582" s="25">
        <v>0</v>
      </c>
      <c r="U582" s="25">
        <v>0</v>
      </c>
      <c r="V582" s="25">
        <v>0</v>
      </c>
      <c r="W582" s="25">
        <v>1</v>
      </c>
      <c r="X582" s="25">
        <v>0</v>
      </c>
      <c r="Y582" s="25">
        <v>0</v>
      </c>
      <c r="Z582" s="25">
        <v>0</v>
      </c>
      <c r="AA582" s="25">
        <v>0</v>
      </c>
      <c r="AB582" s="25">
        <v>0</v>
      </c>
      <c r="AC582" s="25">
        <v>0</v>
      </c>
      <c r="AD582" s="25">
        <v>0</v>
      </c>
      <c r="AE582" s="25">
        <v>0</v>
      </c>
      <c r="AF582" s="25">
        <v>0</v>
      </c>
      <c r="AG582" s="25">
        <v>0.57253086399999997</v>
      </c>
      <c r="AH582" s="25">
        <v>0.57561728400000001</v>
      </c>
      <c r="AI582" s="25" t="s">
        <v>951</v>
      </c>
      <c r="AJ582" s="14" t="s">
        <v>33</v>
      </c>
    </row>
    <row r="583" spans="1:36" x14ac:dyDescent="0.25">
      <c r="A583" s="1">
        <v>626</v>
      </c>
      <c r="B583" s="25" t="s">
        <v>1365</v>
      </c>
      <c r="C583" s="25" t="s">
        <v>2137</v>
      </c>
      <c r="D583" s="25" t="s">
        <v>12</v>
      </c>
      <c r="E583" s="25" t="s">
        <v>49</v>
      </c>
      <c r="F583" s="25">
        <v>252.47911329999999</v>
      </c>
      <c r="G583" s="25">
        <v>66</v>
      </c>
      <c r="H583" s="25">
        <v>0</v>
      </c>
      <c r="I583" s="25">
        <v>1</v>
      </c>
      <c r="J583" s="25">
        <v>0</v>
      </c>
      <c r="K583" s="25">
        <v>1</v>
      </c>
      <c r="L583" s="25">
        <v>0</v>
      </c>
      <c r="M583" s="25">
        <v>3</v>
      </c>
      <c r="N583" s="25">
        <v>13</v>
      </c>
      <c r="O583" s="25">
        <v>0</v>
      </c>
      <c r="P583" s="25">
        <v>0</v>
      </c>
      <c r="Q583" s="25">
        <v>0</v>
      </c>
      <c r="R583" s="25">
        <v>0</v>
      </c>
      <c r="S583" s="25">
        <v>0</v>
      </c>
      <c r="T583" s="25">
        <v>0</v>
      </c>
      <c r="U583" s="25">
        <v>0</v>
      </c>
      <c r="V583" s="25">
        <v>0</v>
      </c>
      <c r="W583" s="25">
        <v>1</v>
      </c>
      <c r="X583" s="25">
        <v>0</v>
      </c>
      <c r="Y583" s="25">
        <v>0</v>
      </c>
      <c r="Z583" s="25">
        <v>0</v>
      </c>
      <c r="AA583" s="25">
        <v>0</v>
      </c>
      <c r="AB583" s="25">
        <v>0</v>
      </c>
      <c r="AC583" s="25">
        <v>0</v>
      </c>
      <c r="AD583" s="25">
        <v>0</v>
      </c>
      <c r="AE583" s="25">
        <v>0</v>
      </c>
      <c r="AF583" s="25">
        <v>0</v>
      </c>
      <c r="AG583" s="25">
        <v>0.55547337299999999</v>
      </c>
      <c r="AH583" s="25">
        <v>0.57561728400000001</v>
      </c>
      <c r="AI583" s="25" t="s">
        <v>1306</v>
      </c>
      <c r="AJ583" s="14" t="s">
        <v>33</v>
      </c>
    </row>
    <row r="584" spans="1:36" x14ac:dyDescent="0.25">
      <c r="A584" s="1">
        <v>627</v>
      </c>
      <c r="B584" s="25" t="s">
        <v>1366</v>
      </c>
      <c r="C584" s="25" t="s">
        <v>2138</v>
      </c>
      <c r="D584" s="25" t="s">
        <v>12</v>
      </c>
      <c r="E584" s="25" t="s">
        <v>49</v>
      </c>
      <c r="F584" s="25">
        <v>252.47911329999999</v>
      </c>
      <c r="G584" s="25">
        <v>66</v>
      </c>
      <c r="H584" s="25">
        <v>0</v>
      </c>
      <c r="I584" s="25">
        <v>1</v>
      </c>
      <c r="J584" s="25">
        <v>0</v>
      </c>
      <c r="K584" s="25">
        <v>1</v>
      </c>
      <c r="L584" s="25">
        <v>0</v>
      </c>
      <c r="M584" s="25">
        <v>3</v>
      </c>
      <c r="N584" s="25">
        <v>13</v>
      </c>
      <c r="O584" s="25">
        <v>0</v>
      </c>
      <c r="P584" s="25">
        <v>0</v>
      </c>
      <c r="Q584" s="25">
        <v>0</v>
      </c>
      <c r="R584" s="25">
        <v>0</v>
      </c>
      <c r="S584" s="25">
        <v>0</v>
      </c>
      <c r="T584" s="25">
        <v>0</v>
      </c>
      <c r="U584" s="25">
        <v>0</v>
      </c>
      <c r="V584" s="25">
        <v>0</v>
      </c>
      <c r="W584" s="25">
        <v>1</v>
      </c>
      <c r="X584" s="25">
        <v>0</v>
      </c>
      <c r="Y584" s="25">
        <v>0</v>
      </c>
      <c r="Z584" s="25">
        <v>0</v>
      </c>
      <c r="AA584" s="25">
        <v>0</v>
      </c>
      <c r="AB584" s="25">
        <v>0</v>
      </c>
      <c r="AC584" s="25">
        <v>0</v>
      </c>
      <c r="AD584" s="25">
        <v>0</v>
      </c>
      <c r="AE584" s="25">
        <v>0</v>
      </c>
      <c r="AF584" s="25">
        <v>0</v>
      </c>
      <c r="AG584" s="25">
        <v>0.55547337299999999</v>
      </c>
      <c r="AH584" s="25">
        <v>0.57561728400000001</v>
      </c>
      <c r="AI584" s="25" t="s">
        <v>1306</v>
      </c>
      <c r="AJ584" s="14" t="s">
        <v>33</v>
      </c>
    </row>
    <row r="585" spans="1:36" x14ac:dyDescent="0.25">
      <c r="A585" s="1">
        <v>628</v>
      </c>
      <c r="B585" s="25" t="s">
        <v>912</v>
      </c>
      <c r="C585" s="25" t="s">
        <v>2139</v>
      </c>
      <c r="D585" s="25" t="s">
        <v>16</v>
      </c>
      <c r="E585" s="25" t="s">
        <v>148</v>
      </c>
      <c r="F585" s="25">
        <v>358.64</v>
      </c>
      <c r="G585" s="25">
        <v>66</v>
      </c>
      <c r="H585" s="25">
        <v>0</v>
      </c>
      <c r="I585" s="25">
        <v>0</v>
      </c>
      <c r="J585" s="25">
        <v>0</v>
      </c>
      <c r="K585" s="25">
        <v>0</v>
      </c>
      <c r="L585" s="25">
        <v>0</v>
      </c>
      <c r="M585" s="25">
        <v>2</v>
      </c>
      <c r="N585" s="25">
        <v>17</v>
      </c>
      <c r="O585" s="25">
        <v>0</v>
      </c>
      <c r="P585" s="25">
        <v>0</v>
      </c>
      <c r="Q585" s="25">
        <v>0</v>
      </c>
      <c r="R585" s="25">
        <v>0</v>
      </c>
      <c r="S585" s="25">
        <v>0</v>
      </c>
      <c r="T585" s="25">
        <v>0</v>
      </c>
      <c r="U585" s="25">
        <v>0</v>
      </c>
      <c r="V585" s="25">
        <v>1</v>
      </c>
      <c r="W585" s="25">
        <v>0</v>
      </c>
      <c r="X585" s="25">
        <v>0</v>
      </c>
      <c r="Y585" s="25">
        <v>0</v>
      </c>
      <c r="Z585" s="25">
        <v>1</v>
      </c>
      <c r="AA585" s="25">
        <v>5</v>
      </c>
      <c r="AB585" s="25">
        <v>0</v>
      </c>
      <c r="AC585" s="25">
        <v>0</v>
      </c>
      <c r="AD585" s="25">
        <v>0</v>
      </c>
      <c r="AE585" s="25">
        <v>0</v>
      </c>
      <c r="AF585" s="25">
        <v>0</v>
      </c>
      <c r="AG585" s="25">
        <v>0.63165680499999999</v>
      </c>
      <c r="AH585" s="25">
        <v>0.63535503000000004</v>
      </c>
      <c r="AI585" s="25" t="s">
        <v>2140</v>
      </c>
      <c r="AJ585" s="14" t="s">
        <v>33</v>
      </c>
    </row>
    <row r="586" spans="1:36" x14ac:dyDescent="0.25">
      <c r="A586" s="1">
        <v>629</v>
      </c>
      <c r="B586" s="25" t="s">
        <v>750</v>
      </c>
      <c r="C586" s="25" t="s">
        <v>498</v>
      </c>
      <c r="D586" s="25" t="s">
        <v>19</v>
      </c>
      <c r="E586" s="25" t="s">
        <v>70</v>
      </c>
      <c r="F586" s="25">
        <v>254.49</v>
      </c>
      <c r="G586" s="25">
        <v>66</v>
      </c>
      <c r="H586" s="25">
        <v>0</v>
      </c>
      <c r="I586" s="25">
        <v>0</v>
      </c>
      <c r="J586" s="25">
        <v>0</v>
      </c>
      <c r="K586" s="25">
        <v>0</v>
      </c>
      <c r="L586" s="25">
        <v>0</v>
      </c>
      <c r="M586" s="25">
        <v>3</v>
      </c>
      <c r="N586" s="25">
        <v>14</v>
      </c>
      <c r="O586" s="25">
        <v>0</v>
      </c>
      <c r="P586" s="25">
        <v>0</v>
      </c>
      <c r="Q586" s="25">
        <v>0</v>
      </c>
      <c r="R586" s="25">
        <v>0</v>
      </c>
      <c r="S586" s="25">
        <v>0</v>
      </c>
      <c r="T586" s="25">
        <v>0</v>
      </c>
      <c r="U586" s="25">
        <v>0</v>
      </c>
      <c r="V586" s="25">
        <v>1</v>
      </c>
      <c r="W586" s="25">
        <v>0</v>
      </c>
      <c r="X586" s="25">
        <v>0</v>
      </c>
      <c r="Y586" s="25">
        <v>0</v>
      </c>
      <c r="Z586" s="25">
        <v>0</v>
      </c>
      <c r="AA586" s="25">
        <v>0</v>
      </c>
      <c r="AB586" s="25">
        <v>0</v>
      </c>
      <c r="AC586" s="25">
        <v>0</v>
      </c>
      <c r="AD586" s="25">
        <v>0</v>
      </c>
      <c r="AE586" s="25">
        <v>0</v>
      </c>
      <c r="AF586" s="25">
        <v>0</v>
      </c>
      <c r="AG586" s="25">
        <v>0.54783950599999998</v>
      </c>
      <c r="AH586" s="25">
        <v>0.56920415199999996</v>
      </c>
      <c r="AI586" s="25" t="s">
        <v>1192</v>
      </c>
      <c r="AJ586" s="14" t="s">
        <v>33</v>
      </c>
    </row>
    <row r="587" spans="1:36" x14ac:dyDescent="0.25">
      <c r="A587" s="1">
        <v>631</v>
      </c>
      <c r="B587" s="14" t="s">
        <v>583</v>
      </c>
      <c r="C587" s="14" t="s">
        <v>375</v>
      </c>
      <c r="D587" s="14" t="s">
        <v>17</v>
      </c>
      <c r="E587" s="29" t="s">
        <v>158</v>
      </c>
      <c r="F587" s="14">
        <v>256.42</v>
      </c>
      <c r="G587" s="14">
        <v>66.900000000000006</v>
      </c>
      <c r="H587" s="14">
        <v>0</v>
      </c>
      <c r="I587" s="14">
        <v>0</v>
      </c>
      <c r="J587" s="14">
        <v>0</v>
      </c>
      <c r="K587" s="14">
        <v>0</v>
      </c>
      <c r="L587" s="14">
        <v>0</v>
      </c>
      <c r="M587" s="14">
        <v>2</v>
      </c>
      <c r="N587" s="14">
        <v>13</v>
      </c>
      <c r="O587" s="14">
        <v>0</v>
      </c>
      <c r="P587" s="14">
        <v>0</v>
      </c>
      <c r="Q587" s="14">
        <v>0</v>
      </c>
      <c r="R587" s="14">
        <v>0</v>
      </c>
      <c r="S587" s="14">
        <v>0</v>
      </c>
      <c r="T587" s="14">
        <v>0</v>
      </c>
      <c r="U587" s="14">
        <v>1</v>
      </c>
      <c r="V587" s="14">
        <v>0</v>
      </c>
      <c r="W587" s="14">
        <v>0</v>
      </c>
      <c r="X587" s="14">
        <v>0</v>
      </c>
      <c r="Y587" s="14">
        <v>0</v>
      </c>
      <c r="Z587" s="14">
        <v>0</v>
      </c>
      <c r="AA587" s="14">
        <v>0</v>
      </c>
      <c r="AB587" s="14">
        <v>0</v>
      </c>
      <c r="AC587" s="14">
        <v>0</v>
      </c>
      <c r="AD587" s="25">
        <v>0</v>
      </c>
      <c r="AE587" s="25">
        <v>0</v>
      </c>
      <c r="AF587" s="25">
        <v>0</v>
      </c>
      <c r="AG587" s="25">
        <v>0.54125000000000001</v>
      </c>
      <c r="AH587" s="25">
        <v>0.56635802499999999</v>
      </c>
      <c r="AI587" s="14" t="s">
        <v>1071</v>
      </c>
      <c r="AJ587" s="14" t="s">
        <v>33</v>
      </c>
    </row>
    <row r="588" spans="1:36" x14ac:dyDescent="0.25">
      <c r="A588" s="1">
        <v>632</v>
      </c>
      <c r="B588" s="14" t="s">
        <v>1783</v>
      </c>
      <c r="C588" s="14" t="s">
        <v>1482</v>
      </c>
      <c r="D588" s="14" t="s">
        <v>1930</v>
      </c>
      <c r="E588" s="29" t="s">
        <v>1781</v>
      </c>
      <c r="F588" s="14">
        <v>256.416</v>
      </c>
      <c r="G588" s="14">
        <v>66.900000000000006</v>
      </c>
      <c r="H588" s="14">
        <v>0</v>
      </c>
      <c r="I588" s="14">
        <v>0</v>
      </c>
      <c r="J588" s="14">
        <v>0</v>
      </c>
      <c r="K588" s="14">
        <v>0</v>
      </c>
      <c r="L588" s="14">
        <v>0</v>
      </c>
      <c r="M588" s="14">
        <v>2</v>
      </c>
      <c r="N588" s="14">
        <v>13</v>
      </c>
      <c r="O588" s="14">
        <v>0</v>
      </c>
      <c r="P588" s="14">
        <v>0</v>
      </c>
      <c r="Q588" s="14">
        <v>0</v>
      </c>
      <c r="R588" s="14">
        <v>0</v>
      </c>
      <c r="S588" s="14">
        <v>0</v>
      </c>
      <c r="T588" s="14">
        <v>0</v>
      </c>
      <c r="U588" s="14">
        <v>1</v>
      </c>
      <c r="V588" s="14">
        <v>0</v>
      </c>
      <c r="W588" s="14">
        <v>0</v>
      </c>
      <c r="X588" s="14">
        <v>0</v>
      </c>
      <c r="Y588" s="14">
        <v>0</v>
      </c>
      <c r="Z588" s="14">
        <v>0</v>
      </c>
      <c r="AA588" s="14">
        <v>0</v>
      </c>
      <c r="AB588" s="14">
        <v>0</v>
      </c>
      <c r="AC588" s="14">
        <v>0</v>
      </c>
      <c r="AD588" s="25">
        <v>0</v>
      </c>
      <c r="AE588" s="25">
        <v>0</v>
      </c>
      <c r="AF588" s="25">
        <v>0</v>
      </c>
      <c r="AG588" s="25">
        <v>0.57870370400000004</v>
      </c>
      <c r="AH588" s="25">
        <v>0.57870370400000004</v>
      </c>
      <c r="AI588" s="14" t="s">
        <v>1571</v>
      </c>
      <c r="AJ588" s="14" t="s">
        <v>33</v>
      </c>
    </row>
    <row r="589" spans="1:36" x14ac:dyDescent="0.25">
      <c r="A589" s="1">
        <v>633</v>
      </c>
      <c r="B589" s="14" t="s">
        <v>1786</v>
      </c>
      <c r="C589" s="14" t="s">
        <v>2141</v>
      </c>
      <c r="D589" s="14" t="s">
        <v>1930</v>
      </c>
      <c r="E589" s="29" t="s">
        <v>1785</v>
      </c>
      <c r="F589" s="14">
        <v>270.44200000000001</v>
      </c>
      <c r="G589" s="14">
        <v>67</v>
      </c>
      <c r="H589" s="14">
        <v>0</v>
      </c>
      <c r="I589" s="14">
        <v>0</v>
      </c>
      <c r="J589" s="14">
        <v>0</v>
      </c>
      <c r="K589" s="14">
        <v>0</v>
      </c>
      <c r="L589" s="14">
        <v>0</v>
      </c>
      <c r="M589" s="14">
        <v>2</v>
      </c>
      <c r="N589" s="14">
        <v>14</v>
      </c>
      <c r="O589" s="14">
        <v>0</v>
      </c>
      <c r="P589" s="14">
        <v>0</v>
      </c>
      <c r="Q589" s="14">
        <v>0</v>
      </c>
      <c r="R589" s="14">
        <v>0</v>
      </c>
      <c r="S589" s="14">
        <v>0</v>
      </c>
      <c r="T589" s="14">
        <v>0</v>
      </c>
      <c r="U589" s="14">
        <v>1</v>
      </c>
      <c r="V589" s="14">
        <v>0</v>
      </c>
      <c r="W589" s="14">
        <v>0</v>
      </c>
      <c r="X589" s="14">
        <v>0</v>
      </c>
      <c r="Y589" s="14">
        <v>0</v>
      </c>
      <c r="Z589" s="14">
        <v>0</v>
      </c>
      <c r="AA589" s="14">
        <v>0</v>
      </c>
      <c r="AB589" s="14">
        <v>0</v>
      </c>
      <c r="AC589" s="14">
        <v>0</v>
      </c>
      <c r="AD589" s="25">
        <v>0</v>
      </c>
      <c r="AE589" s="25">
        <v>0</v>
      </c>
      <c r="AF589" s="25">
        <v>0</v>
      </c>
      <c r="AG589" s="25">
        <v>0.58587257599999998</v>
      </c>
      <c r="AH589" s="25">
        <v>0.58310249300000006</v>
      </c>
      <c r="AI589" s="14" t="s">
        <v>1571</v>
      </c>
      <c r="AJ589" s="14" t="s">
        <v>33</v>
      </c>
    </row>
    <row r="590" spans="1:36" x14ac:dyDescent="0.25">
      <c r="A590" s="1">
        <v>634</v>
      </c>
      <c r="B590" s="14" t="s">
        <v>842</v>
      </c>
      <c r="C590" s="14" t="s">
        <v>442</v>
      </c>
      <c r="D590" s="14" t="s">
        <v>19</v>
      </c>
      <c r="E590" s="29" t="s">
        <v>70</v>
      </c>
      <c r="F590" s="14">
        <v>254.49</v>
      </c>
      <c r="G590" s="14">
        <v>67</v>
      </c>
      <c r="H590" s="14">
        <v>0</v>
      </c>
      <c r="I590" s="14">
        <v>0</v>
      </c>
      <c r="J590" s="14">
        <v>0</v>
      </c>
      <c r="K590" s="14">
        <v>0</v>
      </c>
      <c r="L590" s="14">
        <v>0</v>
      </c>
      <c r="M590" s="14">
        <v>4</v>
      </c>
      <c r="N590" s="14">
        <v>12</v>
      </c>
      <c r="O590" s="14">
        <v>0</v>
      </c>
      <c r="P590" s="14">
        <v>0</v>
      </c>
      <c r="Q590" s="14">
        <v>0</v>
      </c>
      <c r="R590" s="14">
        <v>0</v>
      </c>
      <c r="S590" s="14">
        <v>0</v>
      </c>
      <c r="T590" s="14">
        <v>0</v>
      </c>
      <c r="U590" s="14">
        <v>0</v>
      </c>
      <c r="V590" s="14">
        <v>2</v>
      </c>
      <c r="W590" s="14">
        <v>0</v>
      </c>
      <c r="X590" s="14">
        <v>0</v>
      </c>
      <c r="Y590" s="14">
        <v>0</v>
      </c>
      <c r="Z590" s="14">
        <v>0</v>
      </c>
      <c r="AA590" s="14">
        <v>0</v>
      </c>
      <c r="AB590" s="14">
        <v>0</v>
      </c>
      <c r="AC590" s="14">
        <v>0</v>
      </c>
      <c r="AD590" s="25">
        <v>0</v>
      </c>
      <c r="AE590" s="25">
        <v>0</v>
      </c>
      <c r="AF590" s="25">
        <v>0</v>
      </c>
      <c r="AG590" s="25">
        <v>0.55215419499999996</v>
      </c>
      <c r="AH590" s="25">
        <v>0.56574394500000003</v>
      </c>
      <c r="AI590" s="14" t="s">
        <v>1138</v>
      </c>
      <c r="AJ590" s="14" t="s">
        <v>33</v>
      </c>
    </row>
    <row r="591" spans="1:36" x14ac:dyDescent="0.25">
      <c r="A591" s="1">
        <v>637</v>
      </c>
      <c r="B591" s="25" t="s">
        <v>1321</v>
      </c>
      <c r="C591" s="25" t="s">
        <v>2142</v>
      </c>
      <c r="D591" s="25" t="s">
        <v>7</v>
      </c>
      <c r="E591" s="25" t="s">
        <v>70</v>
      </c>
      <c r="F591" s="25">
        <v>254.4949948</v>
      </c>
      <c r="G591" s="25">
        <v>67</v>
      </c>
      <c r="H591" s="25">
        <v>0</v>
      </c>
      <c r="I591" s="25">
        <v>0</v>
      </c>
      <c r="J591" s="25">
        <v>0</v>
      </c>
      <c r="K591" s="25">
        <v>0</v>
      </c>
      <c r="L591" s="25">
        <v>0</v>
      </c>
      <c r="M591" s="25">
        <v>4</v>
      </c>
      <c r="N591" s="25">
        <v>12</v>
      </c>
      <c r="O591" s="25">
        <v>0</v>
      </c>
      <c r="P591" s="25">
        <v>0</v>
      </c>
      <c r="Q591" s="25">
        <v>0</v>
      </c>
      <c r="R591" s="25">
        <v>0</v>
      </c>
      <c r="S591" s="25">
        <v>0</v>
      </c>
      <c r="T591" s="25">
        <v>0</v>
      </c>
      <c r="U591" s="25">
        <v>0</v>
      </c>
      <c r="V591" s="25">
        <v>2</v>
      </c>
      <c r="W591" s="25">
        <v>0</v>
      </c>
      <c r="X591" s="25">
        <v>0</v>
      </c>
      <c r="Y591" s="25">
        <v>0</v>
      </c>
      <c r="Z591" s="25">
        <v>0</v>
      </c>
      <c r="AA591" s="25">
        <v>0</v>
      </c>
      <c r="AB591" s="25">
        <v>0</v>
      </c>
      <c r="AC591" s="25">
        <v>0</v>
      </c>
      <c r="AD591" s="25">
        <v>0</v>
      </c>
      <c r="AE591" s="25">
        <v>0</v>
      </c>
      <c r="AF591" s="25">
        <v>0</v>
      </c>
      <c r="AG591" s="25">
        <v>0.55215419499999996</v>
      </c>
      <c r="AH591" s="25">
        <v>0.57266435999999998</v>
      </c>
      <c r="AI591" s="25" t="s">
        <v>1306</v>
      </c>
      <c r="AJ591" s="14" t="s">
        <v>33</v>
      </c>
    </row>
    <row r="592" spans="1:36" x14ac:dyDescent="0.25">
      <c r="A592" s="1">
        <v>638</v>
      </c>
      <c r="B592" s="25" t="s">
        <v>1721</v>
      </c>
      <c r="C592" s="25" t="s">
        <v>1448</v>
      </c>
      <c r="D592" s="25" t="s">
        <v>10</v>
      </c>
      <c r="E592" s="25" t="s">
        <v>1722</v>
      </c>
      <c r="F592" s="25">
        <v>242.43199999999999</v>
      </c>
      <c r="G592" s="25">
        <v>68</v>
      </c>
      <c r="H592" s="25">
        <v>0</v>
      </c>
      <c r="I592" s="25">
        <v>0</v>
      </c>
      <c r="J592" s="25">
        <v>0</v>
      </c>
      <c r="K592" s="25">
        <v>0</v>
      </c>
      <c r="L592" s="25">
        <v>0</v>
      </c>
      <c r="M592" s="25">
        <v>1</v>
      </c>
      <c r="N592" s="25">
        <v>15</v>
      </c>
      <c r="O592" s="25">
        <v>1</v>
      </c>
      <c r="P592" s="25">
        <v>0</v>
      </c>
      <c r="Q592" s="25">
        <v>0</v>
      </c>
      <c r="R592" s="25">
        <v>0</v>
      </c>
      <c r="S592" s="25">
        <v>0</v>
      </c>
      <c r="T592" s="25">
        <v>0</v>
      </c>
      <c r="U592" s="25">
        <v>0</v>
      </c>
      <c r="V592" s="25">
        <v>0</v>
      </c>
      <c r="W592" s="25">
        <v>0</v>
      </c>
      <c r="X592" s="25">
        <v>0</v>
      </c>
      <c r="Y592" s="25">
        <v>0</v>
      </c>
      <c r="Z592" s="25">
        <v>0</v>
      </c>
      <c r="AA592" s="25">
        <v>0</v>
      </c>
      <c r="AB592" s="25">
        <v>1</v>
      </c>
      <c r="AC592" s="25">
        <v>0</v>
      </c>
      <c r="AD592" s="25">
        <v>0</v>
      </c>
      <c r="AE592" s="25">
        <v>0</v>
      </c>
      <c r="AF592" s="25">
        <v>0</v>
      </c>
      <c r="AG592" s="25">
        <v>0.54152249100000005</v>
      </c>
      <c r="AH592" s="25">
        <v>0.548828125</v>
      </c>
      <c r="AI592" s="25" t="s">
        <v>1571</v>
      </c>
      <c r="AJ592" s="14" t="s">
        <v>33</v>
      </c>
    </row>
    <row r="593" spans="1:36" x14ac:dyDescent="0.25">
      <c r="A593" s="1">
        <v>641</v>
      </c>
      <c r="B593" s="25" t="s">
        <v>696</v>
      </c>
      <c r="C593" s="25" t="s">
        <v>372</v>
      </c>
      <c r="D593" s="25" t="s">
        <v>17</v>
      </c>
      <c r="E593" s="25" t="s">
        <v>86</v>
      </c>
      <c r="F593" s="25">
        <v>284.48</v>
      </c>
      <c r="G593" s="25">
        <v>69.400000000000006</v>
      </c>
      <c r="H593" s="25">
        <v>0</v>
      </c>
      <c r="I593" s="25">
        <v>0</v>
      </c>
      <c r="J593" s="25">
        <v>0</v>
      </c>
      <c r="K593" s="25">
        <v>0</v>
      </c>
      <c r="L593" s="25">
        <v>0</v>
      </c>
      <c r="M593" s="25">
        <v>2</v>
      </c>
      <c r="N593" s="25">
        <v>15</v>
      </c>
      <c r="O593" s="25">
        <v>0</v>
      </c>
      <c r="P593" s="25">
        <v>0</v>
      </c>
      <c r="Q593" s="25">
        <v>0</v>
      </c>
      <c r="R593" s="25">
        <v>0</v>
      </c>
      <c r="S593" s="25">
        <v>0</v>
      </c>
      <c r="T593" s="25">
        <v>0</v>
      </c>
      <c r="U593" s="25">
        <v>1</v>
      </c>
      <c r="V593" s="25">
        <v>0</v>
      </c>
      <c r="W593" s="25">
        <v>0</v>
      </c>
      <c r="X593" s="25">
        <v>0</v>
      </c>
      <c r="Y593" s="25">
        <v>0</v>
      </c>
      <c r="Z593" s="25">
        <v>0</v>
      </c>
      <c r="AA593" s="25">
        <v>0</v>
      </c>
      <c r="AB593" s="25">
        <v>0</v>
      </c>
      <c r="AC593" s="25">
        <v>0</v>
      </c>
      <c r="AD593" s="25">
        <v>0</v>
      </c>
      <c r="AE593" s="25">
        <v>0</v>
      </c>
      <c r="AF593" s="25">
        <v>0</v>
      </c>
      <c r="AG593" s="25">
        <v>0.59375</v>
      </c>
      <c r="AH593" s="25">
        <v>0.59875</v>
      </c>
      <c r="AI593" s="25" t="s">
        <v>1068</v>
      </c>
      <c r="AJ593" s="14" t="s">
        <v>33</v>
      </c>
    </row>
    <row r="594" spans="1:36" x14ac:dyDescent="0.25">
      <c r="A594" s="1">
        <v>642</v>
      </c>
      <c r="B594" s="25" t="s">
        <v>1788</v>
      </c>
      <c r="C594" s="25" t="s">
        <v>1484</v>
      </c>
      <c r="D594" s="25" t="s">
        <v>1930</v>
      </c>
      <c r="E594" s="25" t="s">
        <v>1789</v>
      </c>
      <c r="F594" s="25">
        <v>284.46800000000002</v>
      </c>
      <c r="G594" s="25">
        <v>69.400000000000006</v>
      </c>
      <c r="H594" s="25">
        <v>0</v>
      </c>
      <c r="I594" s="25">
        <v>0</v>
      </c>
      <c r="J594" s="25">
        <v>0</v>
      </c>
      <c r="K594" s="25">
        <v>0</v>
      </c>
      <c r="L594" s="25">
        <v>0</v>
      </c>
      <c r="M594" s="25">
        <v>2</v>
      </c>
      <c r="N594" s="25">
        <v>15</v>
      </c>
      <c r="O594" s="25">
        <v>0</v>
      </c>
      <c r="P594" s="25">
        <v>0</v>
      </c>
      <c r="Q594" s="25">
        <v>0</v>
      </c>
      <c r="R594" s="25">
        <v>0</v>
      </c>
      <c r="S594" s="25">
        <v>0</v>
      </c>
      <c r="T594" s="25">
        <v>0</v>
      </c>
      <c r="U594" s="25">
        <v>1</v>
      </c>
      <c r="V594" s="25">
        <v>0</v>
      </c>
      <c r="W594" s="25">
        <v>0</v>
      </c>
      <c r="X594" s="25">
        <v>0</v>
      </c>
      <c r="Y594" s="25">
        <v>0</v>
      </c>
      <c r="Z594" s="25">
        <v>0</v>
      </c>
      <c r="AA594" s="25">
        <v>0</v>
      </c>
      <c r="AB594" s="25">
        <v>0</v>
      </c>
      <c r="AC594" s="25">
        <v>0</v>
      </c>
      <c r="AD594" s="25">
        <v>0</v>
      </c>
      <c r="AE594" s="25">
        <v>0</v>
      </c>
      <c r="AF594" s="25">
        <v>0</v>
      </c>
      <c r="AG594" s="25">
        <v>0.59624999999999995</v>
      </c>
      <c r="AH594" s="25">
        <v>0.59875</v>
      </c>
      <c r="AI594" s="25" t="s">
        <v>1571</v>
      </c>
      <c r="AJ594" s="14" t="s">
        <v>33</v>
      </c>
    </row>
    <row r="595" spans="1:36" x14ac:dyDescent="0.25">
      <c r="A595" s="1">
        <v>643</v>
      </c>
      <c r="B595" s="14" t="s">
        <v>892</v>
      </c>
      <c r="C595" s="14" t="s">
        <v>382</v>
      </c>
      <c r="D595" s="14" t="s">
        <v>16</v>
      </c>
      <c r="E595" s="29" t="s">
        <v>161</v>
      </c>
      <c r="F595" s="14">
        <v>266.5</v>
      </c>
      <c r="G595" s="14">
        <v>70</v>
      </c>
      <c r="H595" s="14">
        <v>0</v>
      </c>
      <c r="I595" s="14">
        <v>0</v>
      </c>
      <c r="J595" s="14">
        <v>0</v>
      </c>
      <c r="K595" s="14">
        <v>0</v>
      </c>
      <c r="L595" s="14">
        <v>0</v>
      </c>
      <c r="M595" s="14">
        <v>2</v>
      </c>
      <c r="N595" s="14">
        <v>11</v>
      </c>
      <c r="O595" s="14">
        <v>0</v>
      </c>
      <c r="P595" s="14">
        <v>0</v>
      </c>
      <c r="Q595" s="14">
        <v>0</v>
      </c>
      <c r="R595" s="14">
        <v>0</v>
      </c>
      <c r="S595" s="14">
        <v>0</v>
      </c>
      <c r="T595" s="14">
        <v>0</v>
      </c>
      <c r="U595" s="14">
        <v>0</v>
      </c>
      <c r="V595" s="14">
        <v>0</v>
      </c>
      <c r="W595" s="14">
        <v>0</v>
      </c>
      <c r="X595" s="14">
        <v>0</v>
      </c>
      <c r="Y595" s="14">
        <v>0</v>
      </c>
      <c r="Z595" s="14">
        <v>2</v>
      </c>
      <c r="AA595" s="14">
        <v>4</v>
      </c>
      <c r="AB595" s="14">
        <v>0</v>
      </c>
      <c r="AC595" s="14">
        <v>0</v>
      </c>
      <c r="AD595" s="25">
        <v>0</v>
      </c>
      <c r="AE595" s="25">
        <v>0</v>
      </c>
      <c r="AF595" s="25">
        <v>0</v>
      </c>
      <c r="AG595" s="25">
        <v>0.54874999999999996</v>
      </c>
      <c r="AH595" s="25">
        <v>0.56371191099999995</v>
      </c>
      <c r="AI595" s="14" t="s">
        <v>1080</v>
      </c>
      <c r="AJ595" s="14" t="s">
        <v>33</v>
      </c>
    </row>
    <row r="596" spans="1:36" x14ac:dyDescent="0.25">
      <c r="A596" s="1">
        <v>644</v>
      </c>
      <c r="B596" s="25" t="s">
        <v>1801</v>
      </c>
      <c r="C596" s="25" t="s">
        <v>2143</v>
      </c>
      <c r="D596" s="25" t="s">
        <v>1930</v>
      </c>
      <c r="E596" s="25" t="s">
        <v>65</v>
      </c>
      <c r="F596" s="25">
        <v>326.54599999999999</v>
      </c>
      <c r="G596" s="25">
        <v>70</v>
      </c>
      <c r="H596" s="25">
        <v>0</v>
      </c>
      <c r="I596" s="25">
        <v>0</v>
      </c>
      <c r="J596" s="25">
        <v>0</v>
      </c>
      <c r="K596" s="25">
        <v>0</v>
      </c>
      <c r="L596" s="25">
        <v>0</v>
      </c>
      <c r="M596" s="25">
        <v>2</v>
      </c>
      <c r="N596" s="25">
        <v>18</v>
      </c>
      <c r="O596" s="25">
        <v>0</v>
      </c>
      <c r="P596" s="25">
        <v>0</v>
      </c>
      <c r="Q596" s="25">
        <v>0</v>
      </c>
      <c r="R596" s="25">
        <v>0</v>
      </c>
      <c r="S596" s="25">
        <v>0</v>
      </c>
      <c r="T596" s="25">
        <v>0</v>
      </c>
      <c r="U596" s="25">
        <v>1</v>
      </c>
      <c r="V596" s="25">
        <v>0</v>
      </c>
      <c r="W596" s="25">
        <v>0</v>
      </c>
      <c r="X596" s="25">
        <v>0</v>
      </c>
      <c r="Y596" s="25">
        <v>0</v>
      </c>
      <c r="Z596" s="25">
        <v>0</v>
      </c>
      <c r="AA596" s="25">
        <v>0</v>
      </c>
      <c r="AB596" s="25">
        <v>0</v>
      </c>
      <c r="AC596" s="25">
        <v>0</v>
      </c>
      <c r="AD596" s="25">
        <v>0</v>
      </c>
      <c r="AE596" s="25">
        <v>0</v>
      </c>
      <c r="AF596" s="25">
        <v>0</v>
      </c>
      <c r="AG596" s="25">
        <v>0.59982638899999996</v>
      </c>
      <c r="AH596" s="25">
        <v>0.61153119099999997</v>
      </c>
      <c r="AI596" s="25" t="s">
        <v>1571</v>
      </c>
      <c r="AJ596" s="14" t="s">
        <v>33</v>
      </c>
    </row>
    <row r="597" spans="1:36" x14ac:dyDescent="0.25">
      <c r="A597" s="1">
        <v>646</v>
      </c>
      <c r="B597" s="14" t="s">
        <v>567</v>
      </c>
      <c r="C597" s="14" t="s">
        <v>393</v>
      </c>
      <c r="D597" s="14" t="s">
        <v>12</v>
      </c>
      <c r="E597" s="29" t="s">
        <v>168</v>
      </c>
      <c r="F597" s="14">
        <v>168.32</v>
      </c>
      <c r="G597" s="14">
        <v>71</v>
      </c>
      <c r="H597" s="14">
        <v>0</v>
      </c>
      <c r="I597" s="14">
        <v>1</v>
      </c>
      <c r="J597" s="14">
        <v>0</v>
      </c>
      <c r="K597" s="14">
        <v>1</v>
      </c>
      <c r="L597" s="14">
        <v>0</v>
      </c>
      <c r="M597" s="14">
        <v>1</v>
      </c>
      <c r="N597" s="14">
        <v>9</v>
      </c>
      <c r="O597" s="14">
        <v>0</v>
      </c>
      <c r="P597" s="14">
        <v>0</v>
      </c>
      <c r="Q597" s="14">
        <v>0</v>
      </c>
      <c r="R597" s="14">
        <v>0</v>
      </c>
      <c r="S597" s="14">
        <v>0</v>
      </c>
      <c r="T597" s="14">
        <v>0</v>
      </c>
      <c r="U597" s="14">
        <v>0</v>
      </c>
      <c r="V597" s="14">
        <v>0</v>
      </c>
      <c r="W597" s="14">
        <v>1</v>
      </c>
      <c r="X597" s="14">
        <v>0</v>
      </c>
      <c r="Y597" s="14">
        <v>1</v>
      </c>
      <c r="Z597" s="14">
        <v>0</v>
      </c>
      <c r="AA597" s="14">
        <v>0</v>
      </c>
      <c r="AB597" s="14">
        <v>0</v>
      </c>
      <c r="AC597" s="14">
        <v>0</v>
      </c>
      <c r="AD597" s="25">
        <v>0</v>
      </c>
      <c r="AE597" s="25">
        <v>0</v>
      </c>
      <c r="AF597" s="25">
        <v>0</v>
      </c>
      <c r="AG597" s="25">
        <v>0.466836735</v>
      </c>
      <c r="AH597" s="25">
        <v>0.49652777799999998</v>
      </c>
      <c r="AI597" s="14" t="s">
        <v>1090</v>
      </c>
      <c r="AJ597" s="14" t="s">
        <v>33</v>
      </c>
    </row>
    <row r="598" spans="1:36" x14ac:dyDescent="0.25">
      <c r="A598" s="1">
        <v>648</v>
      </c>
      <c r="B598" s="14" t="s">
        <v>1787</v>
      </c>
      <c r="C598" s="14" t="s">
        <v>2144</v>
      </c>
      <c r="D598" s="14" t="s">
        <v>1930</v>
      </c>
      <c r="E598" s="29" t="s">
        <v>103</v>
      </c>
      <c r="F598" s="14">
        <v>270.44200000000001</v>
      </c>
      <c r="G598" s="14">
        <v>71</v>
      </c>
      <c r="H598" s="14">
        <v>0</v>
      </c>
      <c r="I598" s="14">
        <v>0</v>
      </c>
      <c r="J598" s="14">
        <v>0</v>
      </c>
      <c r="K598" s="14">
        <v>0</v>
      </c>
      <c r="L598" s="14">
        <v>0</v>
      </c>
      <c r="M598" s="14">
        <v>2</v>
      </c>
      <c r="N598" s="14">
        <v>14</v>
      </c>
      <c r="O598" s="14">
        <v>0</v>
      </c>
      <c r="P598" s="14">
        <v>0</v>
      </c>
      <c r="Q598" s="14">
        <v>0</v>
      </c>
      <c r="R598" s="14">
        <v>0</v>
      </c>
      <c r="S598" s="14">
        <v>0</v>
      </c>
      <c r="T598" s="14">
        <v>0</v>
      </c>
      <c r="U598" s="14">
        <v>1</v>
      </c>
      <c r="V598" s="14">
        <v>0</v>
      </c>
      <c r="W598" s="14">
        <v>0</v>
      </c>
      <c r="X598" s="14">
        <v>0</v>
      </c>
      <c r="Y598" s="14">
        <v>0</v>
      </c>
      <c r="Z598" s="14">
        <v>0</v>
      </c>
      <c r="AA598" s="14">
        <v>0</v>
      </c>
      <c r="AB598" s="14">
        <v>0</v>
      </c>
      <c r="AC598" s="14">
        <v>0</v>
      </c>
      <c r="AD598" s="25">
        <v>0</v>
      </c>
      <c r="AE598" s="25">
        <v>0</v>
      </c>
      <c r="AF598" s="25">
        <v>0</v>
      </c>
      <c r="AG598" s="25">
        <v>0.58587257599999998</v>
      </c>
      <c r="AH598" s="25">
        <v>0.58310249300000006</v>
      </c>
      <c r="AI598" s="14" t="s">
        <v>1571</v>
      </c>
      <c r="AJ598" s="14" t="s">
        <v>33</v>
      </c>
    </row>
    <row r="599" spans="1:36" x14ac:dyDescent="0.25">
      <c r="A599" s="1">
        <v>649</v>
      </c>
      <c r="B599" s="14" t="s">
        <v>1803</v>
      </c>
      <c r="C599" s="14" t="s">
        <v>2145</v>
      </c>
      <c r="D599" s="14" t="s">
        <v>1930</v>
      </c>
      <c r="E599" s="29" t="s">
        <v>59</v>
      </c>
      <c r="F599" s="14">
        <v>340.572</v>
      </c>
      <c r="G599" s="14">
        <v>71</v>
      </c>
      <c r="H599" s="14">
        <v>0</v>
      </c>
      <c r="I599" s="14">
        <v>0</v>
      </c>
      <c r="J599" s="14">
        <v>0</v>
      </c>
      <c r="K599" s="14">
        <v>0</v>
      </c>
      <c r="L599" s="14">
        <v>0</v>
      </c>
      <c r="M599" s="14">
        <v>2</v>
      </c>
      <c r="N599" s="14">
        <v>19</v>
      </c>
      <c r="O599" s="14">
        <v>0</v>
      </c>
      <c r="P599" s="14">
        <v>0</v>
      </c>
      <c r="Q599" s="14">
        <v>0</v>
      </c>
      <c r="R599" s="14">
        <v>0</v>
      </c>
      <c r="S599" s="14">
        <v>0</v>
      </c>
      <c r="T599" s="14">
        <v>0</v>
      </c>
      <c r="U599" s="14">
        <v>1</v>
      </c>
      <c r="V599" s="14">
        <v>0</v>
      </c>
      <c r="W599" s="14">
        <v>0</v>
      </c>
      <c r="X599" s="14">
        <v>0</v>
      </c>
      <c r="Y599" s="14">
        <v>0</v>
      </c>
      <c r="Z599" s="14">
        <v>0</v>
      </c>
      <c r="AA599" s="14">
        <v>0</v>
      </c>
      <c r="AB599" s="14">
        <v>0</v>
      </c>
      <c r="AC599" s="14">
        <v>0</v>
      </c>
      <c r="AD599" s="25">
        <v>0</v>
      </c>
      <c r="AE599" s="25">
        <v>0</v>
      </c>
      <c r="AF599" s="25">
        <v>0</v>
      </c>
      <c r="AG599" s="25">
        <v>0.62239583300000001</v>
      </c>
      <c r="AH599" s="25">
        <v>0.63107638899999996</v>
      </c>
      <c r="AI599" s="14" t="s">
        <v>1571</v>
      </c>
      <c r="AJ599" s="14" t="s">
        <v>33</v>
      </c>
    </row>
    <row r="600" spans="1:36" x14ac:dyDescent="0.25">
      <c r="A600" s="1">
        <v>650</v>
      </c>
      <c r="B600" s="14" t="s">
        <v>1305</v>
      </c>
      <c r="C600" s="14" t="s">
        <v>2146</v>
      </c>
      <c r="D600" s="14" t="s">
        <v>17</v>
      </c>
      <c r="E600" s="29" t="s">
        <v>51</v>
      </c>
      <c r="F600" s="14">
        <v>338.56851119999999</v>
      </c>
      <c r="G600" s="14">
        <v>71.900000000000006</v>
      </c>
      <c r="H600" s="14">
        <v>0</v>
      </c>
      <c r="I600" s="14">
        <v>1</v>
      </c>
      <c r="J600" s="14">
        <v>0</v>
      </c>
      <c r="K600" s="14">
        <v>1</v>
      </c>
      <c r="L600" s="14">
        <v>0</v>
      </c>
      <c r="M600" s="14">
        <v>3</v>
      </c>
      <c r="N600" s="14">
        <v>15</v>
      </c>
      <c r="O600" s="14">
        <v>0</v>
      </c>
      <c r="P600" s="14">
        <v>0</v>
      </c>
      <c r="Q600" s="14">
        <v>0</v>
      </c>
      <c r="R600" s="14">
        <v>0</v>
      </c>
      <c r="S600" s="14">
        <v>0</v>
      </c>
      <c r="T600" s="14">
        <v>0</v>
      </c>
      <c r="U600" s="14">
        <v>1</v>
      </c>
      <c r="V600" s="14">
        <v>1</v>
      </c>
      <c r="W600" s="14">
        <v>2</v>
      </c>
      <c r="X600" s="14">
        <v>0</v>
      </c>
      <c r="Y600" s="14">
        <v>0</v>
      </c>
      <c r="Z600" s="14">
        <v>0</v>
      </c>
      <c r="AA600" s="14">
        <v>0</v>
      </c>
      <c r="AB600" s="14">
        <v>0</v>
      </c>
      <c r="AC600" s="14">
        <v>0</v>
      </c>
      <c r="AD600" s="25">
        <v>0</v>
      </c>
      <c r="AE600" s="25">
        <v>0</v>
      </c>
      <c r="AF600" s="25">
        <v>0</v>
      </c>
      <c r="AG600" s="25">
        <v>0.59465020599999996</v>
      </c>
      <c r="AH600" s="25">
        <v>0.63919999999999999</v>
      </c>
      <c r="AI600" s="14" t="s">
        <v>1306</v>
      </c>
      <c r="AJ600" s="14" t="s">
        <v>33</v>
      </c>
    </row>
    <row r="601" spans="1:36" x14ac:dyDescent="0.25">
      <c r="A601" s="1">
        <v>651</v>
      </c>
      <c r="B601" s="14" t="s">
        <v>600</v>
      </c>
      <c r="C601" s="14" t="s">
        <v>243</v>
      </c>
      <c r="D601" s="14" t="s">
        <v>21</v>
      </c>
      <c r="E601" s="29" t="s">
        <v>51</v>
      </c>
      <c r="F601" s="14">
        <v>338.57</v>
      </c>
      <c r="G601" s="14">
        <v>71.900000000000006</v>
      </c>
      <c r="H601" s="14">
        <v>0</v>
      </c>
      <c r="I601" s="14">
        <v>1</v>
      </c>
      <c r="J601" s="14">
        <v>0</v>
      </c>
      <c r="K601" s="14">
        <v>1</v>
      </c>
      <c r="L601" s="14">
        <v>0</v>
      </c>
      <c r="M601" s="14">
        <v>3</v>
      </c>
      <c r="N601" s="14">
        <v>15</v>
      </c>
      <c r="O601" s="14">
        <v>0</v>
      </c>
      <c r="P601" s="14">
        <v>0</v>
      </c>
      <c r="Q601" s="14">
        <v>0</v>
      </c>
      <c r="R601" s="14">
        <v>0</v>
      </c>
      <c r="S601" s="14">
        <v>0</v>
      </c>
      <c r="T601" s="14">
        <v>0</v>
      </c>
      <c r="U601" s="14">
        <v>1</v>
      </c>
      <c r="V601" s="14">
        <v>1</v>
      </c>
      <c r="W601" s="14">
        <v>2</v>
      </c>
      <c r="X601" s="14">
        <v>0</v>
      </c>
      <c r="Y601" s="14">
        <v>0</v>
      </c>
      <c r="Z601" s="14">
        <v>0</v>
      </c>
      <c r="AA601" s="14">
        <v>0</v>
      </c>
      <c r="AB601" s="14">
        <v>0</v>
      </c>
      <c r="AC601" s="14">
        <v>0</v>
      </c>
      <c r="AD601" s="25">
        <v>0</v>
      </c>
      <c r="AE601" s="25">
        <v>0</v>
      </c>
      <c r="AF601" s="25">
        <v>0</v>
      </c>
      <c r="AG601" s="25">
        <v>0.63527575400000003</v>
      </c>
      <c r="AH601" s="25">
        <v>0.62319999999999998</v>
      </c>
      <c r="AI601" s="14" t="s">
        <v>926</v>
      </c>
      <c r="AJ601" s="14" t="s">
        <v>33</v>
      </c>
    </row>
    <row r="602" spans="1:36" x14ac:dyDescent="0.25">
      <c r="A602" s="1">
        <v>652</v>
      </c>
      <c r="B602" s="14" t="s">
        <v>826</v>
      </c>
      <c r="C602" s="14" t="s">
        <v>528</v>
      </c>
      <c r="D602" s="14" t="s">
        <v>13</v>
      </c>
      <c r="E602" s="29" t="s">
        <v>224</v>
      </c>
      <c r="F602" s="14">
        <v>274.48</v>
      </c>
      <c r="G602" s="14">
        <v>72</v>
      </c>
      <c r="H602" s="14">
        <v>6</v>
      </c>
      <c r="I602" s="14">
        <v>0</v>
      </c>
      <c r="J602" s="14">
        <v>6</v>
      </c>
      <c r="K602" s="14">
        <v>3</v>
      </c>
      <c r="L602" s="14">
        <v>0</v>
      </c>
      <c r="M602" s="14">
        <v>1</v>
      </c>
      <c r="N602" s="14">
        <v>13</v>
      </c>
      <c r="O602" s="14">
        <v>0</v>
      </c>
      <c r="P602" s="14">
        <v>0</v>
      </c>
      <c r="Q602" s="14">
        <v>0</v>
      </c>
      <c r="R602" s="14">
        <v>0</v>
      </c>
      <c r="S602" s="14">
        <v>0</v>
      </c>
      <c r="T602" s="14">
        <v>0</v>
      </c>
      <c r="U602" s="14">
        <v>0</v>
      </c>
      <c r="V602" s="14">
        <v>0</v>
      </c>
      <c r="W602" s="14">
        <v>0</v>
      </c>
      <c r="X602" s="14">
        <v>5</v>
      </c>
      <c r="Y602" s="14">
        <v>0</v>
      </c>
      <c r="Z602" s="14">
        <v>0</v>
      </c>
      <c r="AA602" s="14">
        <v>0</v>
      </c>
      <c r="AB602" s="14">
        <v>0</v>
      </c>
      <c r="AC602" s="14">
        <v>0</v>
      </c>
      <c r="AD602" s="25">
        <v>0</v>
      </c>
      <c r="AE602" s="25">
        <v>0</v>
      </c>
      <c r="AF602" s="25">
        <v>0</v>
      </c>
      <c r="AG602" s="25">
        <v>0.55893377799999999</v>
      </c>
      <c r="AH602" s="25">
        <v>0.58317580300000005</v>
      </c>
      <c r="AI602" s="14" t="s">
        <v>1225</v>
      </c>
      <c r="AJ602" s="14" t="s">
        <v>33</v>
      </c>
    </row>
    <row r="603" spans="1:36" x14ac:dyDescent="0.25">
      <c r="A603" s="1">
        <v>654</v>
      </c>
      <c r="B603" s="14" t="s">
        <v>691</v>
      </c>
      <c r="C603" s="14" t="s">
        <v>296</v>
      </c>
      <c r="D603" s="25" t="s">
        <v>17</v>
      </c>
      <c r="E603" s="29" t="s">
        <v>104</v>
      </c>
      <c r="F603" s="14">
        <v>242.4</v>
      </c>
      <c r="G603" s="14">
        <v>72</v>
      </c>
      <c r="H603" s="14">
        <v>0</v>
      </c>
      <c r="I603" s="14">
        <v>0</v>
      </c>
      <c r="J603" s="14">
        <v>0</v>
      </c>
      <c r="K603" s="14">
        <v>0</v>
      </c>
      <c r="L603" s="14">
        <v>0</v>
      </c>
      <c r="M603" s="14">
        <v>2</v>
      </c>
      <c r="N603" s="14">
        <v>12</v>
      </c>
      <c r="O603" s="14">
        <v>0</v>
      </c>
      <c r="P603" s="14">
        <v>0</v>
      </c>
      <c r="Q603" s="14">
        <v>0</v>
      </c>
      <c r="R603" s="14">
        <v>0</v>
      </c>
      <c r="S603" s="14">
        <v>0</v>
      </c>
      <c r="T603" s="14">
        <v>0</v>
      </c>
      <c r="U603" s="14">
        <v>1</v>
      </c>
      <c r="V603" s="14">
        <v>0</v>
      </c>
      <c r="W603" s="14">
        <v>0</v>
      </c>
      <c r="X603" s="14">
        <v>0</v>
      </c>
      <c r="Y603" s="14">
        <v>0</v>
      </c>
      <c r="Z603" s="14">
        <v>0</v>
      </c>
      <c r="AA603" s="14">
        <v>0</v>
      </c>
      <c r="AB603" s="14">
        <v>0</v>
      </c>
      <c r="AC603" s="14">
        <v>0</v>
      </c>
      <c r="AD603" s="25">
        <v>0</v>
      </c>
      <c r="AE603" s="25">
        <v>0</v>
      </c>
      <c r="AF603" s="25">
        <v>0</v>
      </c>
      <c r="AG603" s="25">
        <v>0.53324099700000005</v>
      </c>
      <c r="AH603" s="25">
        <v>0.57266435999999998</v>
      </c>
      <c r="AI603" s="14" t="s">
        <v>986</v>
      </c>
      <c r="AJ603" s="14" t="s">
        <v>33</v>
      </c>
    </row>
    <row r="604" spans="1:36" x14ac:dyDescent="0.25">
      <c r="A604" s="1">
        <v>655</v>
      </c>
      <c r="B604" s="25" t="s">
        <v>1798</v>
      </c>
      <c r="C604" s="25" t="s">
        <v>2147</v>
      </c>
      <c r="D604" s="25" t="s">
        <v>1930</v>
      </c>
      <c r="E604" s="25" t="s">
        <v>157</v>
      </c>
      <c r="F604" s="25">
        <v>312.52</v>
      </c>
      <c r="G604" s="25">
        <v>72</v>
      </c>
      <c r="H604" s="25">
        <v>0</v>
      </c>
      <c r="I604" s="25">
        <v>0</v>
      </c>
      <c r="J604" s="25">
        <v>0</v>
      </c>
      <c r="K604" s="25">
        <v>0</v>
      </c>
      <c r="L604" s="25">
        <v>0</v>
      </c>
      <c r="M604" s="25">
        <v>2</v>
      </c>
      <c r="N604" s="25">
        <v>17</v>
      </c>
      <c r="O604" s="25">
        <v>0</v>
      </c>
      <c r="P604" s="25">
        <v>0</v>
      </c>
      <c r="Q604" s="25">
        <v>0</v>
      </c>
      <c r="R604" s="25">
        <v>0</v>
      </c>
      <c r="S604" s="25">
        <v>0</v>
      </c>
      <c r="T604" s="25">
        <v>0</v>
      </c>
      <c r="U604" s="25">
        <v>1</v>
      </c>
      <c r="V604" s="25">
        <v>0</v>
      </c>
      <c r="W604" s="25">
        <v>0</v>
      </c>
      <c r="X604" s="25">
        <v>0</v>
      </c>
      <c r="Y604" s="25">
        <v>0</v>
      </c>
      <c r="Z604" s="25">
        <v>0</v>
      </c>
      <c r="AA604" s="25">
        <v>0</v>
      </c>
      <c r="AB604" s="25">
        <v>0</v>
      </c>
      <c r="AC604" s="25">
        <v>0</v>
      </c>
      <c r="AD604" s="25">
        <v>0</v>
      </c>
      <c r="AE604" s="25">
        <v>0</v>
      </c>
      <c r="AF604" s="25">
        <v>0</v>
      </c>
      <c r="AG604" s="25">
        <v>0.61673553699999994</v>
      </c>
      <c r="AH604" s="25">
        <v>0.61260330600000001</v>
      </c>
      <c r="AI604" s="25" t="s">
        <v>1571</v>
      </c>
      <c r="AJ604" s="14" t="s">
        <v>33</v>
      </c>
    </row>
    <row r="605" spans="1:36" x14ac:dyDescent="0.25">
      <c r="A605" s="1">
        <v>658</v>
      </c>
      <c r="B605" s="14" t="s">
        <v>611</v>
      </c>
      <c r="C605" s="14" t="s">
        <v>346</v>
      </c>
      <c r="D605" s="25" t="s">
        <v>10</v>
      </c>
      <c r="E605" s="29" t="s">
        <v>138</v>
      </c>
      <c r="F605" s="14">
        <v>242.44</v>
      </c>
      <c r="G605" s="14">
        <v>73</v>
      </c>
      <c r="H605" s="14">
        <v>0</v>
      </c>
      <c r="I605" s="14">
        <v>0</v>
      </c>
      <c r="J605" s="14">
        <v>0</v>
      </c>
      <c r="K605" s="14">
        <v>0</v>
      </c>
      <c r="L605" s="14">
        <v>0</v>
      </c>
      <c r="M605" s="14">
        <v>1</v>
      </c>
      <c r="N605" s="14">
        <v>15</v>
      </c>
      <c r="O605" s="14">
        <v>1</v>
      </c>
      <c r="P605" s="14">
        <v>0</v>
      </c>
      <c r="Q605" s="14">
        <v>0</v>
      </c>
      <c r="R605" s="14">
        <v>0</v>
      </c>
      <c r="S605" s="14">
        <v>0</v>
      </c>
      <c r="T605" s="14">
        <v>0</v>
      </c>
      <c r="U605" s="14">
        <v>0</v>
      </c>
      <c r="V605" s="14">
        <v>0</v>
      </c>
      <c r="W605" s="14">
        <v>0</v>
      </c>
      <c r="X605" s="14">
        <v>0</v>
      </c>
      <c r="Y605" s="14">
        <v>0</v>
      </c>
      <c r="Z605" s="14">
        <v>0</v>
      </c>
      <c r="AA605" s="14">
        <v>0</v>
      </c>
      <c r="AB605" s="14">
        <v>1</v>
      </c>
      <c r="AC605" s="14">
        <v>0</v>
      </c>
      <c r="AD605" s="25">
        <v>0</v>
      </c>
      <c r="AE605" s="25">
        <v>0</v>
      </c>
      <c r="AF605" s="25">
        <v>0</v>
      </c>
      <c r="AG605" s="25">
        <v>0.54152249100000005</v>
      </c>
      <c r="AH605" s="25">
        <v>0.560546875</v>
      </c>
      <c r="AI605" s="14" t="s">
        <v>1038</v>
      </c>
      <c r="AJ605" s="14" t="s">
        <v>33</v>
      </c>
    </row>
    <row r="606" spans="1:36" x14ac:dyDescent="0.25">
      <c r="A606" s="1">
        <v>659</v>
      </c>
      <c r="B606" s="25" t="s">
        <v>1776</v>
      </c>
      <c r="C606" s="25" t="s">
        <v>2148</v>
      </c>
      <c r="D606" s="25" t="s">
        <v>1930</v>
      </c>
      <c r="E606" s="25" t="s">
        <v>226</v>
      </c>
      <c r="F606" s="25">
        <v>228.364</v>
      </c>
      <c r="G606" s="25">
        <v>73</v>
      </c>
      <c r="H606" s="25">
        <v>0</v>
      </c>
      <c r="I606" s="25">
        <v>0</v>
      </c>
      <c r="J606" s="25">
        <v>0</v>
      </c>
      <c r="K606" s="25">
        <v>0</v>
      </c>
      <c r="L606" s="25">
        <v>0</v>
      </c>
      <c r="M606" s="25">
        <v>2</v>
      </c>
      <c r="N606" s="25">
        <v>11</v>
      </c>
      <c r="O606" s="25">
        <v>0</v>
      </c>
      <c r="P606" s="25">
        <v>0</v>
      </c>
      <c r="Q606" s="25">
        <v>0</v>
      </c>
      <c r="R606" s="25">
        <v>0</v>
      </c>
      <c r="S606" s="25">
        <v>0</v>
      </c>
      <c r="T606" s="25">
        <v>0</v>
      </c>
      <c r="U606" s="25">
        <v>1</v>
      </c>
      <c r="V606" s="25">
        <v>0</v>
      </c>
      <c r="W606" s="25">
        <v>0</v>
      </c>
      <c r="X606" s="25">
        <v>0</v>
      </c>
      <c r="Y606" s="25">
        <v>0</v>
      </c>
      <c r="Z606" s="25">
        <v>0</v>
      </c>
      <c r="AA606" s="25">
        <v>0</v>
      </c>
      <c r="AB606" s="25">
        <v>0</v>
      </c>
      <c r="AC606" s="25">
        <v>0</v>
      </c>
      <c r="AD606" s="25">
        <v>0</v>
      </c>
      <c r="AE606" s="25">
        <v>0</v>
      </c>
      <c r="AF606" s="25">
        <v>0</v>
      </c>
      <c r="AG606" s="25">
        <v>0.544921875</v>
      </c>
      <c r="AH606" s="25">
        <v>0.548828125</v>
      </c>
      <c r="AI606" s="25" t="s">
        <v>1571</v>
      </c>
      <c r="AJ606" s="14" t="s">
        <v>33</v>
      </c>
    </row>
    <row r="607" spans="1:36" x14ac:dyDescent="0.25">
      <c r="A607" s="1">
        <v>661</v>
      </c>
      <c r="B607" s="25" t="s">
        <v>791</v>
      </c>
      <c r="C607" s="25" t="s">
        <v>551</v>
      </c>
      <c r="D607" s="25" t="s">
        <v>21</v>
      </c>
      <c r="E607" s="25" t="s">
        <v>84</v>
      </c>
      <c r="F607" s="25">
        <v>324.54000000000002</v>
      </c>
      <c r="G607" s="25">
        <v>73.2</v>
      </c>
      <c r="H607" s="25">
        <v>0</v>
      </c>
      <c r="I607" s="25">
        <v>1</v>
      </c>
      <c r="J607" s="25">
        <v>0</v>
      </c>
      <c r="K607" s="25">
        <v>1</v>
      </c>
      <c r="L607" s="25">
        <v>0</v>
      </c>
      <c r="M607" s="25">
        <v>2</v>
      </c>
      <c r="N607" s="25">
        <v>16</v>
      </c>
      <c r="O607" s="25">
        <v>0</v>
      </c>
      <c r="P607" s="25">
        <v>0</v>
      </c>
      <c r="Q607" s="25">
        <v>0</v>
      </c>
      <c r="R607" s="25">
        <v>0</v>
      </c>
      <c r="S607" s="25">
        <v>0</v>
      </c>
      <c r="T607" s="25">
        <v>0</v>
      </c>
      <c r="U607" s="25">
        <v>1</v>
      </c>
      <c r="V607" s="25">
        <v>0</v>
      </c>
      <c r="W607" s="25">
        <v>2</v>
      </c>
      <c r="X607" s="25">
        <v>0</v>
      </c>
      <c r="Y607" s="25">
        <v>0</v>
      </c>
      <c r="Z607" s="25">
        <v>0</v>
      </c>
      <c r="AA607" s="25">
        <v>0</v>
      </c>
      <c r="AB607" s="25">
        <v>0</v>
      </c>
      <c r="AC607" s="25">
        <v>0</v>
      </c>
      <c r="AD607" s="25">
        <v>0</v>
      </c>
      <c r="AE607" s="25">
        <v>0</v>
      </c>
      <c r="AF607" s="25">
        <v>0</v>
      </c>
      <c r="AG607" s="25">
        <v>0.62065972199999997</v>
      </c>
      <c r="AH607" s="25">
        <v>0.62586805599999995</v>
      </c>
      <c r="AI607" s="25" t="s">
        <v>1245</v>
      </c>
      <c r="AJ607" s="14" t="s">
        <v>33</v>
      </c>
    </row>
    <row r="608" spans="1:36" x14ac:dyDescent="0.25">
      <c r="A608" s="1">
        <v>662</v>
      </c>
      <c r="B608" s="14" t="s">
        <v>1792</v>
      </c>
      <c r="C608" s="14" t="s">
        <v>2149</v>
      </c>
      <c r="D608" s="25" t="s">
        <v>1930</v>
      </c>
      <c r="E608" s="29" t="s">
        <v>86</v>
      </c>
      <c r="F608" s="14">
        <v>284.46800000000002</v>
      </c>
      <c r="G608" s="14">
        <v>74</v>
      </c>
      <c r="H608" s="14">
        <v>0</v>
      </c>
      <c r="I608" s="14">
        <v>0</v>
      </c>
      <c r="J608" s="14">
        <v>0</v>
      </c>
      <c r="K608" s="14">
        <v>0</v>
      </c>
      <c r="L608" s="14">
        <v>0</v>
      </c>
      <c r="M608" s="14">
        <v>2</v>
      </c>
      <c r="N608" s="14">
        <v>15</v>
      </c>
      <c r="O608" s="14">
        <v>0</v>
      </c>
      <c r="P608" s="14">
        <v>0</v>
      </c>
      <c r="Q608" s="14">
        <v>0</v>
      </c>
      <c r="R608" s="14">
        <v>0</v>
      </c>
      <c r="S608" s="14">
        <v>0</v>
      </c>
      <c r="T608" s="14">
        <v>0</v>
      </c>
      <c r="U608" s="14">
        <v>1</v>
      </c>
      <c r="V608" s="14">
        <v>0</v>
      </c>
      <c r="W608" s="14">
        <v>0</v>
      </c>
      <c r="X608" s="14">
        <v>0</v>
      </c>
      <c r="Y608" s="14">
        <v>0</v>
      </c>
      <c r="Z608" s="14">
        <v>0</v>
      </c>
      <c r="AA608" s="14">
        <v>0</v>
      </c>
      <c r="AB608" s="14">
        <v>0</v>
      </c>
      <c r="AC608" s="14">
        <v>0</v>
      </c>
      <c r="AD608" s="25">
        <v>0</v>
      </c>
      <c r="AE608" s="25">
        <v>0</v>
      </c>
      <c r="AF608" s="25">
        <v>0</v>
      </c>
      <c r="AG608" s="25">
        <v>0.57625000000000004</v>
      </c>
      <c r="AH608" s="25">
        <v>0.59375</v>
      </c>
      <c r="AI608" s="14" t="s">
        <v>1571</v>
      </c>
      <c r="AJ608" s="14" t="s">
        <v>33</v>
      </c>
    </row>
    <row r="609" spans="1:36" x14ac:dyDescent="0.25">
      <c r="A609" s="1">
        <v>663</v>
      </c>
      <c r="B609" s="14" t="s">
        <v>1808</v>
      </c>
      <c r="C609" s="14" t="s">
        <v>2150</v>
      </c>
      <c r="D609" s="25" t="s">
        <v>1930</v>
      </c>
      <c r="E609" s="29" t="s">
        <v>1807</v>
      </c>
      <c r="F609" s="14">
        <v>396.67599999999999</v>
      </c>
      <c r="G609" s="14">
        <v>74</v>
      </c>
      <c r="H609" s="14">
        <v>0</v>
      </c>
      <c r="I609" s="14">
        <v>0</v>
      </c>
      <c r="J609" s="14">
        <v>0</v>
      </c>
      <c r="K609" s="14">
        <v>0</v>
      </c>
      <c r="L609" s="14">
        <v>0</v>
      </c>
      <c r="M609" s="14">
        <v>2</v>
      </c>
      <c r="N609" s="14">
        <v>23</v>
      </c>
      <c r="O609" s="14">
        <v>0</v>
      </c>
      <c r="P609" s="14">
        <v>0</v>
      </c>
      <c r="Q609" s="14">
        <v>0</v>
      </c>
      <c r="R609" s="14">
        <v>0</v>
      </c>
      <c r="S609" s="14">
        <v>0</v>
      </c>
      <c r="T609" s="14">
        <v>0</v>
      </c>
      <c r="U609" s="14">
        <v>1</v>
      </c>
      <c r="V609" s="14">
        <v>0</v>
      </c>
      <c r="W609" s="14">
        <v>0</v>
      </c>
      <c r="X609" s="14">
        <v>0</v>
      </c>
      <c r="Y609" s="14">
        <v>0</v>
      </c>
      <c r="Z609" s="14">
        <v>0</v>
      </c>
      <c r="AA609" s="14">
        <v>0</v>
      </c>
      <c r="AB609" s="14">
        <v>0</v>
      </c>
      <c r="AC609" s="14">
        <v>0</v>
      </c>
      <c r="AD609" s="25">
        <v>0</v>
      </c>
      <c r="AE609" s="25">
        <v>0</v>
      </c>
      <c r="AF609" s="25">
        <v>0</v>
      </c>
      <c r="AG609" s="25">
        <v>0.63436385299999998</v>
      </c>
      <c r="AH609" s="25">
        <v>0.651147959</v>
      </c>
      <c r="AI609" s="14" t="s">
        <v>1571</v>
      </c>
      <c r="AJ609" s="14" t="s">
        <v>33</v>
      </c>
    </row>
    <row r="610" spans="1:36" x14ac:dyDescent="0.25">
      <c r="A610" s="1">
        <v>664</v>
      </c>
      <c r="B610" s="25" t="s">
        <v>1844</v>
      </c>
      <c r="C610" s="25" t="s">
        <v>2151</v>
      </c>
      <c r="D610" s="25" t="s">
        <v>18</v>
      </c>
      <c r="E610" s="25" t="s">
        <v>1845</v>
      </c>
      <c r="F610" s="25">
        <v>160.25</v>
      </c>
      <c r="G610" s="25">
        <v>74</v>
      </c>
      <c r="H610" s="25">
        <v>0</v>
      </c>
      <c r="I610" s="25">
        <v>0</v>
      </c>
      <c r="J610" s="25">
        <v>0</v>
      </c>
      <c r="K610" s="25">
        <v>0</v>
      </c>
      <c r="L610" s="25">
        <v>0</v>
      </c>
      <c r="M610" s="25">
        <v>2</v>
      </c>
      <c r="N610" s="25">
        <v>7</v>
      </c>
      <c r="O610" s="25">
        <v>0</v>
      </c>
      <c r="P610" s="25">
        <v>2</v>
      </c>
      <c r="Q610" s="25">
        <v>0</v>
      </c>
      <c r="R610" s="25">
        <v>0</v>
      </c>
      <c r="S610" s="25">
        <v>0</v>
      </c>
      <c r="T610" s="25">
        <v>0</v>
      </c>
      <c r="U610" s="25">
        <v>0</v>
      </c>
      <c r="V610" s="25">
        <v>0</v>
      </c>
      <c r="W610" s="25">
        <v>0</v>
      </c>
      <c r="X610" s="25">
        <v>0</v>
      </c>
      <c r="Y610" s="25">
        <v>0</v>
      </c>
      <c r="Z610" s="25">
        <v>0</v>
      </c>
      <c r="AA610" s="25">
        <v>0</v>
      </c>
      <c r="AB610" s="25">
        <v>0</v>
      </c>
      <c r="AC610" s="25">
        <v>0</v>
      </c>
      <c r="AD610" s="25">
        <v>0</v>
      </c>
      <c r="AE610" s="25">
        <v>0</v>
      </c>
      <c r="AF610" s="25">
        <v>0</v>
      </c>
      <c r="AG610" s="25">
        <v>0.44214875999999997</v>
      </c>
      <c r="AH610" s="25">
        <v>0.45500000000000002</v>
      </c>
      <c r="AI610" s="25" t="s">
        <v>1571</v>
      </c>
      <c r="AJ610" s="14" t="s">
        <v>33</v>
      </c>
    </row>
    <row r="611" spans="1:36" x14ac:dyDescent="0.25">
      <c r="A611" s="1">
        <v>665</v>
      </c>
      <c r="B611" s="25" t="s">
        <v>790</v>
      </c>
      <c r="C611" s="25" t="s">
        <v>467</v>
      </c>
      <c r="D611" s="25" t="s">
        <v>21</v>
      </c>
      <c r="E611" s="25" t="s">
        <v>202</v>
      </c>
      <c r="F611" s="25">
        <v>352.59</v>
      </c>
      <c r="G611" s="25">
        <v>74.2</v>
      </c>
      <c r="H611" s="25">
        <v>0</v>
      </c>
      <c r="I611" s="25">
        <v>1</v>
      </c>
      <c r="J611" s="25">
        <v>0</v>
      </c>
      <c r="K611" s="25">
        <v>1</v>
      </c>
      <c r="L611" s="25">
        <v>0</v>
      </c>
      <c r="M611" s="25">
        <v>2</v>
      </c>
      <c r="N611" s="25">
        <v>18</v>
      </c>
      <c r="O611" s="25">
        <v>0</v>
      </c>
      <c r="P611" s="25">
        <v>0</v>
      </c>
      <c r="Q611" s="25">
        <v>0</v>
      </c>
      <c r="R611" s="25">
        <v>0</v>
      </c>
      <c r="S611" s="25">
        <v>0</v>
      </c>
      <c r="T611" s="25">
        <v>0</v>
      </c>
      <c r="U611" s="25">
        <v>1</v>
      </c>
      <c r="V611" s="25">
        <v>0</v>
      </c>
      <c r="W611" s="25">
        <v>2</v>
      </c>
      <c r="X611" s="25">
        <v>0</v>
      </c>
      <c r="Y611" s="25">
        <v>0</v>
      </c>
      <c r="Z611" s="25">
        <v>0</v>
      </c>
      <c r="AA611" s="25">
        <v>0</v>
      </c>
      <c r="AB611" s="25">
        <v>0</v>
      </c>
      <c r="AC611" s="25">
        <v>0</v>
      </c>
      <c r="AD611" s="25">
        <v>0</v>
      </c>
      <c r="AE611" s="25">
        <v>0</v>
      </c>
      <c r="AF611" s="25">
        <v>0</v>
      </c>
      <c r="AG611" s="25">
        <v>0.60905612200000003</v>
      </c>
      <c r="AH611" s="25">
        <v>0.64423076899999998</v>
      </c>
      <c r="AI611" s="25" t="s">
        <v>1163</v>
      </c>
      <c r="AJ611" s="14" t="s">
        <v>33</v>
      </c>
    </row>
    <row r="612" spans="1:36" x14ac:dyDescent="0.25">
      <c r="A612" s="1">
        <v>666</v>
      </c>
      <c r="B612" s="14" t="s">
        <v>839</v>
      </c>
      <c r="C612" s="14" t="s">
        <v>295</v>
      </c>
      <c r="D612" s="25" t="s">
        <v>17</v>
      </c>
      <c r="E612" s="29" t="s">
        <v>103</v>
      </c>
      <c r="F612" s="14">
        <v>270.45</v>
      </c>
      <c r="G612" s="14">
        <v>74.400000000000006</v>
      </c>
      <c r="H612" s="14">
        <v>0</v>
      </c>
      <c r="I612" s="14">
        <v>0</v>
      </c>
      <c r="J612" s="14">
        <v>0</v>
      </c>
      <c r="K612" s="14">
        <v>0</v>
      </c>
      <c r="L612" s="14">
        <v>0</v>
      </c>
      <c r="M612" s="14">
        <v>2</v>
      </c>
      <c r="N612" s="14">
        <v>14</v>
      </c>
      <c r="O612" s="14">
        <v>0</v>
      </c>
      <c r="P612" s="14">
        <v>0</v>
      </c>
      <c r="Q612" s="14">
        <v>0</v>
      </c>
      <c r="R612" s="14">
        <v>0</v>
      </c>
      <c r="S612" s="14">
        <v>0</v>
      </c>
      <c r="T612" s="14">
        <v>0</v>
      </c>
      <c r="U612" s="14">
        <v>1</v>
      </c>
      <c r="V612" s="14">
        <v>0</v>
      </c>
      <c r="W612" s="14">
        <v>0</v>
      </c>
      <c r="X612" s="14">
        <v>0</v>
      </c>
      <c r="Y612" s="14">
        <v>0</v>
      </c>
      <c r="Z612" s="14">
        <v>0</v>
      </c>
      <c r="AA612" s="14">
        <v>0</v>
      </c>
      <c r="AB612" s="14">
        <v>0</v>
      </c>
      <c r="AC612" s="14">
        <v>0</v>
      </c>
      <c r="AD612" s="25">
        <v>0</v>
      </c>
      <c r="AE612" s="25">
        <v>0</v>
      </c>
      <c r="AF612" s="25">
        <v>0</v>
      </c>
      <c r="AG612" s="25">
        <v>0.54535147399999995</v>
      </c>
      <c r="AH612" s="25">
        <v>0.58864265900000001</v>
      </c>
      <c r="AI612" s="14" t="s">
        <v>985</v>
      </c>
      <c r="AJ612" s="14" t="s">
        <v>33</v>
      </c>
    </row>
    <row r="613" spans="1:36" x14ac:dyDescent="0.25">
      <c r="A613" s="1">
        <v>668</v>
      </c>
      <c r="B613" s="14" t="s">
        <v>763</v>
      </c>
      <c r="C613" s="14" t="s">
        <v>329</v>
      </c>
      <c r="D613" s="25" t="s">
        <v>7</v>
      </c>
      <c r="E613" s="29" t="s">
        <v>96</v>
      </c>
      <c r="F613" s="14">
        <v>142.28</v>
      </c>
      <c r="G613" s="14">
        <v>76</v>
      </c>
      <c r="H613" s="14">
        <v>0</v>
      </c>
      <c r="I613" s="14">
        <v>0</v>
      </c>
      <c r="J613" s="14">
        <v>0</v>
      </c>
      <c r="K613" s="14">
        <v>0</v>
      </c>
      <c r="L613" s="14">
        <v>0</v>
      </c>
      <c r="M613" s="14">
        <v>2</v>
      </c>
      <c r="N613" s="14">
        <v>8</v>
      </c>
      <c r="O613" s="14">
        <v>0</v>
      </c>
      <c r="P613" s="14">
        <v>0</v>
      </c>
      <c r="Q613" s="14">
        <v>0</v>
      </c>
      <c r="R613" s="14">
        <v>0</v>
      </c>
      <c r="S613" s="14">
        <v>0</v>
      </c>
      <c r="T613" s="14">
        <v>0</v>
      </c>
      <c r="U613" s="14">
        <v>0</v>
      </c>
      <c r="V613" s="14">
        <v>0</v>
      </c>
      <c r="W613" s="14">
        <v>0</v>
      </c>
      <c r="X613" s="14">
        <v>0</v>
      </c>
      <c r="Y613" s="14">
        <v>0</v>
      </c>
      <c r="Z613" s="14">
        <v>0</v>
      </c>
      <c r="AA613" s="14">
        <v>0</v>
      </c>
      <c r="AB613" s="14">
        <v>0</v>
      </c>
      <c r="AC613" s="14">
        <v>0</v>
      </c>
      <c r="AD613" s="25">
        <v>0</v>
      </c>
      <c r="AE613" s="25">
        <v>0</v>
      </c>
      <c r="AF613" s="25">
        <v>0</v>
      </c>
      <c r="AG613" s="25">
        <v>0.41499999999999998</v>
      </c>
      <c r="AH613" s="25">
        <v>0.43827160500000001</v>
      </c>
      <c r="AI613" s="14" t="s">
        <v>1021</v>
      </c>
      <c r="AJ613" s="14" t="s">
        <v>33</v>
      </c>
    </row>
    <row r="614" spans="1:36" x14ac:dyDescent="0.25">
      <c r="A614" s="1">
        <v>669</v>
      </c>
      <c r="B614" s="14" t="s">
        <v>1795</v>
      </c>
      <c r="C614" s="14" t="s">
        <v>1488</v>
      </c>
      <c r="D614" s="25" t="s">
        <v>1930</v>
      </c>
      <c r="E614" s="29" t="s">
        <v>1796</v>
      </c>
      <c r="F614" s="14">
        <v>312.52</v>
      </c>
      <c r="G614" s="14">
        <v>76.8</v>
      </c>
      <c r="H614" s="14">
        <v>0</v>
      </c>
      <c r="I614" s="14">
        <v>0</v>
      </c>
      <c r="J614" s="14">
        <v>0</v>
      </c>
      <c r="K614" s="14">
        <v>0</v>
      </c>
      <c r="L614" s="14">
        <v>0</v>
      </c>
      <c r="M614" s="14">
        <v>2</v>
      </c>
      <c r="N614" s="14">
        <v>17</v>
      </c>
      <c r="O614" s="14">
        <v>0</v>
      </c>
      <c r="P614" s="14">
        <v>0</v>
      </c>
      <c r="Q614" s="14">
        <v>0</v>
      </c>
      <c r="R614" s="14">
        <v>0</v>
      </c>
      <c r="S614" s="14">
        <v>0</v>
      </c>
      <c r="T614" s="14">
        <v>0</v>
      </c>
      <c r="U614" s="14">
        <v>1</v>
      </c>
      <c r="V614" s="14">
        <v>0</v>
      </c>
      <c r="W614" s="14">
        <v>0</v>
      </c>
      <c r="X614" s="14">
        <v>0</v>
      </c>
      <c r="Y614" s="14">
        <v>0</v>
      </c>
      <c r="Z614" s="14">
        <v>0</v>
      </c>
      <c r="AA614" s="14">
        <v>0</v>
      </c>
      <c r="AB614" s="14">
        <v>0</v>
      </c>
      <c r="AC614" s="14">
        <v>0</v>
      </c>
      <c r="AD614" s="25">
        <v>0</v>
      </c>
      <c r="AE614" s="25">
        <v>0</v>
      </c>
      <c r="AF614" s="25">
        <v>0</v>
      </c>
      <c r="AG614" s="25">
        <v>0.61466942099999999</v>
      </c>
      <c r="AH614" s="25">
        <v>0.61466942099999999</v>
      </c>
      <c r="AI614" s="14" t="s">
        <v>1571</v>
      </c>
      <c r="AJ614" s="14" t="s">
        <v>33</v>
      </c>
    </row>
    <row r="615" spans="1:36" x14ac:dyDescent="0.25">
      <c r="A615" s="1">
        <v>670</v>
      </c>
      <c r="B615" s="25" t="s">
        <v>1775</v>
      </c>
      <c r="C615" s="25" t="s">
        <v>2152</v>
      </c>
      <c r="D615" s="25" t="s">
        <v>1930</v>
      </c>
      <c r="E615" s="25" t="s">
        <v>226</v>
      </c>
      <c r="F615" s="25">
        <v>228.364</v>
      </c>
      <c r="G615" s="25">
        <v>77</v>
      </c>
      <c r="H615" s="25">
        <v>0</v>
      </c>
      <c r="I615" s="25">
        <v>0</v>
      </c>
      <c r="J615" s="25">
        <v>0</v>
      </c>
      <c r="K615" s="25">
        <v>0</v>
      </c>
      <c r="L615" s="25">
        <v>0</v>
      </c>
      <c r="M615" s="25">
        <v>2</v>
      </c>
      <c r="N615" s="25">
        <v>11</v>
      </c>
      <c r="O615" s="25">
        <v>0</v>
      </c>
      <c r="P615" s="25">
        <v>0</v>
      </c>
      <c r="Q615" s="25">
        <v>0</v>
      </c>
      <c r="R615" s="25">
        <v>0</v>
      </c>
      <c r="S615" s="25">
        <v>0</v>
      </c>
      <c r="T615" s="25">
        <v>0</v>
      </c>
      <c r="U615" s="25">
        <v>1</v>
      </c>
      <c r="V615" s="25">
        <v>0</v>
      </c>
      <c r="W615" s="25">
        <v>0</v>
      </c>
      <c r="X615" s="25">
        <v>0</v>
      </c>
      <c r="Y615" s="25">
        <v>0</v>
      </c>
      <c r="Z615" s="25">
        <v>0</v>
      </c>
      <c r="AA615" s="25">
        <v>0</v>
      </c>
      <c r="AB615" s="25">
        <v>0</v>
      </c>
      <c r="AC615" s="25">
        <v>0</v>
      </c>
      <c r="AD615" s="25">
        <v>0</v>
      </c>
      <c r="AE615" s="25">
        <v>0</v>
      </c>
      <c r="AF615" s="25">
        <v>0</v>
      </c>
      <c r="AG615" s="25">
        <v>0.56349206299999999</v>
      </c>
      <c r="AH615" s="25">
        <v>0.552734375</v>
      </c>
      <c r="AI615" s="25" t="s">
        <v>1571</v>
      </c>
      <c r="AJ615" s="14" t="s">
        <v>33</v>
      </c>
    </row>
    <row r="616" spans="1:36" x14ac:dyDescent="0.25">
      <c r="A616" s="1">
        <v>671</v>
      </c>
      <c r="B616" s="25" t="s">
        <v>777</v>
      </c>
      <c r="C616" s="25" t="s">
        <v>273</v>
      </c>
      <c r="D616" s="25" t="s">
        <v>21</v>
      </c>
      <c r="E616" s="25" t="s">
        <v>79</v>
      </c>
      <c r="F616" s="25">
        <v>226.35</v>
      </c>
      <c r="G616" s="25">
        <v>77</v>
      </c>
      <c r="H616" s="25">
        <v>0</v>
      </c>
      <c r="I616" s="25">
        <v>1</v>
      </c>
      <c r="J616" s="25">
        <v>0</v>
      </c>
      <c r="K616" s="25">
        <v>1</v>
      </c>
      <c r="L616" s="25">
        <v>0</v>
      </c>
      <c r="M616" s="25">
        <v>1</v>
      </c>
      <c r="N616" s="25">
        <v>10</v>
      </c>
      <c r="O616" s="25">
        <v>0</v>
      </c>
      <c r="P616" s="25">
        <v>0</v>
      </c>
      <c r="Q616" s="25">
        <v>0</v>
      </c>
      <c r="R616" s="25">
        <v>0</v>
      </c>
      <c r="S616" s="25">
        <v>0</v>
      </c>
      <c r="T616" s="25">
        <v>0</v>
      </c>
      <c r="U616" s="25">
        <v>1</v>
      </c>
      <c r="V616" s="25">
        <v>0</v>
      </c>
      <c r="W616" s="25">
        <v>1</v>
      </c>
      <c r="X616" s="25">
        <v>0</v>
      </c>
      <c r="Y616" s="25">
        <v>1</v>
      </c>
      <c r="Z616" s="25">
        <v>0</v>
      </c>
      <c r="AA616" s="25">
        <v>0</v>
      </c>
      <c r="AB616" s="25">
        <v>0</v>
      </c>
      <c r="AC616" s="25">
        <v>0</v>
      </c>
      <c r="AD616" s="25">
        <v>0</v>
      </c>
      <c r="AE616" s="25">
        <v>0</v>
      </c>
      <c r="AF616" s="25">
        <v>0</v>
      </c>
      <c r="AG616" s="25">
        <v>0.56228373700000001</v>
      </c>
      <c r="AH616" s="25">
        <v>0.56228373700000001</v>
      </c>
      <c r="AI616" s="25" t="s">
        <v>960</v>
      </c>
      <c r="AJ616" s="14" t="s">
        <v>33</v>
      </c>
    </row>
    <row r="617" spans="1:36" x14ac:dyDescent="0.25">
      <c r="A617" s="1">
        <v>673</v>
      </c>
      <c r="B617" s="14" t="s">
        <v>644</v>
      </c>
      <c r="C617" s="14" t="s">
        <v>398</v>
      </c>
      <c r="D617" s="25" t="s">
        <v>12</v>
      </c>
      <c r="E617" s="29" t="s">
        <v>170</v>
      </c>
      <c r="F617" s="14">
        <v>196.37</v>
      </c>
      <c r="G617" s="14">
        <v>79</v>
      </c>
      <c r="H617" s="14">
        <v>0</v>
      </c>
      <c r="I617" s="14">
        <v>1</v>
      </c>
      <c r="J617" s="14">
        <v>0</v>
      </c>
      <c r="K617" s="14">
        <v>1</v>
      </c>
      <c r="L617" s="14">
        <v>0</v>
      </c>
      <c r="M617" s="14">
        <v>1</v>
      </c>
      <c r="N617" s="14">
        <v>11</v>
      </c>
      <c r="O617" s="14">
        <v>0</v>
      </c>
      <c r="P617" s="14">
        <v>0</v>
      </c>
      <c r="Q617" s="14">
        <v>0</v>
      </c>
      <c r="R617" s="14">
        <v>0</v>
      </c>
      <c r="S617" s="14">
        <v>0</v>
      </c>
      <c r="T617" s="14">
        <v>0</v>
      </c>
      <c r="U617" s="14">
        <v>0</v>
      </c>
      <c r="V617" s="14">
        <v>0</v>
      </c>
      <c r="W617" s="14">
        <v>1</v>
      </c>
      <c r="X617" s="14">
        <v>0</v>
      </c>
      <c r="Y617" s="14">
        <v>1</v>
      </c>
      <c r="Z617" s="14">
        <v>0</v>
      </c>
      <c r="AA617" s="14">
        <v>0</v>
      </c>
      <c r="AB617" s="14">
        <v>0</v>
      </c>
      <c r="AC617" s="14">
        <v>0</v>
      </c>
      <c r="AD617" s="25">
        <v>0</v>
      </c>
      <c r="AE617" s="25">
        <v>0</v>
      </c>
      <c r="AF617" s="25">
        <v>0</v>
      </c>
      <c r="AG617" s="25">
        <v>0.528061224</v>
      </c>
      <c r="AH617" s="25">
        <v>0.533163265</v>
      </c>
      <c r="AI617" s="14" t="s">
        <v>1095</v>
      </c>
      <c r="AJ617" s="14" t="s">
        <v>33</v>
      </c>
    </row>
    <row r="618" spans="1:36" x14ac:dyDescent="0.25">
      <c r="A618" s="1">
        <v>674</v>
      </c>
      <c r="B618" s="14" t="s">
        <v>1790</v>
      </c>
      <c r="C618" s="14" t="s">
        <v>1485</v>
      </c>
      <c r="D618" s="25" t="s">
        <v>1930</v>
      </c>
      <c r="E618" s="29" t="s">
        <v>1789</v>
      </c>
      <c r="F618" s="14">
        <v>284.46800000000002</v>
      </c>
      <c r="G618" s="14">
        <v>80</v>
      </c>
      <c r="H618" s="14">
        <v>0</v>
      </c>
      <c r="I618" s="14">
        <v>0</v>
      </c>
      <c r="J618" s="14">
        <v>0</v>
      </c>
      <c r="K618" s="14">
        <v>0</v>
      </c>
      <c r="L618" s="14">
        <v>0</v>
      </c>
      <c r="M618" s="14">
        <v>2</v>
      </c>
      <c r="N618" s="14">
        <v>15</v>
      </c>
      <c r="O618" s="14">
        <v>0</v>
      </c>
      <c r="P618" s="14">
        <v>0</v>
      </c>
      <c r="Q618" s="14">
        <v>0</v>
      </c>
      <c r="R618" s="14">
        <v>0</v>
      </c>
      <c r="S618" s="14">
        <v>0</v>
      </c>
      <c r="T618" s="14">
        <v>0</v>
      </c>
      <c r="U618" s="14">
        <v>1</v>
      </c>
      <c r="V618" s="14">
        <v>0</v>
      </c>
      <c r="W618" s="14">
        <v>0</v>
      </c>
      <c r="X618" s="14">
        <v>0</v>
      </c>
      <c r="Y618" s="14">
        <v>0</v>
      </c>
      <c r="Z618" s="14">
        <v>0</v>
      </c>
      <c r="AA618" s="14">
        <v>0</v>
      </c>
      <c r="AB618" s="14">
        <v>0</v>
      </c>
      <c r="AC618" s="14">
        <v>0</v>
      </c>
      <c r="AD618" s="25">
        <v>0</v>
      </c>
      <c r="AE618" s="25">
        <v>0</v>
      </c>
      <c r="AF618" s="25">
        <v>0</v>
      </c>
      <c r="AG618" s="25">
        <v>0.58875</v>
      </c>
      <c r="AH618" s="25">
        <v>0.59875</v>
      </c>
      <c r="AI618" s="14" t="s">
        <v>1571</v>
      </c>
      <c r="AJ618" s="14" t="s">
        <v>33</v>
      </c>
    </row>
    <row r="619" spans="1:36" x14ac:dyDescent="0.25">
      <c r="A619" s="1">
        <v>675</v>
      </c>
      <c r="B619" s="25" t="s">
        <v>715</v>
      </c>
      <c r="C619" s="25" t="s">
        <v>520</v>
      </c>
      <c r="D619" s="25" t="s">
        <v>17</v>
      </c>
      <c r="E619" s="25" t="s">
        <v>65</v>
      </c>
      <c r="F619" s="25">
        <v>326.56</v>
      </c>
      <c r="G619" s="25">
        <v>80.400000000000006</v>
      </c>
      <c r="H619" s="25">
        <v>0</v>
      </c>
      <c r="I619" s="25">
        <v>0</v>
      </c>
      <c r="J619" s="25">
        <v>0</v>
      </c>
      <c r="K619" s="25">
        <v>0</v>
      </c>
      <c r="L619" s="25">
        <v>0</v>
      </c>
      <c r="M619" s="25">
        <v>2</v>
      </c>
      <c r="N619" s="25">
        <v>18</v>
      </c>
      <c r="O619" s="25">
        <v>0</v>
      </c>
      <c r="P619" s="25">
        <v>0</v>
      </c>
      <c r="Q619" s="25">
        <v>0</v>
      </c>
      <c r="R619" s="25">
        <v>0</v>
      </c>
      <c r="S619" s="25">
        <v>0</v>
      </c>
      <c r="T619" s="25">
        <v>0</v>
      </c>
      <c r="U619" s="25">
        <v>1</v>
      </c>
      <c r="V619" s="25">
        <v>0</v>
      </c>
      <c r="W619" s="25">
        <v>0</v>
      </c>
      <c r="X619" s="25">
        <v>0</v>
      </c>
      <c r="Y619" s="25">
        <v>0</v>
      </c>
      <c r="Z619" s="25">
        <v>0</v>
      </c>
      <c r="AA619" s="25">
        <v>0</v>
      </c>
      <c r="AB619" s="25">
        <v>0</v>
      </c>
      <c r="AC619" s="25">
        <v>0</v>
      </c>
      <c r="AD619" s="25">
        <v>0</v>
      </c>
      <c r="AE619" s="25">
        <v>0</v>
      </c>
      <c r="AF619" s="25">
        <v>0</v>
      </c>
      <c r="AG619" s="25">
        <v>0.58160000000000001</v>
      </c>
      <c r="AH619" s="25">
        <v>0.617202268</v>
      </c>
      <c r="AI619" s="25" t="s">
        <v>1215</v>
      </c>
      <c r="AJ619" s="14" t="s">
        <v>33</v>
      </c>
    </row>
    <row r="620" spans="1:36" x14ac:dyDescent="0.25">
      <c r="A620" s="1">
        <v>676</v>
      </c>
      <c r="B620" s="25" t="s">
        <v>1745</v>
      </c>
      <c r="C620" s="25" t="s">
        <v>1461</v>
      </c>
      <c r="D620" s="25" t="s">
        <v>11</v>
      </c>
      <c r="E620" s="25" t="s">
        <v>110</v>
      </c>
      <c r="F620" s="25">
        <v>128.208</v>
      </c>
      <c r="G620" s="25">
        <v>80.5</v>
      </c>
      <c r="H620" s="25">
        <v>0</v>
      </c>
      <c r="I620" s="25">
        <v>0</v>
      </c>
      <c r="J620" s="25">
        <v>0</v>
      </c>
      <c r="K620" s="25">
        <v>0</v>
      </c>
      <c r="L620" s="25">
        <v>0</v>
      </c>
      <c r="M620" s="25">
        <v>1</v>
      </c>
      <c r="N620" s="25">
        <v>6</v>
      </c>
      <c r="O620" s="25">
        <v>0</v>
      </c>
      <c r="P620" s="25">
        <v>0</v>
      </c>
      <c r="Q620" s="25">
        <v>0</v>
      </c>
      <c r="R620" s="25">
        <v>0</v>
      </c>
      <c r="S620" s="25">
        <v>0</v>
      </c>
      <c r="T620" s="25">
        <v>1</v>
      </c>
      <c r="U620" s="25">
        <v>0</v>
      </c>
      <c r="V620" s="25">
        <v>0</v>
      </c>
      <c r="W620" s="25">
        <v>0</v>
      </c>
      <c r="X620" s="25">
        <v>0</v>
      </c>
      <c r="Y620" s="25">
        <v>0</v>
      </c>
      <c r="Z620" s="25">
        <v>0</v>
      </c>
      <c r="AA620" s="25">
        <v>0</v>
      </c>
      <c r="AB620" s="25">
        <v>0</v>
      </c>
      <c r="AC620" s="25">
        <v>0</v>
      </c>
      <c r="AD620" s="25">
        <v>0</v>
      </c>
      <c r="AE620" s="25">
        <v>0</v>
      </c>
      <c r="AF620" s="25">
        <v>0</v>
      </c>
      <c r="AG620" s="25">
        <v>0.42592592600000001</v>
      </c>
      <c r="AH620" s="25">
        <v>0.43827160500000001</v>
      </c>
      <c r="AI620" s="25" t="s">
        <v>1571</v>
      </c>
      <c r="AJ620" s="14" t="s">
        <v>33</v>
      </c>
    </row>
    <row r="621" spans="1:36" x14ac:dyDescent="0.25">
      <c r="A621" s="1">
        <v>679</v>
      </c>
      <c r="B621" s="14" t="s">
        <v>818</v>
      </c>
      <c r="C621" s="14" t="s">
        <v>352</v>
      </c>
      <c r="D621" s="25" t="s">
        <v>10</v>
      </c>
      <c r="E621" s="29" t="s">
        <v>142</v>
      </c>
      <c r="F621" s="14">
        <v>270.49</v>
      </c>
      <c r="G621" s="14">
        <v>81</v>
      </c>
      <c r="H621" s="14">
        <v>0</v>
      </c>
      <c r="I621" s="14">
        <v>0</v>
      </c>
      <c r="J621" s="14">
        <v>0</v>
      </c>
      <c r="K621" s="14">
        <v>0</v>
      </c>
      <c r="L621" s="14">
        <v>0</v>
      </c>
      <c r="M621" s="14">
        <v>1</v>
      </c>
      <c r="N621" s="14">
        <v>17</v>
      </c>
      <c r="O621" s="14">
        <v>1</v>
      </c>
      <c r="P621" s="14">
        <v>0</v>
      </c>
      <c r="Q621" s="14">
        <v>0</v>
      </c>
      <c r="R621" s="14">
        <v>0</v>
      </c>
      <c r="S621" s="14">
        <v>0</v>
      </c>
      <c r="T621" s="14">
        <v>0</v>
      </c>
      <c r="U621" s="14">
        <v>0</v>
      </c>
      <c r="V621" s="14">
        <v>0</v>
      </c>
      <c r="W621" s="14">
        <v>0</v>
      </c>
      <c r="X621" s="14">
        <v>0</v>
      </c>
      <c r="Y621" s="14">
        <v>0</v>
      </c>
      <c r="Z621" s="14">
        <v>0</v>
      </c>
      <c r="AA621" s="14">
        <v>0</v>
      </c>
      <c r="AB621" s="14">
        <v>1</v>
      </c>
      <c r="AC621" s="14">
        <v>0</v>
      </c>
      <c r="AD621" s="25">
        <v>0</v>
      </c>
      <c r="AE621" s="25">
        <v>0</v>
      </c>
      <c r="AF621" s="25">
        <v>0</v>
      </c>
      <c r="AG621" s="25">
        <v>0.55263157900000004</v>
      </c>
      <c r="AH621" s="25">
        <v>0.57561728400000001</v>
      </c>
      <c r="AI621" s="14" t="s">
        <v>1044</v>
      </c>
      <c r="AJ621" s="14" t="s">
        <v>33</v>
      </c>
    </row>
    <row r="622" spans="1:36" x14ac:dyDescent="0.25">
      <c r="A622" s="1">
        <v>680</v>
      </c>
      <c r="B622" s="14" t="s">
        <v>1728</v>
      </c>
      <c r="C622" s="14" t="s">
        <v>2153</v>
      </c>
      <c r="D622" s="25" t="s">
        <v>10</v>
      </c>
      <c r="E622" s="29" t="s">
        <v>1727</v>
      </c>
      <c r="F622" s="14">
        <v>268.46800000000002</v>
      </c>
      <c r="G622" s="14">
        <v>81</v>
      </c>
      <c r="H622" s="14">
        <v>0</v>
      </c>
      <c r="I622" s="14">
        <v>0</v>
      </c>
      <c r="J622" s="14">
        <v>0</v>
      </c>
      <c r="K622" s="14">
        <v>0</v>
      </c>
      <c r="L622" s="14">
        <v>0</v>
      </c>
      <c r="M622" s="14">
        <v>1</v>
      </c>
      <c r="N622" s="14">
        <v>17</v>
      </c>
      <c r="O622" s="14">
        <v>1</v>
      </c>
      <c r="P622" s="14">
        <v>0</v>
      </c>
      <c r="Q622" s="14">
        <v>0</v>
      </c>
      <c r="R622" s="14">
        <v>0</v>
      </c>
      <c r="S622" s="14">
        <v>0</v>
      </c>
      <c r="T622" s="14">
        <v>0</v>
      </c>
      <c r="U622" s="14">
        <v>0</v>
      </c>
      <c r="V622" s="14">
        <v>0</v>
      </c>
      <c r="W622" s="14">
        <v>0</v>
      </c>
      <c r="X622" s="14">
        <v>0</v>
      </c>
      <c r="Y622" s="14">
        <v>0</v>
      </c>
      <c r="Z622" s="14">
        <v>0</v>
      </c>
      <c r="AA622" s="14">
        <v>0</v>
      </c>
      <c r="AB622" s="14">
        <v>1</v>
      </c>
      <c r="AC622" s="14">
        <v>0</v>
      </c>
      <c r="AD622" s="25">
        <v>0</v>
      </c>
      <c r="AE622" s="25">
        <v>0</v>
      </c>
      <c r="AF622" s="25">
        <v>0</v>
      </c>
      <c r="AG622" s="25">
        <v>0.55263157900000004</v>
      </c>
      <c r="AH622" s="25">
        <v>0.57561728400000001</v>
      </c>
      <c r="AI622" s="14" t="s">
        <v>1571</v>
      </c>
      <c r="AJ622" s="14" t="s">
        <v>33</v>
      </c>
    </row>
    <row r="623" spans="1:36" x14ac:dyDescent="0.25">
      <c r="A623" s="1">
        <v>682</v>
      </c>
      <c r="B623" s="14" t="s">
        <v>1912</v>
      </c>
      <c r="C623" s="14" t="s">
        <v>2154</v>
      </c>
      <c r="D623" s="25" t="s">
        <v>1929</v>
      </c>
      <c r="E623" s="29" t="s">
        <v>1913</v>
      </c>
      <c r="F623" s="14">
        <v>258.34800000000001</v>
      </c>
      <c r="G623" s="14">
        <v>81</v>
      </c>
      <c r="H623" s="14">
        <v>0</v>
      </c>
      <c r="I623" s="14">
        <v>0</v>
      </c>
      <c r="J623" s="14">
        <v>0</v>
      </c>
      <c r="K623" s="14">
        <v>0</v>
      </c>
      <c r="L623" s="14">
        <v>0</v>
      </c>
      <c r="M623" s="14">
        <v>2</v>
      </c>
      <c r="N623" s="14">
        <v>10</v>
      </c>
      <c r="O623" s="14">
        <v>0</v>
      </c>
      <c r="P623" s="14">
        <v>0</v>
      </c>
      <c r="Q623" s="14">
        <v>0</v>
      </c>
      <c r="R623" s="14">
        <v>0</v>
      </c>
      <c r="S623" s="14">
        <v>0</v>
      </c>
      <c r="T623" s="14">
        <v>0</v>
      </c>
      <c r="U623" s="14">
        <v>2</v>
      </c>
      <c r="V623" s="14">
        <v>0</v>
      </c>
      <c r="W623" s="14">
        <v>0</v>
      </c>
      <c r="X623" s="14">
        <v>0</v>
      </c>
      <c r="Y623" s="14">
        <v>0</v>
      </c>
      <c r="Z623" s="14">
        <v>0</v>
      </c>
      <c r="AA623" s="14">
        <v>0</v>
      </c>
      <c r="AB623" s="14">
        <v>0</v>
      </c>
      <c r="AC623" s="14">
        <v>0</v>
      </c>
      <c r="AD623" s="25">
        <v>0</v>
      </c>
      <c r="AE623" s="25">
        <v>0</v>
      </c>
      <c r="AF623" s="25">
        <v>0</v>
      </c>
      <c r="AG623" s="25">
        <v>0.58310249300000006</v>
      </c>
      <c r="AH623" s="25">
        <v>0.58864265900000001</v>
      </c>
      <c r="AI623" s="14" t="s">
        <v>1571</v>
      </c>
      <c r="AJ623" s="14" t="s">
        <v>33</v>
      </c>
    </row>
    <row r="624" spans="1:36" x14ac:dyDescent="0.25">
      <c r="A624" s="1">
        <v>684</v>
      </c>
      <c r="B624" s="14" t="s">
        <v>1797</v>
      </c>
      <c r="C624" s="14" t="s">
        <v>2155</v>
      </c>
      <c r="D624" s="25" t="s">
        <v>1930</v>
      </c>
      <c r="E624" s="29" t="s">
        <v>157</v>
      </c>
      <c r="F624" s="14">
        <v>312.52</v>
      </c>
      <c r="G624" s="14">
        <v>81</v>
      </c>
      <c r="H624" s="14">
        <v>0</v>
      </c>
      <c r="I624" s="14">
        <v>0</v>
      </c>
      <c r="J624" s="14">
        <v>0</v>
      </c>
      <c r="K624" s="14">
        <v>0</v>
      </c>
      <c r="L624" s="14">
        <v>0</v>
      </c>
      <c r="M624" s="14">
        <v>2</v>
      </c>
      <c r="N624" s="14">
        <v>17</v>
      </c>
      <c r="O624" s="14">
        <v>0</v>
      </c>
      <c r="P624" s="14">
        <v>0</v>
      </c>
      <c r="Q624" s="14">
        <v>0</v>
      </c>
      <c r="R624" s="14">
        <v>0</v>
      </c>
      <c r="S624" s="14">
        <v>0</v>
      </c>
      <c r="T624" s="14">
        <v>0</v>
      </c>
      <c r="U624" s="14">
        <v>1</v>
      </c>
      <c r="V624" s="14">
        <v>0</v>
      </c>
      <c r="W624" s="14">
        <v>0</v>
      </c>
      <c r="X624" s="14">
        <v>0</v>
      </c>
      <c r="Y624" s="14">
        <v>0</v>
      </c>
      <c r="Z624" s="14">
        <v>0</v>
      </c>
      <c r="AA624" s="14">
        <v>0</v>
      </c>
      <c r="AB624" s="14">
        <v>0</v>
      </c>
      <c r="AC624" s="14">
        <v>0</v>
      </c>
      <c r="AD624" s="25">
        <v>0</v>
      </c>
      <c r="AE624" s="25">
        <v>0</v>
      </c>
      <c r="AF624" s="25">
        <v>0</v>
      </c>
      <c r="AG624" s="25">
        <v>0.61673553699999994</v>
      </c>
      <c r="AH624" s="25">
        <v>0.61053718999999995</v>
      </c>
      <c r="AI624" s="14" t="s">
        <v>1571</v>
      </c>
      <c r="AJ624" s="14" t="s">
        <v>33</v>
      </c>
    </row>
    <row r="625" spans="1:36" x14ac:dyDescent="0.25">
      <c r="A625" s="1">
        <v>685</v>
      </c>
      <c r="B625" s="14" t="s">
        <v>721</v>
      </c>
      <c r="C625" s="14" t="s">
        <v>292</v>
      </c>
      <c r="D625" s="25" t="s">
        <v>18</v>
      </c>
      <c r="E625" s="29" t="s">
        <v>99</v>
      </c>
      <c r="F625" s="14">
        <v>90.12</v>
      </c>
      <c r="G625" s="14">
        <v>81</v>
      </c>
      <c r="H625" s="14">
        <v>0</v>
      </c>
      <c r="I625" s="14">
        <v>0</v>
      </c>
      <c r="J625" s="14">
        <v>0</v>
      </c>
      <c r="K625" s="14">
        <v>0</v>
      </c>
      <c r="L625" s="14">
        <v>0</v>
      </c>
      <c r="M625" s="14">
        <v>2</v>
      </c>
      <c r="N625" s="14">
        <v>2</v>
      </c>
      <c r="O625" s="14">
        <v>0</v>
      </c>
      <c r="P625" s="14">
        <v>2</v>
      </c>
      <c r="Q625" s="14">
        <v>0</v>
      </c>
      <c r="R625" s="14">
        <v>0</v>
      </c>
      <c r="S625" s="14">
        <v>0</v>
      </c>
      <c r="T625" s="14">
        <v>0</v>
      </c>
      <c r="U625" s="14">
        <v>0</v>
      </c>
      <c r="V625" s="14">
        <v>0</v>
      </c>
      <c r="W625" s="14">
        <v>0</v>
      </c>
      <c r="X625" s="14">
        <v>0</v>
      </c>
      <c r="Y625" s="14">
        <v>0</v>
      </c>
      <c r="Z625" s="14">
        <v>0</v>
      </c>
      <c r="AA625" s="14">
        <v>0</v>
      </c>
      <c r="AB625" s="14">
        <v>0</v>
      </c>
      <c r="AC625" s="14">
        <v>0</v>
      </c>
      <c r="AD625" s="25">
        <v>0</v>
      </c>
      <c r="AE625" s="25">
        <v>0</v>
      </c>
      <c r="AF625" s="25">
        <v>0</v>
      </c>
      <c r="AG625" s="25">
        <v>0.26</v>
      </c>
      <c r="AH625" s="25">
        <v>0.26</v>
      </c>
      <c r="AI625" s="14" t="s">
        <v>981</v>
      </c>
      <c r="AJ625" s="14" t="s">
        <v>33</v>
      </c>
    </row>
    <row r="626" spans="1:36" x14ac:dyDescent="0.25">
      <c r="A626" s="1">
        <v>688</v>
      </c>
      <c r="B626" s="14" t="s">
        <v>702</v>
      </c>
      <c r="C626" s="14" t="s">
        <v>376</v>
      </c>
      <c r="D626" s="25" t="s">
        <v>17</v>
      </c>
      <c r="E626" s="29" t="s">
        <v>47</v>
      </c>
      <c r="F626" s="14">
        <v>298.5</v>
      </c>
      <c r="G626" s="14">
        <v>82.6</v>
      </c>
      <c r="H626" s="14">
        <v>0</v>
      </c>
      <c r="I626" s="14">
        <v>0</v>
      </c>
      <c r="J626" s="14">
        <v>0</v>
      </c>
      <c r="K626" s="14">
        <v>0</v>
      </c>
      <c r="L626" s="14">
        <v>0</v>
      </c>
      <c r="M626" s="14">
        <v>3</v>
      </c>
      <c r="N626" s="14">
        <v>14</v>
      </c>
      <c r="O626" s="14">
        <v>0</v>
      </c>
      <c r="P626" s="14">
        <v>0</v>
      </c>
      <c r="Q626" s="14">
        <v>0</v>
      </c>
      <c r="R626" s="14">
        <v>0</v>
      </c>
      <c r="S626" s="14">
        <v>0</v>
      </c>
      <c r="T626" s="14">
        <v>0</v>
      </c>
      <c r="U626" s="14">
        <v>1</v>
      </c>
      <c r="V626" s="14">
        <v>1</v>
      </c>
      <c r="W626" s="14">
        <v>0</v>
      </c>
      <c r="X626" s="14">
        <v>0</v>
      </c>
      <c r="Y626" s="14">
        <v>0</v>
      </c>
      <c r="Z626" s="14">
        <v>0</v>
      </c>
      <c r="AA626" s="14">
        <v>0</v>
      </c>
      <c r="AB626" s="14">
        <v>0</v>
      </c>
      <c r="AC626" s="14">
        <v>0</v>
      </c>
      <c r="AD626" s="25">
        <v>0</v>
      </c>
      <c r="AE626" s="25">
        <v>0</v>
      </c>
      <c r="AF626" s="25">
        <v>0</v>
      </c>
      <c r="AG626" s="25">
        <v>0.592970522</v>
      </c>
      <c r="AH626" s="25">
        <v>0.60657596400000002</v>
      </c>
      <c r="AI626" s="14" t="s">
        <v>1073</v>
      </c>
      <c r="AJ626" s="14" t="s">
        <v>33</v>
      </c>
    </row>
    <row r="627" spans="1:36" x14ac:dyDescent="0.25">
      <c r="A627" s="1">
        <v>690</v>
      </c>
      <c r="B627" s="14" t="s">
        <v>914</v>
      </c>
      <c r="C627" s="14" t="s">
        <v>405</v>
      </c>
      <c r="D627" s="25" t="s">
        <v>19</v>
      </c>
      <c r="E627" s="29" t="s">
        <v>174</v>
      </c>
      <c r="F627" s="14">
        <v>296.57</v>
      </c>
      <c r="G627" s="14">
        <v>83</v>
      </c>
      <c r="H627" s="14">
        <v>0</v>
      </c>
      <c r="I627" s="14">
        <v>0</v>
      </c>
      <c r="J627" s="14">
        <v>0</v>
      </c>
      <c r="K627" s="14">
        <v>0</v>
      </c>
      <c r="L627" s="14">
        <v>0</v>
      </c>
      <c r="M627" s="14">
        <v>3</v>
      </c>
      <c r="N627" s="14">
        <v>17</v>
      </c>
      <c r="O627" s="14">
        <v>0</v>
      </c>
      <c r="P627" s="14">
        <v>0</v>
      </c>
      <c r="Q627" s="14">
        <v>0</v>
      </c>
      <c r="R627" s="14">
        <v>0</v>
      </c>
      <c r="S627" s="14">
        <v>0</v>
      </c>
      <c r="T627" s="14">
        <v>0</v>
      </c>
      <c r="U627" s="14">
        <v>0</v>
      </c>
      <c r="V627" s="14">
        <v>1</v>
      </c>
      <c r="W627" s="14">
        <v>0</v>
      </c>
      <c r="X627" s="14">
        <v>0</v>
      </c>
      <c r="Y627" s="14">
        <v>0</v>
      </c>
      <c r="Z627" s="14">
        <v>0</v>
      </c>
      <c r="AA627" s="14">
        <v>0</v>
      </c>
      <c r="AB627" s="14">
        <v>0</v>
      </c>
      <c r="AC627" s="14">
        <v>0</v>
      </c>
      <c r="AD627" s="25">
        <v>0</v>
      </c>
      <c r="AE627" s="25">
        <v>0</v>
      </c>
      <c r="AF627" s="25">
        <v>0</v>
      </c>
      <c r="AG627" s="25">
        <v>0.59750000000000003</v>
      </c>
      <c r="AH627" s="25">
        <v>0.59250000000000003</v>
      </c>
      <c r="AI627" s="14" t="s">
        <v>1102</v>
      </c>
      <c r="AJ627" s="14" t="s">
        <v>33</v>
      </c>
    </row>
    <row r="628" spans="1:36" x14ac:dyDescent="0.25">
      <c r="A628" s="1">
        <v>691</v>
      </c>
      <c r="B628" s="25" t="s">
        <v>1605</v>
      </c>
      <c r="C628" s="25" t="s">
        <v>2156</v>
      </c>
      <c r="D628" s="25" t="s">
        <v>19</v>
      </c>
      <c r="E628" s="25" t="s">
        <v>174</v>
      </c>
      <c r="F628" s="25">
        <v>296.56200000000001</v>
      </c>
      <c r="G628" s="25">
        <v>83</v>
      </c>
      <c r="H628" s="25">
        <v>0</v>
      </c>
      <c r="I628" s="25">
        <v>0</v>
      </c>
      <c r="J628" s="25">
        <v>0</v>
      </c>
      <c r="K628" s="25">
        <v>0</v>
      </c>
      <c r="L628" s="25">
        <v>0</v>
      </c>
      <c r="M628" s="25">
        <v>3</v>
      </c>
      <c r="N628" s="25">
        <v>17</v>
      </c>
      <c r="O628" s="25">
        <v>0</v>
      </c>
      <c r="P628" s="25">
        <v>0</v>
      </c>
      <c r="Q628" s="25">
        <v>0</v>
      </c>
      <c r="R628" s="25">
        <v>0</v>
      </c>
      <c r="S628" s="25">
        <v>0</v>
      </c>
      <c r="T628" s="25">
        <v>0</v>
      </c>
      <c r="U628" s="25">
        <v>0</v>
      </c>
      <c r="V628" s="25">
        <v>1</v>
      </c>
      <c r="W628" s="25">
        <v>0</v>
      </c>
      <c r="X628" s="25">
        <v>0</v>
      </c>
      <c r="Y628" s="25">
        <v>0</v>
      </c>
      <c r="Z628" s="25">
        <v>0</v>
      </c>
      <c r="AA628" s="25">
        <v>0</v>
      </c>
      <c r="AB628" s="25">
        <v>0</v>
      </c>
      <c r="AC628" s="25">
        <v>0</v>
      </c>
      <c r="AD628" s="25">
        <v>0</v>
      </c>
      <c r="AE628" s="25">
        <v>0</v>
      </c>
      <c r="AF628" s="25">
        <v>0</v>
      </c>
      <c r="AG628" s="25">
        <v>0.55782312899999997</v>
      </c>
      <c r="AH628" s="25">
        <v>0.59</v>
      </c>
      <c r="AI628" s="25" t="s">
        <v>1571</v>
      </c>
      <c r="AJ628" s="14" t="s">
        <v>33</v>
      </c>
    </row>
    <row r="629" spans="1:36" x14ac:dyDescent="0.25">
      <c r="A629" s="1">
        <v>692</v>
      </c>
      <c r="B629" s="25" t="s">
        <v>585</v>
      </c>
      <c r="C629" s="25" t="s">
        <v>483</v>
      </c>
      <c r="D629" s="25" t="s">
        <v>17</v>
      </c>
      <c r="E629" s="25" t="s">
        <v>157</v>
      </c>
      <c r="F629" s="25">
        <v>312.52999999999997</v>
      </c>
      <c r="G629" s="25">
        <v>83.6</v>
      </c>
      <c r="H629" s="25">
        <v>0</v>
      </c>
      <c r="I629" s="25">
        <v>0</v>
      </c>
      <c r="J629" s="25">
        <v>0</v>
      </c>
      <c r="K629" s="25">
        <v>0</v>
      </c>
      <c r="L629" s="25">
        <v>0</v>
      </c>
      <c r="M629" s="25">
        <v>3</v>
      </c>
      <c r="N629" s="25">
        <v>15</v>
      </c>
      <c r="O629" s="25">
        <v>0</v>
      </c>
      <c r="P629" s="25">
        <v>0</v>
      </c>
      <c r="Q629" s="25">
        <v>0</v>
      </c>
      <c r="R629" s="25">
        <v>0</v>
      </c>
      <c r="S629" s="25">
        <v>0</v>
      </c>
      <c r="T629" s="25">
        <v>0</v>
      </c>
      <c r="U629" s="25">
        <v>1</v>
      </c>
      <c r="V629" s="25">
        <v>1</v>
      </c>
      <c r="W629" s="25">
        <v>0</v>
      </c>
      <c r="X629" s="25">
        <v>0</v>
      </c>
      <c r="Y629" s="25">
        <v>0</v>
      </c>
      <c r="Z629" s="25">
        <v>0</v>
      </c>
      <c r="AA629" s="25">
        <v>0</v>
      </c>
      <c r="AB629" s="25">
        <v>0</v>
      </c>
      <c r="AC629" s="25">
        <v>0</v>
      </c>
      <c r="AD629" s="25">
        <v>0</v>
      </c>
      <c r="AE629" s="25">
        <v>0</v>
      </c>
      <c r="AF629" s="25">
        <v>0</v>
      </c>
      <c r="AG629" s="25">
        <v>0.57899305599999995</v>
      </c>
      <c r="AH629" s="25">
        <v>0.61053718999999995</v>
      </c>
      <c r="AI629" s="25" t="s">
        <v>1178</v>
      </c>
      <c r="AJ629" s="14" t="s">
        <v>33</v>
      </c>
    </row>
    <row r="630" spans="1:36" x14ac:dyDescent="0.25">
      <c r="A630" s="1">
        <v>694</v>
      </c>
      <c r="B630" s="14" t="s">
        <v>1802</v>
      </c>
      <c r="C630" s="14" t="s">
        <v>2157</v>
      </c>
      <c r="D630" s="25" t="s">
        <v>1930</v>
      </c>
      <c r="E630" s="29" t="s">
        <v>59</v>
      </c>
      <c r="F630" s="14">
        <v>340.572</v>
      </c>
      <c r="G630" s="14">
        <v>84</v>
      </c>
      <c r="H630" s="14">
        <v>0</v>
      </c>
      <c r="I630" s="14">
        <v>0</v>
      </c>
      <c r="J630" s="14">
        <v>0</v>
      </c>
      <c r="K630" s="14">
        <v>0</v>
      </c>
      <c r="L630" s="14">
        <v>0</v>
      </c>
      <c r="M630" s="14">
        <v>2</v>
      </c>
      <c r="N630" s="14">
        <v>19</v>
      </c>
      <c r="O630" s="14">
        <v>0</v>
      </c>
      <c r="P630" s="14">
        <v>0</v>
      </c>
      <c r="Q630" s="14">
        <v>0</v>
      </c>
      <c r="R630" s="14">
        <v>0</v>
      </c>
      <c r="S630" s="14">
        <v>0</v>
      </c>
      <c r="T630" s="14">
        <v>0</v>
      </c>
      <c r="U630" s="14">
        <v>1</v>
      </c>
      <c r="V630" s="14">
        <v>0</v>
      </c>
      <c r="W630" s="14">
        <v>0</v>
      </c>
      <c r="X630" s="14">
        <v>0</v>
      </c>
      <c r="Y630" s="14">
        <v>0</v>
      </c>
      <c r="Z630" s="14">
        <v>0</v>
      </c>
      <c r="AA630" s="14">
        <v>0</v>
      </c>
      <c r="AB630" s="14">
        <v>0</v>
      </c>
      <c r="AC630" s="14">
        <v>0</v>
      </c>
      <c r="AD630" s="25">
        <v>0</v>
      </c>
      <c r="AE630" s="25">
        <v>0</v>
      </c>
      <c r="AF630" s="25">
        <v>0</v>
      </c>
      <c r="AG630" s="25">
        <v>0.61199999999999999</v>
      </c>
      <c r="AH630" s="25">
        <v>0.63107638899999996</v>
      </c>
      <c r="AI630" s="14" t="s">
        <v>1571</v>
      </c>
      <c r="AJ630" s="14" t="s">
        <v>33</v>
      </c>
    </row>
    <row r="631" spans="1:36" x14ac:dyDescent="0.25">
      <c r="A631" s="1">
        <v>695</v>
      </c>
      <c r="B631" s="14" t="s">
        <v>891</v>
      </c>
      <c r="C631" s="14" t="s">
        <v>380</v>
      </c>
      <c r="D631" s="25" t="s">
        <v>17</v>
      </c>
      <c r="E631" s="29" t="s">
        <v>157</v>
      </c>
      <c r="F631" s="14">
        <v>312.52999999999997</v>
      </c>
      <c r="G631" s="14">
        <v>84.8</v>
      </c>
      <c r="H631" s="14">
        <v>0</v>
      </c>
      <c r="I631" s="14">
        <v>0</v>
      </c>
      <c r="J631" s="14">
        <v>0</v>
      </c>
      <c r="K631" s="14">
        <v>0</v>
      </c>
      <c r="L631" s="14">
        <v>0</v>
      </c>
      <c r="M631" s="14">
        <v>3</v>
      </c>
      <c r="N631" s="14">
        <v>15</v>
      </c>
      <c r="O631" s="14">
        <v>0</v>
      </c>
      <c r="P631" s="14">
        <v>0</v>
      </c>
      <c r="Q631" s="14">
        <v>0</v>
      </c>
      <c r="R631" s="14">
        <v>0</v>
      </c>
      <c r="S631" s="14">
        <v>0</v>
      </c>
      <c r="T631" s="14">
        <v>0</v>
      </c>
      <c r="U631" s="14">
        <v>1</v>
      </c>
      <c r="V631" s="14">
        <v>1</v>
      </c>
      <c r="W631" s="14">
        <v>0</v>
      </c>
      <c r="X631" s="14">
        <v>0</v>
      </c>
      <c r="Y631" s="14">
        <v>0</v>
      </c>
      <c r="Z631" s="14">
        <v>0</v>
      </c>
      <c r="AA631" s="14">
        <v>0</v>
      </c>
      <c r="AB631" s="14">
        <v>0</v>
      </c>
      <c r="AC631" s="14">
        <v>0</v>
      </c>
      <c r="AD631" s="25">
        <v>0</v>
      </c>
      <c r="AE631" s="25">
        <v>0</v>
      </c>
      <c r="AF631" s="25">
        <v>0</v>
      </c>
      <c r="AG631" s="25">
        <v>0.60227272700000001</v>
      </c>
      <c r="AH631" s="25">
        <v>0.61466942099999999</v>
      </c>
      <c r="AI631" s="14" t="s">
        <v>1078</v>
      </c>
      <c r="AJ631" s="14" t="s">
        <v>33</v>
      </c>
    </row>
    <row r="632" spans="1:36" x14ac:dyDescent="0.25">
      <c r="A632" s="1">
        <v>697</v>
      </c>
      <c r="B632" s="14" t="s">
        <v>889</v>
      </c>
      <c r="C632" s="14" t="s">
        <v>369</v>
      </c>
      <c r="D632" s="25" t="s">
        <v>17</v>
      </c>
      <c r="E632" s="29" t="s">
        <v>154</v>
      </c>
      <c r="F632" s="14">
        <v>891.48</v>
      </c>
      <c r="G632" s="14">
        <v>85</v>
      </c>
      <c r="H632" s="14">
        <v>0</v>
      </c>
      <c r="I632" s="14">
        <v>0</v>
      </c>
      <c r="J632" s="14">
        <v>0</v>
      </c>
      <c r="K632" s="14">
        <v>0</v>
      </c>
      <c r="L632" s="14">
        <v>0</v>
      </c>
      <c r="M632" s="14">
        <v>3</v>
      </c>
      <c r="N632" s="14">
        <v>50</v>
      </c>
      <c r="O632" s="14">
        <v>0</v>
      </c>
      <c r="P632" s="14">
        <v>0</v>
      </c>
      <c r="Q632" s="14">
        <v>0</v>
      </c>
      <c r="R632" s="14">
        <v>0</v>
      </c>
      <c r="S632" s="14">
        <v>0</v>
      </c>
      <c r="T632" s="14">
        <v>0</v>
      </c>
      <c r="U632" s="14">
        <v>3</v>
      </c>
      <c r="V632" s="14">
        <v>1</v>
      </c>
      <c r="W632" s="14">
        <v>0</v>
      </c>
      <c r="X632" s="14">
        <v>0</v>
      </c>
      <c r="Y632" s="14">
        <v>0</v>
      </c>
      <c r="Z632" s="14">
        <v>0</v>
      </c>
      <c r="AA632" s="14">
        <v>0</v>
      </c>
      <c r="AB632" s="14">
        <v>0</v>
      </c>
      <c r="AC632" s="14">
        <v>0</v>
      </c>
      <c r="AD632" s="25">
        <v>0</v>
      </c>
      <c r="AE632" s="25">
        <v>0</v>
      </c>
      <c r="AF632" s="25">
        <v>0</v>
      </c>
      <c r="AG632" s="25">
        <v>0.74535560099999998</v>
      </c>
      <c r="AH632" s="25">
        <v>0.76307692299999996</v>
      </c>
      <c r="AI632" s="14" t="s">
        <v>1065</v>
      </c>
      <c r="AJ632" s="14" t="s">
        <v>33</v>
      </c>
    </row>
    <row r="633" spans="1:36" x14ac:dyDescent="0.25">
      <c r="A633" s="1">
        <v>699</v>
      </c>
      <c r="B633" s="14" t="s">
        <v>759</v>
      </c>
      <c r="C633" s="14" t="s">
        <v>407</v>
      </c>
      <c r="D633" s="25" t="s">
        <v>7</v>
      </c>
      <c r="E633" s="29" t="s">
        <v>77</v>
      </c>
      <c r="F633" s="14">
        <v>170.33</v>
      </c>
      <c r="G633" s="14">
        <v>85</v>
      </c>
      <c r="H633" s="14">
        <v>0</v>
      </c>
      <c r="I633" s="14">
        <v>0</v>
      </c>
      <c r="J633" s="14">
        <v>0</v>
      </c>
      <c r="K633" s="14">
        <v>0</v>
      </c>
      <c r="L633" s="14">
        <v>0</v>
      </c>
      <c r="M633" s="14">
        <v>2</v>
      </c>
      <c r="N633" s="14">
        <v>10</v>
      </c>
      <c r="O633" s="14">
        <v>0</v>
      </c>
      <c r="P633" s="14">
        <v>0</v>
      </c>
      <c r="Q633" s="14">
        <v>0</v>
      </c>
      <c r="R633" s="14">
        <v>0</v>
      </c>
      <c r="S633" s="14">
        <v>0</v>
      </c>
      <c r="T633" s="14">
        <v>0</v>
      </c>
      <c r="U633" s="14">
        <v>0</v>
      </c>
      <c r="V633" s="14">
        <v>0</v>
      </c>
      <c r="W633" s="14">
        <v>0</v>
      </c>
      <c r="X633" s="14">
        <v>0</v>
      </c>
      <c r="Y633" s="14">
        <v>0</v>
      </c>
      <c r="Z633" s="14">
        <v>0</v>
      </c>
      <c r="AA633" s="14">
        <v>0</v>
      </c>
      <c r="AB633" s="14">
        <v>0</v>
      </c>
      <c r="AC633" s="14">
        <v>0</v>
      </c>
      <c r="AD633" s="25">
        <v>0</v>
      </c>
      <c r="AE633" s="25">
        <v>0</v>
      </c>
      <c r="AF633" s="25">
        <v>0</v>
      </c>
      <c r="AG633" s="25">
        <v>0.46875</v>
      </c>
      <c r="AH633" s="25">
        <v>0.483471074</v>
      </c>
      <c r="AI633" s="14" t="s">
        <v>1104</v>
      </c>
      <c r="AJ633" s="14" t="s">
        <v>33</v>
      </c>
    </row>
    <row r="634" spans="1:36" x14ac:dyDescent="0.25">
      <c r="A634" s="1">
        <v>701</v>
      </c>
      <c r="B634" s="25" t="s">
        <v>630</v>
      </c>
      <c r="C634" s="25" t="s">
        <v>298</v>
      </c>
      <c r="D634" s="25" t="s">
        <v>12</v>
      </c>
      <c r="E634" s="25" t="s">
        <v>106</v>
      </c>
      <c r="F634" s="25">
        <v>224.42</v>
      </c>
      <c r="G634" s="25">
        <v>86</v>
      </c>
      <c r="H634" s="25">
        <v>0</v>
      </c>
      <c r="I634" s="25">
        <v>1</v>
      </c>
      <c r="J634" s="25">
        <v>0</v>
      </c>
      <c r="K634" s="25">
        <v>1</v>
      </c>
      <c r="L634" s="25">
        <v>0</v>
      </c>
      <c r="M634" s="25">
        <v>1</v>
      </c>
      <c r="N634" s="25">
        <v>13</v>
      </c>
      <c r="O634" s="25">
        <v>0</v>
      </c>
      <c r="P634" s="25">
        <v>0</v>
      </c>
      <c r="Q634" s="25">
        <v>0</v>
      </c>
      <c r="R634" s="25">
        <v>0</v>
      </c>
      <c r="S634" s="25">
        <v>0</v>
      </c>
      <c r="T634" s="25">
        <v>0</v>
      </c>
      <c r="U634" s="25">
        <v>0</v>
      </c>
      <c r="V634" s="25">
        <v>0</v>
      </c>
      <c r="W634" s="25">
        <v>1</v>
      </c>
      <c r="X634" s="25">
        <v>0</v>
      </c>
      <c r="Y634" s="25">
        <v>1</v>
      </c>
      <c r="Z634" s="25">
        <v>0</v>
      </c>
      <c r="AA634" s="25">
        <v>0</v>
      </c>
      <c r="AB634" s="25">
        <v>0</v>
      </c>
      <c r="AC634" s="25">
        <v>0</v>
      </c>
      <c r="AD634" s="25">
        <v>0</v>
      </c>
      <c r="AE634" s="25">
        <v>0</v>
      </c>
      <c r="AF634" s="25">
        <v>0</v>
      </c>
      <c r="AG634" s="25">
        <v>0.52314814799999998</v>
      </c>
      <c r="AH634" s="25">
        <v>0.560546875</v>
      </c>
      <c r="AI634" s="25" t="s">
        <v>988</v>
      </c>
      <c r="AJ634" s="14" t="s">
        <v>33</v>
      </c>
    </row>
    <row r="635" spans="1:36" x14ac:dyDescent="0.25">
      <c r="A635" s="1">
        <v>703</v>
      </c>
      <c r="B635" s="14" t="s">
        <v>700</v>
      </c>
      <c r="C635" s="14" t="s">
        <v>374</v>
      </c>
      <c r="D635" s="25" t="s">
        <v>17</v>
      </c>
      <c r="E635" s="29" t="s">
        <v>157</v>
      </c>
      <c r="F635" s="14">
        <v>312.52999999999997</v>
      </c>
      <c r="G635" s="14">
        <v>86</v>
      </c>
      <c r="H635" s="14">
        <v>0</v>
      </c>
      <c r="I635" s="14">
        <v>0</v>
      </c>
      <c r="J635" s="14">
        <v>0</v>
      </c>
      <c r="K635" s="14">
        <v>0</v>
      </c>
      <c r="L635" s="14">
        <v>0</v>
      </c>
      <c r="M635" s="14">
        <v>2</v>
      </c>
      <c r="N635" s="14">
        <v>17</v>
      </c>
      <c r="O635" s="14">
        <v>0</v>
      </c>
      <c r="P635" s="14">
        <v>0</v>
      </c>
      <c r="Q635" s="14">
        <v>0</v>
      </c>
      <c r="R635" s="14">
        <v>0</v>
      </c>
      <c r="S635" s="14">
        <v>0</v>
      </c>
      <c r="T635" s="14">
        <v>0</v>
      </c>
      <c r="U635" s="14">
        <v>1</v>
      </c>
      <c r="V635" s="14">
        <v>0</v>
      </c>
      <c r="W635" s="14">
        <v>0</v>
      </c>
      <c r="X635" s="14">
        <v>0</v>
      </c>
      <c r="Y635" s="14">
        <v>0</v>
      </c>
      <c r="Z635" s="14">
        <v>0</v>
      </c>
      <c r="AA635" s="14">
        <v>0</v>
      </c>
      <c r="AB635" s="14">
        <v>0</v>
      </c>
      <c r="AC635" s="14">
        <v>0</v>
      </c>
      <c r="AD635" s="25">
        <v>0</v>
      </c>
      <c r="AE635" s="25">
        <v>0</v>
      </c>
      <c r="AF635" s="25">
        <v>0</v>
      </c>
      <c r="AG635" s="25">
        <v>0.57725694400000005</v>
      </c>
      <c r="AH635" s="25">
        <v>0.61260330600000001</v>
      </c>
      <c r="AI635" s="14" t="s">
        <v>1070</v>
      </c>
      <c r="AJ635" s="14" t="s">
        <v>33</v>
      </c>
    </row>
    <row r="636" spans="1:36" x14ac:dyDescent="0.25">
      <c r="A636" s="1">
        <v>704</v>
      </c>
      <c r="B636" s="14" t="s">
        <v>1791</v>
      </c>
      <c r="C636" s="14" t="s">
        <v>1486</v>
      </c>
      <c r="D636" s="25" t="s">
        <v>1930</v>
      </c>
      <c r="E636" s="29" t="s">
        <v>1789</v>
      </c>
      <c r="F636" s="14">
        <v>284.46800000000002</v>
      </c>
      <c r="G636" s="14">
        <v>86</v>
      </c>
      <c r="H636" s="14">
        <v>0</v>
      </c>
      <c r="I636" s="14">
        <v>0</v>
      </c>
      <c r="J636" s="14">
        <v>0</v>
      </c>
      <c r="K636" s="14">
        <v>0</v>
      </c>
      <c r="L636" s="14">
        <v>0</v>
      </c>
      <c r="M636" s="14">
        <v>2</v>
      </c>
      <c r="N636" s="14">
        <v>15</v>
      </c>
      <c r="O636" s="14">
        <v>0</v>
      </c>
      <c r="P636" s="14">
        <v>0</v>
      </c>
      <c r="Q636" s="14">
        <v>0</v>
      </c>
      <c r="R636" s="14">
        <v>0</v>
      </c>
      <c r="S636" s="14">
        <v>0</v>
      </c>
      <c r="T636" s="14">
        <v>0</v>
      </c>
      <c r="U636" s="14">
        <v>1</v>
      </c>
      <c r="V636" s="14">
        <v>0</v>
      </c>
      <c r="W636" s="14">
        <v>0</v>
      </c>
      <c r="X636" s="14">
        <v>0</v>
      </c>
      <c r="Y636" s="14">
        <v>0</v>
      </c>
      <c r="Z636" s="14">
        <v>0</v>
      </c>
      <c r="AA636" s="14">
        <v>0</v>
      </c>
      <c r="AB636" s="14">
        <v>0</v>
      </c>
      <c r="AC636" s="14">
        <v>0</v>
      </c>
      <c r="AD636" s="25">
        <v>0</v>
      </c>
      <c r="AE636" s="25">
        <v>0</v>
      </c>
      <c r="AF636" s="25">
        <v>0</v>
      </c>
      <c r="AG636" s="25">
        <v>0.59985207100000004</v>
      </c>
      <c r="AH636" s="25">
        <v>0.59875</v>
      </c>
      <c r="AI636" s="14" t="s">
        <v>1571</v>
      </c>
      <c r="AJ636" s="14" t="s">
        <v>33</v>
      </c>
    </row>
    <row r="637" spans="1:36" x14ac:dyDescent="0.25">
      <c r="A637" s="1">
        <v>705</v>
      </c>
      <c r="B637" s="14" t="s">
        <v>834</v>
      </c>
      <c r="C637" s="14" t="s">
        <v>532</v>
      </c>
      <c r="D637" s="25" t="s">
        <v>17</v>
      </c>
      <c r="E637" s="29" t="s">
        <v>59</v>
      </c>
      <c r="F637" s="14">
        <v>340.58</v>
      </c>
      <c r="G637" s="14">
        <v>86.3</v>
      </c>
      <c r="H637" s="14">
        <v>0</v>
      </c>
      <c r="I637" s="14">
        <v>0</v>
      </c>
      <c r="J637" s="14">
        <v>0</v>
      </c>
      <c r="K637" s="14">
        <v>0</v>
      </c>
      <c r="L637" s="14">
        <v>0</v>
      </c>
      <c r="M637" s="14">
        <v>2</v>
      </c>
      <c r="N637" s="14">
        <v>19</v>
      </c>
      <c r="O637" s="14">
        <v>0</v>
      </c>
      <c r="P637" s="14">
        <v>0</v>
      </c>
      <c r="Q637" s="14">
        <v>0</v>
      </c>
      <c r="R637" s="14">
        <v>0</v>
      </c>
      <c r="S637" s="14">
        <v>0</v>
      </c>
      <c r="T637" s="14">
        <v>0</v>
      </c>
      <c r="U637" s="14">
        <v>1</v>
      </c>
      <c r="V637" s="14">
        <v>0</v>
      </c>
      <c r="W637" s="14">
        <v>0</v>
      </c>
      <c r="X637" s="14">
        <v>0</v>
      </c>
      <c r="Y637" s="14">
        <v>0</v>
      </c>
      <c r="Z637" s="14">
        <v>0</v>
      </c>
      <c r="AA637" s="14">
        <v>0</v>
      </c>
      <c r="AB637" s="14">
        <v>0</v>
      </c>
      <c r="AC637" s="14">
        <v>0</v>
      </c>
      <c r="AD637" s="25">
        <v>0</v>
      </c>
      <c r="AE637" s="25">
        <v>0</v>
      </c>
      <c r="AF637" s="25">
        <v>0</v>
      </c>
      <c r="AG637" s="25">
        <v>0.62065972199999997</v>
      </c>
      <c r="AH637" s="25">
        <v>0.62413194400000005</v>
      </c>
      <c r="AI637" s="14" t="s">
        <v>1229</v>
      </c>
      <c r="AJ637" s="14" t="s">
        <v>33</v>
      </c>
    </row>
    <row r="638" spans="1:36" x14ac:dyDescent="0.25">
      <c r="A638" s="1">
        <v>707</v>
      </c>
      <c r="B638" s="14" t="s">
        <v>699</v>
      </c>
      <c r="C638" s="14" t="s">
        <v>482</v>
      </c>
      <c r="D638" s="25" t="s">
        <v>17</v>
      </c>
      <c r="E638" s="29" t="s">
        <v>86</v>
      </c>
      <c r="F638" s="14">
        <v>284.48</v>
      </c>
      <c r="G638" s="14">
        <v>86.55</v>
      </c>
      <c r="H638" s="14">
        <v>0</v>
      </c>
      <c r="I638" s="14">
        <v>0</v>
      </c>
      <c r="J638" s="14">
        <v>0</v>
      </c>
      <c r="K638" s="14">
        <v>0</v>
      </c>
      <c r="L638" s="14">
        <v>0</v>
      </c>
      <c r="M638" s="14">
        <v>2</v>
      </c>
      <c r="N638" s="14">
        <v>15</v>
      </c>
      <c r="O638" s="14">
        <v>0</v>
      </c>
      <c r="P638" s="14">
        <v>0</v>
      </c>
      <c r="Q638" s="14">
        <v>0</v>
      </c>
      <c r="R638" s="14">
        <v>0</v>
      </c>
      <c r="S638" s="14">
        <v>0</v>
      </c>
      <c r="T638" s="14">
        <v>0</v>
      </c>
      <c r="U638" s="14">
        <v>1</v>
      </c>
      <c r="V638" s="14">
        <v>0</v>
      </c>
      <c r="W638" s="14">
        <v>0</v>
      </c>
      <c r="X638" s="14">
        <v>0</v>
      </c>
      <c r="Y638" s="14">
        <v>0</v>
      </c>
      <c r="Z638" s="14">
        <v>0</v>
      </c>
      <c r="AA638" s="14">
        <v>0</v>
      </c>
      <c r="AB638" s="14">
        <v>0</v>
      </c>
      <c r="AC638" s="14">
        <v>0</v>
      </c>
      <c r="AD638" s="25">
        <v>0</v>
      </c>
      <c r="AE638" s="25">
        <v>0</v>
      </c>
      <c r="AF638" s="25">
        <v>0</v>
      </c>
      <c r="AG638" s="25">
        <v>0.55475206600000004</v>
      </c>
      <c r="AH638" s="25">
        <v>0.59875</v>
      </c>
      <c r="AI638" s="14" t="s">
        <v>1177</v>
      </c>
      <c r="AJ638" s="14" t="s">
        <v>33</v>
      </c>
    </row>
    <row r="639" spans="1:36" x14ac:dyDescent="0.25">
      <c r="A639" s="1">
        <v>708</v>
      </c>
      <c r="B639" s="25" t="s">
        <v>769</v>
      </c>
      <c r="C639" s="25" t="s">
        <v>2158</v>
      </c>
      <c r="D639" s="25" t="s">
        <v>17</v>
      </c>
      <c r="E639" s="25" t="s">
        <v>84</v>
      </c>
      <c r="F639" s="25">
        <v>324.54000000000002</v>
      </c>
      <c r="G639" s="25">
        <v>86.6</v>
      </c>
      <c r="H639" s="25">
        <v>0</v>
      </c>
      <c r="I639" s="25">
        <v>1</v>
      </c>
      <c r="J639" s="25">
        <v>0</v>
      </c>
      <c r="K639" s="25">
        <v>1</v>
      </c>
      <c r="L639" s="25">
        <v>0</v>
      </c>
      <c r="M639" s="25">
        <v>3</v>
      </c>
      <c r="N639" s="25">
        <v>14</v>
      </c>
      <c r="O639" s="25">
        <v>0</v>
      </c>
      <c r="P639" s="25">
        <v>0</v>
      </c>
      <c r="Q639" s="25">
        <v>0</v>
      </c>
      <c r="R639" s="25">
        <v>0</v>
      </c>
      <c r="S639" s="25">
        <v>0</v>
      </c>
      <c r="T639" s="25">
        <v>0</v>
      </c>
      <c r="U639" s="25">
        <v>1</v>
      </c>
      <c r="V639" s="25">
        <v>1</v>
      </c>
      <c r="W639" s="25">
        <v>2</v>
      </c>
      <c r="X639" s="25">
        <v>0</v>
      </c>
      <c r="Y639" s="25">
        <v>0</v>
      </c>
      <c r="Z639" s="25">
        <v>0</v>
      </c>
      <c r="AA639" s="25">
        <v>0</v>
      </c>
      <c r="AB639" s="25">
        <v>0</v>
      </c>
      <c r="AC639" s="25">
        <v>0</v>
      </c>
      <c r="AD639" s="25">
        <v>0</v>
      </c>
      <c r="AE639" s="25">
        <v>0</v>
      </c>
      <c r="AF639" s="25">
        <v>0</v>
      </c>
      <c r="AG639" s="25">
        <v>0.58801775099999998</v>
      </c>
      <c r="AH639" s="25">
        <v>0.62934027800000003</v>
      </c>
      <c r="AI639" s="25" t="s">
        <v>965</v>
      </c>
      <c r="AJ639" s="14" t="s">
        <v>33</v>
      </c>
    </row>
    <row r="640" spans="1:36" x14ac:dyDescent="0.25">
      <c r="A640" s="1">
        <v>709</v>
      </c>
      <c r="B640" s="25" t="s">
        <v>1793</v>
      </c>
      <c r="C640" s="25" t="s">
        <v>1487</v>
      </c>
      <c r="D640" s="25" t="s">
        <v>1930</v>
      </c>
      <c r="E640" s="25" t="s">
        <v>1794</v>
      </c>
      <c r="F640" s="25">
        <v>298.49400000000003</v>
      </c>
      <c r="G640" s="25">
        <v>86.9</v>
      </c>
      <c r="H640" s="25">
        <v>0</v>
      </c>
      <c r="I640" s="25">
        <v>0</v>
      </c>
      <c r="J640" s="25">
        <v>0</v>
      </c>
      <c r="K640" s="25">
        <v>0</v>
      </c>
      <c r="L640" s="25">
        <v>0</v>
      </c>
      <c r="M640" s="25">
        <v>2</v>
      </c>
      <c r="N640" s="25">
        <v>16</v>
      </c>
      <c r="O640" s="25">
        <v>0</v>
      </c>
      <c r="P640" s="25">
        <v>0</v>
      </c>
      <c r="Q640" s="25">
        <v>0</v>
      </c>
      <c r="R640" s="25">
        <v>0</v>
      </c>
      <c r="S640" s="25">
        <v>0</v>
      </c>
      <c r="T640" s="25">
        <v>0</v>
      </c>
      <c r="U640" s="25">
        <v>1</v>
      </c>
      <c r="V640" s="25">
        <v>0</v>
      </c>
      <c r="W640" s="25">
        <v>0</v>
      </c>
      <c r="X640" s="25">
        <v>0</v>
      </c>
      <c r="Y640" s="25">
        <v>0</v>
      </c>
      <c r="Z640" s="25">
        <v>0</v>
      </c>
      <c r="AA640" s="25">
        <v>0</v>
      </c>
      <c r="AB640" s="25">
        <v>0</v>
      </c>
      <c r="AC640" s="25">
        <v>0</v>
      </c>
      <c r="AD640" s="25">
        <v>0</v>
      </c>
      <c r="AE640" s="25">
        <v>0</v>
      </c>
      <c r="AF640" s="25">
        <v>0</v>
      </c>
      <c r="AG640" s="25">
        <v>0.60884353700000005</v>
      </c>
      <c r="AH640" s="25">
        <v>0.60430839000000003</v>
      </c>
      <c r="AI640" s="25" t="s">
        <v>1571</v>
      </c>
      <c r="AJ640" s="14" t="s">
        <v>33</v>
      </c>
    </row>
    <row r="641" spans="1:36" x14ac:dyDescent="0.25">
      <c r="A641" s="1">
        <v>710</v>
      </c>
      <c r="B641" s="25" t="s">
        <v>844</v>
      </c>
      <c r="C641" s="25" t="s">
        <v>406</v>
      </c>
      <c r="D641" s="25" t="s">
        <v>19</v>
      </c>
      <c r="E641" s="25" t="s">
        <v>175</v>
      </c>
      <c r="F641" s="25">
        <v>338.65</v>
      </c>
      <c r="G641" s="25">
        <v>87</v>
      </c>
      <c r="H641" s="25">
        <v>0</v>
      </c>
      <c r="I641" s="25">
        <v>0</v>
      </c>
      <c r="J641" s="25">
        <v>0</v>
      </c>
      <c r="K641" s="25">
        <v>0</v>
      </c>
      <c r="L641" s="25">
        <v>0</v>
      </c>
      <c r="M641" s="25">
        <v>3</v>
      </c>
      <c r="N641" s="25">
        <v>20</v>
      </c>
      <c r="O641" s="25">
        <v>0</v>
      </c>
      <c r="P641" s="25">
        <v>0</v>
      </c>
      <c r="Q641" s="25">
        <v>0</v>
      </c>
      <c r="R641" s="25">
        <v>0</v>
      </c>
      <c r="S641" s="25">
        <v>0</v>
      </c>
      <c r="T641" s="25">
        <v>0</v>
      </c>
      <c r="U641" s="25">
        <v>0</v>
      </c>
      <c r="V641" s="25">
        <v>1</v>
      </c>
      <c r="W641" s="25">
        <v>0</v>
      </c>
      <c r="X641" s="25">
        <v>0</v>
      </c>
      <c r="Y641" s="25">
        <v>0</v>
      </c>
      <c r="Z641" s="25">
        <v>0</v>
      </c>
      <c r="AA641" s="25">
        <v>0</v>
      </c>
      <c r="AB641" s="25">
        <v>0</v>
      </c>
      <c r="AC641" s="25">
        <v>0</v>
      </c>
      <c r="AD641" s="25">
        <v>0</v>
      </c>
      <c r="AE641" s="25">
        <v>0</v>
      </c>
      <c r="AF641" s="25">
        <v>0</v>
      </c>
      <c r="AG641" s="25">
        <v>0.59895833300000001</v>
      </c>
      <c r="AH641" s="25">
        <v>0.620037807</v>
      </c>
      <c r="AI641" s="25" t="s">
        <v>1103</v>
      </c>
      <c r="AJ641" s="14" t="s">
        <v>33</v>
      </c>
    </row>
    <row r="642" spans="1:36" x14ac:dyDescent="0.25">
      <c r="A642" s="1">
        <v>711</v>
      </c>
      <c r="B642" s="14" t="s">
        <v>1809</v>
      </c>
      <c r="C642" s="14" t="s">
        <v>2159</v>
      </c>
      <c r="D642" s="25" t="s">
        <v>1930</v>
      </c>
      <c r="E642" s="29" t="s">
        <v>1810</v>
      </c>
      <c r="F642" s="14">
        <v>424.72800000000001</v>
      </c>
      <c r="G642" s="14">
        <v>88</v>
      </c>
      <c r="H642" s="14">
        <v>0</v>
      </c>
      <c r="I642" s="14">
        <v>0</v>
      </c>
      <c r="J642" s="14">
        <v>0</v>
      </c>
      <c r="K642" s="14">
        <v>0</v>
      </c>
      <c r="L642" s="14">
        <v>0</v>
      </c>
      <c r="M642" s="14">
        <v>2</v>
      </c>
      <c r="N642" s="14">
        <v>25</v>
      </c>
      <c r="O642" s="14">
        <v>0</v>
      </c>
      <c r="P642" s="14">
        <v>0</v>
      </c>
      <c r="Q642" s="14">
        <v>0</v>
      </c>
      <c r="R642" s="14">
        <v>0</v>
      </c>
      <c r="S642" s="14">
        <v>0</v>
      </c>
      <c r="T642" s="14">
        <v>0</v>
      </c>
      <c r="U642" s="14">
        <v>1</v>
      </c>
      <c r="V642" s="14">
        <v>0</v>
      </c>
      <c r="W642" s="14">
        <v>0</v>
      </c>
      <c r="X642" s="14">
        <v>0</v>
      </c>
      <c r="Y642" s="14">
        <v>0</v>
      </c>
      <c r="Z642" s="14">
        <v>0</v>
      </c>
      <c r="AA642" s="14">
        <v>0</v>
      </c>
      <c r="AB642" s="14">
        <v>0</v>
      </c>
      <c r="AC642" s="14">
        <v>0</v>
      </c>
      <c r="AD642" s="25">
        <v>0</v>
      </c>
      <c r="AE642" s="25">
        <v>0</v>
      </c>
      <c r="AF642" s="25">
        <v>0</v>
      </c>
      <c r="AG642" s="25">
        <v>0.64047866799999997</v>
      </c>
      <c r="AH642" s="25">
        <v>0.66388888899999998</v>
      </c>
      <c r="AI642" s="14" t="s">
        <v>1571</v>
      </c>
      <c r="AJ642" s="14" t="s">
        <v>33</v>
      </c>
    </row>
    <row r="643" spans="1:36" x14ac:dyDescent="0.25">
      <c r="A643" s="1">
        <v>712</v>
      </c>
      <c r="B643" s="25" t="s">
        <v>1292</v>
      </c>
      <c r="C643" s="25" t="s">
        <v>2160</v>
      </c>
      <c r="D643" s="25" t="s">
        <v>17</v>
      </c>
      <c r="E643" s="25" t="s">
        <v>205</v>
      </c>
      <c r="F643" s="25">
        <v>394.67498089999998</v>
      </c>
      <c r="G643" s="25">
        <v>88.2</v>
      </c>
      <c r="H643" s="25">
        <v>0</v>
      </c>
      <c r="I643" s="25">
        <v>1</v>
      </c>
      <c r="J643" s="25">
        <v>0</v>
      </c>
      <c r="K643" s="25">
        <v>1</v>
      </c>
      <c r="L643" s="25">
        <v>0</v>
      </c>
      <c r="M643" s="25">
        <v>3</v>
      </c>
      <c r="N643" s="25">
        <v>19</v>
      </c>
      <c r="O643" s="25">
        <v>0</v>
      </c>
      <c r="P643" s="25">
        <v>0</v>
      </c>
      <c r="Q643" s="25">
        <v>0</v>
      </c>
      <c r="R643" s="25">
        <v>0</v>
      </c>
      <c r="S643" s="25">
        <v>0</v>
      </c>
      <c r="T643" s="25">
        <v>0</v>
      </c>
      <c r="U643" s="25">
        <v>1</v>
      </c>
      <c r="V643" s="25">
        <v>1</v>
      </c>
      <c r="W643" s="25">
        <v>2</v>
      </c>
      <c r="X643" s="25">
        <v>0</v>
      </c>
      <c r="Y643" s="25">
        <v>0</v>
      </c>
      <c r="Z643" s="25">
        <v>0</v>
      </c>
      <c r="AA643" s="25">
        <v>0</v>
      </c>
      <c r="AB643" s="25">
        <v>0</v>
      </c>
      <c r="AC643" s="25">
        <v>0</v>
      </c>
      <c r="AD643" s="25">
        <v>0</v>
      </c>
      <c r="AE643" s="25">
        <v>0</v>
      </c>
      <c r="AF643" s="25">
        <v>0</v>
      </c>
      <c r="AG643" s="25">
        <v>0.62382934400000001</v>
      </c>
      <c r="AH643" s="25">
        <v>0.66052318700000001</v>
      </c>
      <c r="AI643" s="25" t="s">
        <v>1306</v>
      </c>
      <c r="AJ643" s="14" t="s">
        <v>33</v>
      </c>
    </row>
    <row r="644" spans="1:36" x14ac:dyDescent="0.25">
      <c r="A644" s="1">
        <v>714</v>
      </c>
      <c r="B644" s="25" t="s">
        <v>888</v>
      </c>
      <c r="C644" s="25" t="s">
        <v>256</v>
      </c>
      <c r="D644" s="25" t="s">
        <v>17</v>
      </c>
      <c r="E644" s="25" t="s">
        <v>63</v>
      </c>
      <c r="F644" s="25">
        <v>807.32</v>
      </c>
      <c r="G644" s="25">
        <v>89</v>
      </c>
      <c r="H644" s="25">
        <v>0</v>
      </c>
      <c r="I644" s="25">
        <v>0</v>
      </c>
      <c r="J644" s="25">
        <v>0</v>
      </c>
      <c r="K644" s="25">
        <v>0</v>
      </c>
      <c r="L644" s="25">
        <v>0</v>
      </c>
      <c r="M644" s="25">
        <v>3</v>
      </c>
      <c r="N644" s="25">
        <v>44</v>
      </c>
      <c r="O644" s="25">
        <v>0</v>
      </c>
      <c r="P644" s="25">
        <v>0</v>
      </c>
      <c r="Q644" s="25">
        <v>0</v>
      </c>
      <c r="R644" s="25">
        <v>0</v>
      </c>
      <c r="S644" s="25">
        <v>0</v>
      </c>
      <c r="T644" s="25">
        <v>0</v>
      </c>
      <c r="U644" s="25">
        <v>3</v>
      </c>
      <c r="V644" s="25">
        <v>1</v>
      </c>
      <c r="W644" s="25">
        <v>0</v>
      </c>
      <c r="X644" s="25">
        <v>0</v>
      </c>
      <c r="Y644" s="25">
        <v>0</v>
      </c>
      <c r="Z644" s="25">
        <v>0</v>
      </c>
      <c r="AA644" s="25">
        <v>0</v>
      </c>
      <c r="AB644" s="25">
        <v>0</v>
      </c>
      <c r="AC644" s="25">
        <v>0</v>
      </c>
      <c r="AD644" s="25">
        <v>0</v>
      </c>
      <c r="AE644" s="25">
        <v>0</v>
      </c>
      <c r="AF644" s="25">
        <v>0</v>
      </c>
      <c r="AG644" s="25">
        <v>0.72749260999999998</v>
      </c>
      <c r="AH644" s="25">
        <v>0.75380637699999997</v>
      </c>
      <c r="AI644" s="25" t="s">
        <v>941</v>
      </c>
      <c r="AJ644" s="14" t="s">
        <v>33</v>
      </c>
    </row>
    <row r="645" spans="1:36" x14ac:dyDescent="0.25">
      <c r="A645" s="1">
        <v>715</v>
      </c>
      <c r="B645" s="14" t="s">
        <v>1919</v>
      </c>
      <c r="C645" s="14" t="s">
        <v>2161</v>
      </c>
      <c r="D645" s="25" t="s">
        <v>1929</v>
      </c>
      <c r="E645" s="29" t="s">
        <v>1920</v>
      </c>
      <c r="F645" s="14">
        <v>370.55599999999998</v>
      </c>
      <c r="G645" s="14">
        <v>89</v>
      </c>
      <c r="H645" s="14">
        <v>0</v>
      </c>
      <c r="I645" s="14">
        <v>0</v>
      </c>
      <c r="J645" s="14">
        <v>0</v>
      </c>
      <c r="K645" s="14">
        <v>0</v>
      </c>
      <c r="L645" s="14">
        <v>0</v>
      </c>
      <c r="M645" s="14">
        <v>2</v>
      </c>
      <c r="N645" s="14">
        <v>18</v>
      </c>
      <c r="O645" s="14">
        <v>0</v>
      </c>
      <c r="P645" s="14">
        <v>0</v>
      </c>
      <c r="Q645" s="14">
        <v>0</v>
      </c>
      <c r="R645" s="14">
        <v>0</v>
      </c>
      <c r="S645" s="14">
        <v>0</v>
      </c>
      <c r="T645" s="14">
        <v>0</v>
      </c>
      <c r="U645" s="14">
        <v>2</v>
      </c>
      <c r="V645" s="14">
        <v>0</v>
      </c>
      <c r="W645" s="14">
        <v>0</v>
      </c>
      <c r="X645" s="14">
        <v>0</v>
      </c>
      <c r="Y645" s="14">
        <v>0</v>
      </c>
      <c r="Z645" s="14">
        <v>0</v>
      </c>
      <c r="AA645" s="14">
        <v>0</v>
      </c>
      <c r="AB645" s="14">
        <v>0</v>
      </c>
      <c r="AC645" s="14">
        <v>0</v>
      </c>
      <c r="AD645" s="25">
        <v>0</v>
      </c>
      <c r="AE645" s="25">
        <v>0</v>
      </c>
      <c r="AF645" s="25">
        <v>0</v>
      </c>
      <c r="AG645" s="25">
        <v>0.62946428600000004</v>
      </c>
      <c r="AH645" s="25">
        <v>0.64540466399999996</v>
      </c>
      <c r="AI645" s="14" t="s">
        <v>1571</v>
      </c>
      <c r="AJ645" s="14" t="s">
        <v>33</v>
      </c>
    </row>
    <row r="646" spans="1:36" x14ac:dyDescent="0.25">
      <c r="A646" s="1">
        <v>716</v>
      </c>
      <c r="B646" s="25" t="s">
        <v>695</v>
      </c>
      <c r="C646" s="25" t="s">
        <v>519</v>
      </c>
      <c r="D646" s="25" t="s">
        <v>17</v>
      </c>
      <c r="E646" s="25" t="s">
        <v>157</v>
      </c>
      <c r="F646" s="25">
        <v>312.52999999999997</v>
      </c>
      <c r="G646" s="25">
        <v>89.45</v>
      </c>
      <c r="H646" s="25">
        <v>0</v>
      </c>
      <c r="I646" s="25">
        <v>0</v>
      </c>
      <c r="J646" s="25">
        <v>0</v>
      </c>
      <c r="K646" s="25">
        <v>0</v>
      </c>
      <c r="L646" s="25">
        <v>0</v>
      </c>
      <c r="M646" s="25">
        <v>2</v>
      </c>
      <c r="N646" s="25">
        <v>17</v>
      </c>
      <c r="O646" s="25">
        <v>0</v>
      </c>
      <c r="P646" s="25">
        <v>0</v>
      </c>
      <c r="Q646" s="25">
        <v>0</v>
      </c>
      <c r="R646" s="25">
        <v>0</v>
      </c>
      <c r="S646" s="25">
        <v>0</v>
      </c>
      <c r="T646" s="25">
        <v>0</v>
      </c>
      <c r="U646" s="25">
        <v>1</v>
      </c>
      <c r="V646" s="25">
        <v>0</v>
      </c>
      <c r="W646" s="25">
        <v>0</v>
      </c>
      <c r="X646" s="25">
        <v>0</v>
      </c>
      <c r="Y646" s="25">
        <v>0</v>
      </c>
      <c r="Z646" s="25">
        <v>0</v>
      </c>
      <c r="AA646" s="25">
        <v>0</v>
      </c>
      <c r="AB646" s="25">
        <v>0</v>
      </c>
      <c r="AC646" s="25">
        <v>0</v>
      </c>
      <c r="AD646" s="25">
        <v>0</v>
      </c>
      <c r="AE646" s="25">
        <v>0</v>
      </c>
      <c r="AF646" s="25">
        <v>0</v>
      </c>
      <c r="AG646" s="25">
        <v>0.60227272700000001</v>
      </c>
      <c r="AH646" s="25">
        <v>0.61466942099999999</v>
      </c>
      <c r="AI646" s="25" t="s">
        <v>1214</v>
      </c>
      <c r="AJ646" s="14" t="s">
        <v>33</v>
      </c>
    </row>
    <row r="647" spans="1:36" x14ac:dyDescent="0.25">
      <c r="A647" s="1">
        <v>717</v>
      </c>
      <c r="B647" s="14" t="s">
        <v>632</v>
      </c>
      <c r="C647" s="14" t="s">
        <v>397</v>
      </c>
      <c r="D647" s="14" t="s">
        <v>12</v>
      </c>
      <c r="E647" s="29" t="s">
        <v>49</v>
      </c>
      <c r="F647" s="14">
        <v>252.48</v>
      </c>
      <c r="G647" s="14">
        <v>90</v>
      </c>
      <c r="H647" s="14">
        <v>0</v>
      </c>
      <c r="I647" s="14">
        <v>1</v>
      </c>
      <c r="J647" s="14">
        <v>0</v>
      </c>
      <c r="K647" s="14">
        <v>1</v>
      </c>
      <c r="L647" s="14">
        <v>0</v>
      </c>
      <c r="M647" s="14">
        <v>1</v>
      </c>
      <c r="N647" s="14">
        <v>15</v>
      </c>
      <c r="O647" s="14">
        <v>0</v>
      </c>
      <c r="P647" s="14">
        <v>0</v>
      </c>
      <c r="Q647" s="14">
        <v>0</v>
      </c>
      <c r="R647" s="14">
        <v>0</v>
      </c>
      <c r="S647" s="14">
        <v>0</v>
      </c>
      <c r="T647" s="14">
        <v>0</v>
      </c>
      <c r="U647" s="14">
        <v>0</v>
      </c>
      <c r="V647" s="14">
        <v>0</v>
      </c>
      <c r="W647" s="14">
        <v>1</v>
      </c>
      <c r="X647" s="14">
        <v>0</v>
      </c>
      <c r="Y647" s="14">
        <v>1</v>
      </c>
      <c r="Z647" s="14">
        <v>0</v>
      </c>
      <c r="AA647" s="14">
        <v>0</v>
      </c>
      <c r="AB647" s="14">
        <v>0</v>
      </c>
      <c r="AC647" s="14">
        <v>0</v>
      </c>
      <c r="AD647" s="25">
        <v>0</v>
      </c>
      <c r="AE647" s="25">
        <v>0</v>
      </c>
      <c r="AF647" s="25">
        <v>0</v>
      </c>
      <c r="AG647" s="25">
        <v>0.57253086399999997</v>
      </c>
      <c r="AH647" s="25">
        <v>0.57253086399999997</v>
      </c>
      <c r="AI647" s="14" t="s">
        <v>1094</v>
      </c>
      <c r="AJ647" s="14" t="s">
        <v>33</v>
      </c>
    </row>
    <row r="648" spans="1:36" x14ac:dyDescent="0.25">
      <c r="A648" s="1">
        <v>718</v>
      </c>
      <c r="B648" s="25" t="s">
        <v>1674</v>
      </c>
      <c r="C648" s="25" t="s">
        <v>2162</v>
      </c>
      <c r="D648" s="25" t="s">
        <v>12</v>
      </c>
      <c r="E648" s="25" t="s">
        <v>49</v>
      </c>
      <c r="F648" s="25">
        <v>252.46799999999999</v>
      </c>
      <c r="G648" s="25">
        <v>90</v>
      </c>
      <c r="H648" s="25">
        <v>0</v>
      </c>
      <c r="I648" s="25">
        <v>1</v>
      </c>
      <c r="J648" s="25">
        <v>0</v>
      </c>
      <c r="K648" s="25">
        <v>1</v>
      </c>
      <c r="L648" s="25">
        <v>0</v>
      </c>
      <c r="M648" s="25">
        <v>1</v>
      </c>
      <c r="N648" s="25">
        <v>15</v>
      </c>
      <c r="O648" s="25">
        <v>0</v>
      </c>
      <c r="P648" s="25">
        <v>0</v>
      </c>
      <c r="Q648" s="25">
        <v>0</v>
      </c>
      <c r="R648" s="25">
        <v>0</v>
      </c>
      <c r="S648" s="25">
        <v>0</v>
      </c>
      <c r="T648" s="25">
        <v>0</v>
      </c>
      <c r="U648" s="25">
        <v>0</v>
      </c>
      <c r="V648" s="25">
        <v>0</v>
      </c>
      <c r="W648" s="25">
        <v>1</v>
      </c>
      <c r="X648" s="25">
        <v>0</v>
      </c>
      <c r="Y648" s="25">
        <v>1</v>
      </c>
      <c r="Z648" s="25">
        <v>0</v>
      </c>
      <c r="AA648" s="25">
        <v>0</v>
      </c>
      <c r="AB648" s="25">
        <v>0</v>
      </c>
      <c r="AC648" s="25">
        <v>0</v>
      </c>
      <c r="AD648" s="25">
        <v>0</v>
      </c>
      <c r="AE648" s="25">
        <v>0</v>
      </c>
      <c r="AF648" s="25">
        <v>0</v>
      </c>
      <c r="AG648" s="25">
        <v>0.57253086399999997</v>
      </c>
      <c r="AH648" s="25">
        <v>0.57561728400000001</v>
      </c>
      <c r="AI648" s="25" t="s">
        <v>1571</v>
      </c>
      <c r="AJ648" s="14" t="s">
        <v>33</v>
      </c>
    </row>
    <row r="649" spans="1:36" x14ac:dyDescent="0.25">
      <c r="A649" s="1">
        <v>719</v>
      </c>
      <c r="B649" s="14" t="s">
        <v>1799</v>
      </c>
      <c r="C649" s="14" t="s">
        <v>2163</v>
      </c>
      <c r="D649" s="14" t="s">
        <v>1930</v>
      </c>
      <c r="E649" s="29" t="s">
        <v>157</v>
      </c>
      <c r="F649" s="14">
        <v>312.52</v>
      </c>
      <c r="G649" s="14">
        <v>90</v>
      </c>
      <c r="H649" s="14">
        <v>0</v>
      </c>
      <c r="I649" s="14">
        <v>0</v>
      </c>
      <c r="J649" s="14">
        <v>0</v>
      </c>
      <c r="K649" s="14">
        <v>0</v>
      </c>
      <c r="L649" s="14">
        <v>0</v>
      </c>
      <c r="M649" s="14">
        <v>2</v>
      </c>
      <c r="N649" s="14">
        <v>17</v>
      </c>
      <c r="O649" s="14">
        <v>0</v>
      </c>
      <c r="P649" s="14">
        <v>0</v>
      </c>
      <c r="Q649" s="14">
        <v>0</v>
      </c>
      <c r="R649" s="14">
        <v>0</v>
      </c>
      <c r="S649" s="14">
        <v>0</v>
      </c>
      <c r="T649" s="14">
        <v>0</v>
      </c>
      <c r="U649" s="14">
        <v>1</v>
      </c>
      <c r="V649" s="14">
        <v>0</v>
      </c>
      <c r="W649" s="14">
        <v>0</v>
      </c>
      <c r="X649" s="14">
        <v>0</v>
      </c>
      <c r="Y649" s="14">
        <v>0</v>
      </c>
      <c r="Z649" s="14">
        <v>0</v>
      </c>
      <c r="AA649" s="14">
        <v>0</v>
      </c>
      <c r="AB649" s="14">
        <v>0</v>
      </c>
      <c r="AC649" s="14">
        <v>0</v>
      </c>
      <c r="AD649" s="25">
        <v>0</v>
      </c>
      <c r="AE649" s="25">
        <v>0</v>
      </c>
      <c r="AF649" s="25">
        <v>0</v>
      </c>
      <c r="AG649" s="25">
        <v>0.61533888199999998</v>
      </c>
      <c r="AH649" s="25">
        <v>0.61673553699999994</v>
      </c>
      <c r="AI649" s="14" t="s">
        <v>1571</v>
      </c>
      <c r="AJ649" s="14" t="s">
        <v>33</v>
      </c>
    </row>
    <row r="650" spans="1:36" x14ac:dyDescent="0.25">
      <c r="A650" s="1">
        <v>720</v>
      </c>
      <c r="B650" s="14" t="s">
        <v>762</v>
      </c>
      <c r="C650" s="14" t="s">
        <v>500</v>
      </c>
      <c r="D650" s="14" t="s">
        <v>19</v>
      </c>
      <c r="E650" s="29" t="s">
        <v>172</v>
      </c>
      <c r="F650" s="14">
        <v>184.36</v>
      </c>
      <c r="G650" s="14">
        <v>90</v>
      </c>
      <c r="H650" s="14">
        <v>0</v>
      </c>
      <c r="I650" s="14">
        <v>0</v>
      </c>
      <c r="J650" s="14">
        <v>0</v>
      </c>
      <c r="K650" s="14">
        <v>0</v>
      </c>
      <c r="L650" s="14">
        <v>0</v>
      </c>
      <c r="M650" s="14">
        <v>2</v>
      </c>
      <c r="N650" s="14">
        <v>11</v>
      </c>
      <c r="O650" s="14">
        <v>0</v>
      </c>
      <c r="P650" s="14">
        <v>0</v>
      </c>
      <c r="Q650" s="14">
        <v>0</v>
      </c>
      <c r="R650" s="14">
        <v>0</v>
      </c>
      <c r="S650" s="14">
        <v>0</v>
      </c>
      <c r="T650" s="14">
        <v>0</v>
      </c>
      <c r="U650" s="14">
        <v>0</v>
      </c>
      <c r="V650" s="14">
        <v>0</v>
      </c>
      <c r="W650" s="14">
        <v>0</v>
      </c>
      <c r="X650" s="14">
        <v>0</v>
      </c>
      <c r="Y650" s="14">
        <v>0</v>
      </c>
      <c r="Z650" s="14">
        <v>0</v>
      </c>
      <c r="AA650" s="14">
        <v>0</v>
      </c>
      <c r="AB650" s="14">
        <v>0</v>
      </c>
      <c r="AC650" s="14">
        <v>0</v>
      </c>
      <c r="AD650" s="25">
        <v>0</v>
      </c>
      <c r="AE650" s="25">
        <v>0</v>
      </c>
      <c r="AF650" s="25">
        <v>0</v>
      </c>
      <c r="AG650" s="25">
        <v>0.48224852099999999</v>
      </c>
      <c r="AH650" s="25">
        <v>0.49652777799999998</v>
      </c>
      <c r="AI650" s="14" t="s">
        <v>1194</v>
      </c>
      <c r="AJ650" s="14" t="s">
        <v>33</v>
      </c>
    </row>
    <row r="651" spans="1:36" x14ac:dyDescent="0.25">
      <c r="A651" s="1">
        <v>721</v>
      </c>
      <c r="B651" s="14" t="s">
        <v>1806</v>
      </c>
      <c r="C651" s="14" t="s">
        <v>2164</v>
      </c>
      <c r="D651" s="14" t="s">
        <v>1930</v>
      </c>
      <c r="E651" s="29" t="s">
        <v>1807</v>
      </c>
      <c r="F651" s="14">
        <v>396.67599999999999</v>
      </c>
      <c r="G651" s="14">
        <v>91</v>
      </c>
      <c r="H651" s="14">
        <v>0</v>
      </c>
      <c r="I651" s="14">
        <v>0</v>
      </c>
      <c r="J651" s="14">
        <v>0</v>
      </c>
      <c r="K651" s="14">
        <v>0</v>
      </c>
      <c r="L651" s="14">
        <v>0</v>
      </c>
      <c r="M651" s="14">
        <v>2</v>
      </c>
      <c r="N651" s="14">
        <v>23</v>
      </c>
      <c r="O651" s="14">
        <v>0</v>
      </c>
      <c r="P651" s="14">
        <v>0</v>
      </c>
      <c r="Q651" s="14">
        <v>0</v>
      </c>
      <c r="R651" s="14">
        <v>0</v>
      </c>
      <c r="S651" s="14">
        <v>0</v>
      </c>
      <c r="T651" s="14">
        <v>0</v>
      </c>
      <c r="U651" s="14">
        <v>1</v>
      </c>
      <c r="V651" s="14">
        <v>0</v>
      </c>
      <c r="W651" s="14">
        <v>0</v>
      </c>
      <c r="X651" s="14">
        <v>0</v>
      </c>
      <c r="Y651" s="14">
        <v>0</v>
      </c>
      <c r="Z651" s="14">
        <v>0</v>
      </c>
      <c r="AA651" s="14">
        <v>0</v>
      </c>
      <c r="AB651" s="14">
        <v>0</v>
      </c>
      <c r="AC651" s="14">
        <v>0</v>
      </c>
      <c r="AD651" s="25">
        <v>0</v>
      </c>
      <c r="AE651" s="25">
        <v>0</v>
      </c>
      <c r="AF651" s="25">
        <v>0</v>
      </c>
      <c r="AG651" s="25">
        <v>0.63793103399999995</v>
      </c>
      <c r="AH651" s="25">
        <v>0.65369898000000004</v>
      </c>
      <c r="AI651" s="14" t="s">
        <v>1571</v>
      </c>
      <c r="AJ651" s="14" t="s">
        <v>33</v>
      </c>
    </row>
    <row r="652" spans="1:36" x14ac:dyDescent="0.25">
      <c r="A652" s="1">
        <v>722</v>
      </c>
      <c r="B652" s="25" t="s">
        <v>845</v>
      </c>
      <c r="C652" s="25" t="s">
        <v>307</v>
      </c>
      <c r="D652" s="25" t="s">
        <v>19</v>
      </c>
      <c r="E652" s="25" t="s">
        <v>70</v>
      </c>
      <c r="F652" s="25">
        <v>254.49</v>
      </c>
      <c r="G652" s="25">
        <v>91</v>
      </c>
      <c r="H652" s="25">
        <v>0</v>
      </c>
      <c r="I652" s="25">
        <v>0</v>
      </c>
      <c r="J652" s="25">
        <v>0</v>
      </c>
      <c r="K652" s="25">
        <v>0</v>
      </c>
      <c r="L652" s="25">
        <v>0</v>
      </c>
      <c r="M652" s="25">
        <v>3</v>
      </c>
      <c r="N652" s="25">
        <v>14</v>
      </c>
      <c r="O652" s="25">
        <v>0</v>
      </c>
      <c r="P652" s="25">
        <v>0</v>
      </c>
      <c r="Q652" s="25">
        <v>0</v>
      </c>
      <c r="R652" s="25">
        <v>0</v>
      </c>
      <c r="S652" s="25">
        <v>0</v>
      </c>
      <c r="T652" s="25">
        <v>0</v>
      </c>
      <c r="U652" s="25">
        <v>0</v>
      </c>
      <c r="V652" s="25">
        <v>1</v>
      </c>
      <c r="W652" s="25">
        <v>0</v>
      </c>
      <c r="X652" s="25">
        <v>0</v>
      </c>
      <c r="Y652" s="25">
        <v>0</v>
      </c>
      <c r="Z652" s="25">
        <v>0</v>
      </c>
      <c r="AA652" s="25">
        <v>0</v>
      </c>
      <c r="AB652" s="25">
        <v>0</v>
      </c>
      <c r="AC652" s="25">
        <v>0</v>
      </c>
      <c r="AD652" s="25">
        <v>0</v>
      </c>
      <c r="AE652" s="25">
        <v>0</v>
      </c>
      <c r="AF652" s="25">
        <v>0</v>
      </c>
      <c r="AG652" s="25">
        <v>0.56122448999999996</v>
      </c>
      <c r="AH652" s="25">
        <v>0.56920415199999996</v>
      </c>
      <c r="AI652" s="25" t="s">
        <v>998</v>
      </c>
      <c r="AJ652" s="14" t="s">
        <v>33</v>
      </c>
    </row>
    <row r="653" spans="1:36" x14ac:dyDescent="0.25">
      <c r="A653" s="1">
        <v>724</v>
      </c>
      <c r="B653" s="14" t="s">
        <v>849</v>
      </c>
      <c r="C653" s="14" t="s">
        <v>330</v>
      </c>
      <c r="D653" s="14" t="s">
        <v>7</v>
      </c>
      <c r="E653" s="29" t="s">
        <v>127</v>
      </c>
      <c r="F653" s="14">
        <v>198.39</v>
      </c>
      <c r="G653" s="14">
        <v>95</v>
      </c>
      <c r="H653" s="14">
        <v>0</v>
      </c>
      <c r="I653" s="14">
        <v>0</v>
      </c>
      <c r="J653" s="14">
        <v>0</v>
      </c>
      <c r="K653" s="14">
        <v>0</v>
      </c>
      <c r="L653" s="14">
        <v>0</v>
      </c>
      <c r="M653" s="14">
        <v>2</v>
      </c>
      <c r="N653" s="14">
        <v>12</v>
      </c>
      <c r="O653" s="14">
        <v>0</v>
      </c>
      <c r="P653" s="14">
        <v>0</v>
      </c>
      <c r="Q653" s="14">
        <v>0</v>
      </c>
      <c r="R653" s="14">
        <v>0</v>
      </c>
      <c r="S653" s="14">
        <v>0</v>
      </c>
      <c r="T653" s="14">
        <v>0</v>
      </c>
      <c r="U653" s="14">
        <v>0</v>
      </c>
      <c r="V653" s="14">
        <v>0</v>
      </c>
      <c r="W653" s="14">
        <v>0</v>
      </c>
      <c r="X653" s="14">
        <v>0</v>
      </c>
      <c r="Y653" s="14">
        <v>0</v>
      </c>
      <c r="Z653" s="14">
        <v>0</v>
      </c>
      <c r="AA653" s="14">
        <v>0</v>
      </c>
      <c r="AB653" s="14">
        <v>0</v>
      </c>
      <c r="AC653" s="14">
        <v>0</v>
      </c>
      <c r="AD653" s="25">
        <v>0</v>
      </c>
      <c r="AE653" s="25">
        <v>0</v>
      </c>
      <c r="AF653" s="25">
        <v>0</v>
      </c>
      <c r="AG653" s="25">
        <v>0.48724489799999998</v>
      </c>
      <c r="AH653" s="25">
        <v>0.51183431999999995</v>
      </c>
      <c r="AI653" s="14" t="s">
        <v>1022</v>
      </c>
      <c r="AJ653" s="14" t="s">
        <v>33</v>
      </c>
    </row>
    <row r="654" spans="1:36" x14ac:dyDescent="0.25">
      <c r="A654" s="1">
        <v>725</v>
      </c>
      <c r="B654" s="14" t="s">
        <v>848</v>
      </c>
      <c r="C654" s="14" t="s">
        <v>499</v>
      </c>
      <c r="D654" s="14" t="s">
        <v>19</v>
      </c>
      <c r="E654" s="29" t="s">
        <v>76</v>
      </c>
      <c r="F654" s="14">
        <v>212.41</v>
      </c>
      <c r="G654" s="14">
        <v>96</v>
      </c>
      <c r="H654" s="14">
        <v>0</v>
      </c>
      <c r="I654" s="14">
        <v>0</v>
      </c>
      <c r="J654" s="14">
        <v>0</v>
      </c>
      <c r="K654" s="14">
        <v>0</v>
      </c>
      <c r="L654" s="14">
        <v>0</v>
      </c>
      <c r="M654" s="14">
        <v>2</v>
      </c>
      <c r="N654" s="14">
        <v>13</v>
      </c>
      <c r="O654" s="14">
        <v>0</v>
      </c>
      <c r="P654" s="14">
        <v>0</v>
      </c>
      <c r="Q654" s="14">
        <v>0</v>
      </c>
      <c r="R654" s="14">
        <v>0</v>
      </c>
      <c r="S654" s="14">
        <v>0</v>
      </c>
      <c r="T654" s="14">
        <v>0</v>
      </c>
      <c r="U654" s="14">
        <v>0</v>
      </c>
      <c r="V654" s="14">
        <v>0</v>
      </c>
      <c r="W654" s="14">
        <v>0</v>
      </c>
      <c r="X654" s="14">
        <v>0</v>
      </c>
      <c r="Y654" s="14">
        <v>0</v>
      </c>
      <c r="Z654" s="14">
        <v>0</v>
      </c>
      <c r="AA654" s="14">
        <v>0</v>
      </c>
      <c r="AB654" s="14">
        <v>0</v>
      </c>
      <c r="AC654" s="14">
        <v>0</v>
      </c>
      <c r="AD654" s="25">
        <v>0</v>
      </c>
      <c r="AE654" s="25">
        <v>0</v>
      </c>
      <c r="AF654" s="25">
        <v>0</v>
      </c>
      <c r="AG654" s="25">
        <v>0.50888888899999996</v>
      </c>
      <c r="AH654" s="25">
        <v>0.533163265</v>
      </c>
      <c r="AI654" s="14" t="s">
        <v>1193</v>
      </c>
      <c r="AJ654" s="14" t="s">
        <v>33</v>
      </c>
    </row>
    <row r="655" spans="1:36" x14ac:dyDescent="0.25">
      <c r="A655" s="1">
        <v>726</v>
      </c>
      <c r="B655" s="14" t="s">
        <v>720</v>
      </c>
      <c r="C655" s="14" t="s">
        <v>337</v>
      </c>
      <c r="D655" s="14" t="s">
        <v>18</v>
      </c>
      <c r="E655" s="29" t="s">
        <v>131</v>
      </c>
      <c r="F655" s="14">
        <v>158.28</v>
      </c>
      <c r="G655" s="14">
        <v>96.3</v>
      </c>
      <c r="H655" s="14">
        <v>0</v>
      </c>
      <c r="I655" s="14">
        <v>0</v>
      </c>
      <c r="J655" s="14">
        <v>0</v>
      </c>
      <c r="K655" s="14">
        <v>0</v>
      </c>
      <c r="L655" s="14">
        <v>0</v>
      </c>
      <c r="M655" s="14">
        <v>4</v>
      </c>
      <c r="N655" s="14">
        <v>4</v>
      </c>
      <c r="O655" s="14">
        <v>0</v>
      </c>
      <c r="P655" s="14">
        <v>1</v>
      </c>
      <c r="Q655" s="14">
        <v>0</v>
      </c>
      <c r="R655" s="14">
        <v>0</v>
      </c>
      <c r="S655" s="14">
        <v>0</v>
      </c>
      <c r="T655" s="14">
        <v>0</v>
      </c>
      <c r="U655" s="14">
        <v>0</v>
      </c>
      <c r="V655" s="14">
        <v>2</v>
      </c>
      <c r="W655" s="14">
        <v>0</v>
      </c>
      <c r="X655" s="14">
        <v>0</v>
      </c>
      <c r="Y655" s="14">
        <v>0</v>
      </c>
      <c r="Z655" s="14">
        <v>0</v>
      </c>
      <c r="AA655" s="14">
        <v>0</v>
      </c>
      <c r="AB655" s="14">
        <v>0</v>
      </c>
      <c r="AC655" s="14">
        <v>0</v>
      </c>
      <c r="AD655" s="25">
        <v>0</v>
      </c>
      <c r="AE655" s="25">
        <v>0</v>
      </c>
      <c r="AF655" s="25">
        <v>0</v>
      </c>
      <c r="AG655" s="25">
        <v>0.433884298</v>
      </c>
      <c r="AH655" s="25">
        <v>0.44500000000000001</v>
      </c>
      <c r="AI655" s="14" t="s">
        <v>1029</v>
      </c>
      <c r="AJ655" s="14" t="s">
        <v>33</v>
      </c>
    </row>
    <row r="656" spans="1:36" x14ac:dyDescent="0.25">
      <c r="A656" s="1">
        <v>727</v>
      </c>
      <c r="B656" s="14" t="s">
        <v>711</v>
      </c>
      <c r="C656" s="14" t="s">
        <v>325</v>
      </c>
      <c r="D656" s="14" t="s">
        <v>17</v>
      </c>
      <c r="E656" s="29" t="s">
        <v>65</v>
      </c>
      <c r="F656" s="14">
        <v>326.56</v>
      </c>
      <c r="G656" s="14">
        <v>96.5</v>
      </c>
      <c r="H656" s="14">
        <v>0</v>
      </c>
      <c r="I656" s="14">
        <v>0</v>
      </c>
      <c r="J656" s="14">
        <v>0</v>
      </c>
      <c r="K656" s="14">
        <v>0</v>
      </c>
      <c r="L656" s="14">
        <v>0</v>
      </c>
      <c r="M656" s="14">
        <v>3</v>
      </c>
      <c r="N656" s="14">
        <v>16</v>
      </c>
      <c r="O656" s="14">
        <v>0</v>
      </c>
      <c r="P656" s="14">
        <v>0</v>
      </c>
      <c r="Q656" s="14">
        <v>0</v>
      </c>
      <c r="R656" s="14">
        <v>0</v>
      </c>
      <c r="S656" s="14">
        <v>0</v>
      </c>
      <c r="T656" s="14">
        <v>0</v>
      </c>
      <c r="U656" s="14">
        <v>1</v>
      </c>
      <c r="V656" s="14">
        <v>1</v>
      </c>
      <c r="W656" s="14">
        <v>0</v>
      </c>
      <c r="X656" s="14">
        <v>0</v>
      </c>
      <c r="Y656" s="14">
        <v>0</v>
      </c>
      <c r="Z656" s="14">
        <v>0</v>
      </c>
      <c r="AA656" s="14">
        <v>0</v>
      </c>
      <c r="AB656" s="14">
        <v>0</v>
      </c>
      <c r="AC656" s="14">
        <v>0</v>
      </c>
      <c r="AD656" s="25">
        <v>0</v>
      </c>
      <c r="AE656" s="25">
        <v>0</v>
      </c>
      <c r="AF656" s="25">
        <v>0</v>
      </c>
      <c r="AG656" s="25">
        <v>0.58160000000000001</v>
      </c>
      <c r="AH656" s="25">
        <v>0.617202268</v>
      </c>
      <c r="AI656" s="14" t="s">
        <v>1017</v>
      </c>
      <c r="AJ656" s="14" t="s">
        <v>33</v>
      </c>
    </row>
    <row r="657" spans="1:36" x14ac:dyDescent="0.25">
      <c r="A657" s="1">
        <v>728</v>
      </c>
      <c r="B657" s="25" t="s">
        <v>708</v>
      </c>
      <c r="C657" s="25" t="s">
        <v>381</v>
      </c>
      <c r="D657" s="25" t="s">
        <v>17</v>
      </c>
      <c r="E657" s="25" t="s">
        <v>59</v>
      </c>
      <c r="F657" s="25">
        <v>340.58</v>
      </c>
      <c r="G657" s="25">
        <v>97.5</v>
      </c>
      <c r="H657" s="25">
        <v>0</v>
      </c>
      <c r="I657" s="25">
        <v>0</v>
      </c>
      <c r="J657" s="25">
        <v>0</v>
      </c>
      <c r="K657" s="25">
        <v>0</v>
      </c>
      <c r="L657" s="25">
        <v>0</v>
      </c>
      <c r="M657" s="25">
        <v>3</v>
      </c>
      <c r="N657" s="25">
        <v>17</v>
      </c>
      <c r="O657" s="25">
        <v>0</v>
      </c>
      <c r="P657" s="25">
        <v>0</v>
      </c>
      <c r="Q657" s="25">
        <v>0</v>
      </c>
      <c r="R657" s="25">
        <v>0</v>
      </c>
      <c r="S657" s="25">
        <v>0</v>
      </c>
      <c r="T657" s="25">
        <v>0</v>
      </c>
      <c r="U657" s="25">
        <v>1</v>
      </c>
      <c r="V657" s="25">
        <v>1</v>
      </c>
      <c r="W657" s="25">
        <v>0</v>
      </c>
      <c r="X657" s="25">
        <v>0</v>
      </c>
      <c r="Y657" s="25">
        <v>0</v>
      </c>
      <c r="Z657" s="25">
        <v>0</v>
      </c>
      <c r="AA657" s="25">
        <v>0</v>
      </c>
      <c r="AB657" s="25">
        <v>0</v>
      </c>
      <c r="AC657" s="25">
        <v>0</v>
      </c>
      <c r="AD657" s="25">
        <v>0</v>
      </c>
      <c r="AE657" s="25">
        <v>0</v>
      </c>
      <c r="AF657" s="25">
        <v>0</v>
      </c>
      <c r="AG657" s="25">
        <v>0.62065972199999997</v>
      </c>
      <c r="AH657" s="25">
        <v>0.63107638899999996</v>
      </c>
      <c r="AI657" s="25" t="s">
        <v>1079</v>
      </c>
      <c r="AJ657" s="14" t="s">
        <v>33</v>
      </c>
    </row>
    <row r="658" spans="1:36" x14ac:dyDescent="0.25">
      <c r="A658" s="1">
        <v>730</v>
      </c>
      <c r="B658" s="14" t="s">
        <v>584</v>
      </c>
      <c r="C658" s="14" t="s">
        <v>252</v>
      </c>
      <c r="D658" s="14" t="s">
        <v>17</v>
      </c>
      <c r="E658" s="29" t="s">
        <v>59</v>
      </c>
      <c r="F658" s="14">
        <v>340.58</v>
      </c>
      <c r="G658" s="14">
        <v>99.3</v>
      </c>
      <c r="H658" s="14">
        <v>0</v>
      </c>
      <c r="I658" s="14">
        <v>0</v>
      </c>
      <c r="J658" s="14">
        <v>0</v>
      </c>
      <c r="K658" s="14">
        <v>0</v>
      </c>
      <c r="L658" s="14">
        <v>0</v>
      </c>
      <c r="M658" s="14">
        <v>3</v>
      </c>
      <c r="N658" s="14">
        <v>17</v>
      </c>
      <c r="O658" s="14">
        <v>0</v>
      </c>
      <c r="P658" s="14">
        <v>0</v>
      </c>
      <c r="Q658" s="14">
        <v>0</v>
      </c>
      <c r="R658" s="14">
        <v>0</v>
      </c>
      <c r="S658" s="14">
        <v>0</v>
      </c>
      <c r="T658" s="14">
        <v>0</v>
      </c>
      <c r="U658" s="14">
        <v>1</v>
      </c>
      <c r="V658" s="14">
        <v>1</v>
      </c>
      <c r="W658" s="14">
        <v>0</v>
      </c>
      <c r="X658" s="14">
        <v>0</v>
      </c>
      <c r="Y658" s="14">
        <v>0</v>
      </c>
      <c r="Z658" s="14">
        <v>0</v>
      </c>
      <c r="AA658" s="14">
        <v>0</v>
      </c>
      <c r="AB658" s="14">
        <v>0</v>
      </c>
      <c r="AC658" s="14">
        <v>0</v>
      </c>
      <c r="AD658" s="25">
        <v>0</v>
      </c>
      <c r="AE658" s="25">
        <v>0</v>
      </c>
      <c r="AF658" s="25">
        <v>0</v>
      </c>
      <c r="AG658" s="25">
        <v>0.62065972199999997</v>
      </c>
      <c r="AH658" s="25">
        <v>0.62760416699999999</v>
      </c>
      <c r="AI658" s="14" t="s">
        <v>935</v>
      </c>
      <c r="AJ658" s="14" t="s">
        <v>33</v>
      </c>
    </row>
    <row r="659" spans="1:36" x14ac:dyDescent="0.25">
      <c r="A659" s="1">
        <v>732</v>
      </c>
      <c r="B659" s="14" t="s">
        <v>703</v>
      </c>
      <c r="C659" s="14" t="s">
        <v>257</v>
      </c>
      <c r="D659" s="14" t="s">
        <v>17</v>
      </c>
      <c r="E659" s="29" t="s">
        <v>65</v>
      </c>
      <c r="F659" s="14">
        <v>326.56</v>
      </c>
      <c r="G659" s="14">
        <v>100</v>
      </c>
      <c r="H659" s="14">
        <v>0</v>
      </c>
      <c r="I659" s="14">
        <v>0</v>
      </c>
      <c r="J659" s="14">
        <v>0</v>
      </c>
      <c r="K659" s="14">
        <v>0</v>
      </c>
      <c r="L659" s="14">
        <v>0</v>
      </c>
      <c r="M659" s="14">
        <v>2</v>
      </c>
      <c r="N659" s="14">
        <v>18</v>
      </c>
      <c r="O659" s="14">
        <v>0</v>
      </c>
      <c r="P659" s="14">
        <v>0</v>
      </c>
      <c r="Q659" s="14">
        <v>0</v>
      </c>
      <c r="R659" s="14">
        <v>0</v>
      </c>
      <c r="S659" s="14">
        <v>0</v>
      </c>
      <c r="T659" s="14">
        <v>0</v>
      </c>
      <c r="U659" s="14">
        <v>1</v>
      </c>
      <c r="V659" s="14">
        <v>0</v>
      </c>
      <c r="W659" s="14">
        <v>0</v>
      </c>
      <c r="X659" s="14">
        <v>0</v>
      </c>
      <c r="Y659" s="14">
        <v>0</v>
      </c>
      <c r="Z659" s="14">
        <v>0</v>
      </c>
      <c r="AA659" s="14">
        <v>0</v>
      </c>
      <c r="AB659" s="14">
        <v>0</v>
      </c>
      <c r="AC659" s="14">
        <v>0</v>
      </c>
      <c r="AD659" s="25">
        <v>0</v>
      </c>
      <c r="AE659" s="25">
        <v>0</v>
      </c>
      <c r="AF659" s="25">
        <v>0</v>
      </c>
      <c r="AG659" s="25">
        <v>0.58160000000000001</v>
      </c>
      <c r="AH659" s="25">
        <v>0.624763705</v>
      </c>
      <c r="AI659" s="14" t="s">
        <v>943</v>
      </c>
      <c r="AJ659" s="14" t="s">
        <v>33</v>
      </c>
    </row>
    <row r="660" spans="1:36" x14ac:dyDescent="0.25">
      <c r="A660" s="1">
        <v>734</v>
      </c>
      <c r="B660" s="25" t="s">
        <v>890</v>
      </c>
      <c r="C660" s="25" t="s">
        <v>529</v>
      </c>
      <c r="D660" s="25" t="s">
        <v>17</v>
      </c>
      <c r="E660" s="25" t="s">
        <v>225</v>
      </c>
      <c r="F660" s="25">
        <v>723.16</v>
      </c>
      <c r="G660" s="25">
        <v>100</v>
      </c>
      <c r="H660" s="25">
        <v>0</v>
      </c>
      <c r="I660" s="25">
        <v>0</v>
      </c>
      <c r="J660" s="25">
        <v>0</v>
      </c>
      <c r="K660" s="25">
        <v>0</v>
      </c>
      <c r="L660" s="25">
        <v>0</v>
      </c>
      <c r="M660" s="25">
        <v>3</v>
      </c>
      <c r="N660" s="25">
        <v>38</v>
      </c>
      <c r="O660" s="25">
        <v>0</v>
      </c>
      <c r="P660" s="25">
        <v>0</v>
      </c>
      <c r="Q660" s="25">
        <v>0</v>
      </c>
      <c r="R660" s="25">
        <v>0</v>
      </c>
      <c r="S660" s="25">
        <v>0</v>
      </c>
      <c r="T660" s="25">
        <v>0</v>
      </c>
      <c r="U660" s="25">
        <v>3</v>
      </c>
      <c r="V660" s="25">
        <v>1</v>
      </c>
      <c r="W660" s="25">
        <v>0</v>
      </c>
      <c r="X660" s="25">
        <v>0</v>
      </c>
      <c r="Y660" s="25">
        <v>0</v>
      </c>
      <c r="Z660" s="25">
        <v>0</v>
      </c>
      <c r="AA660" s="25">
        <v>0</v>
      </c>
      <c r="AB660" s="25">
        <v>0</v>
      </c>
      <c r="AC660" s="25">
        <v>0</v>
      </c>
      <c r="AD660" s="25">
        <v>0</v>
      </c>
      <c r="AE660" s="25">
        <v>0</v>
      </c>
      <c r="AF660" s="25">
        <v>0</v>
      </c>
      <c r="AG660" s="25">
        <v>0.70743801699999997</v>
      </c>
      <c r="AH660" s="25">
        <v>0.74190103200000002</v>
      </c>
      <c r="AI660" s="25" t="s">
        <v>1226</v>
      </c>
      <c r="AJ660" s="14" t="s">
        <v>33</v>
      </c>
    </row>
    <row r="661" spans="1:36" x14ac:dyDescent="0.25">
      <c r="A661" s="1">
        <v>736</v>
      </c>
      <c r="B661" s="25" t="s">
        <v>760</v>
      </c>
      <c r="C661" s="25" t="s">
        <v>408</v>
      </c>
      <c r="D661" s="25" t="s">
        <v>7</v>
      </c>
      <c r="E661" s="25" t="s">
        <v>132</v>
      </c>
      <c r="F661" s="25">
        <v>226.44</v>
      </c>
      <c r="G661" s="25">
        <v>100</v>
      </c>
      <c r="H661" s="25">
        <v>0</v>
      </c>
      <c r="I661" s="25">
        <v>0</v>
      </c>
      <c r="J661" s="25">
        <v>0</v>
      </c>
      <c r="K661" s="25">
        <v>0</v>
      </c>
      <c r="L661" s="25">
        <v>0</v>
      </c>
      <c r="M661" s="25">
        <v>2</v>
      </c>
      <c r="N661" s="25">
        <v>14</v>
      </c>
      <c r="O661" s="25">
        <v>0</v>
      </c>
      <c r="P661" s="25">
        <v>0</v>
      </c>
      <c r="Q661" s="25">
        <v>0</v>
      </c>
      <c r="R661" s="25">
        <v>0</v>
      </c>
      <c r="S661" s="25">
        <v>0</v>
      </c>
      <c r="T661" s="25">
        <v>0</v>
      </c>
      <c r="U661" s="25">
        <v>0</v>
      </c>
      <c r="V661" s="25">
        <v>0</v>
      </c>
      <c r="W661" s="25">
        <v>0</v>
      </c>
      <c r="X661" s="25">
        <v>0</v>
      </c>
      <c r="Y661" s="25">
        <v>0</v>
      </c>
      <c r="Z661" s="25">
        <v>0</v>
      </c>
      <c r="AA661" s="25">
        <v>0</v>
      </c>
      <c r="AB661" s="25">
        <v>0</v>
      </c>
      <c r="AC661" s="25">
        <v>0</v>
      </c>
      <c r="AD661" s="25">
        <v>0</v>
      </c>
      <c r="AE661" s="25">
        <v>0</v>
      </c>
      <c r="AF661" s="25">
        <v>0</v>
      </c>
      <c r="AG661" s="25">
        <v>0.529296875</v>
      </c>
      <c r="AH661" s="25">
        <v>0.53111111099999997</v>
      </c>
      <c r="AI661" s="25" t="s">
        <v>1105</v>
      </c>
      <c r="AJ661" s="14" t="s">
        <v>33</v>
      </c>
    </row>
    <row r="662" spans="1:36" x14ac:dyDescent="0.25">
      <c r="A662" s="1">
        <v>737</v>
      </c>
      <c r="B662" s="25" t="s">
        <v>1925</v>
      </c>
      <c r="C662" s="25" t="s">
        <v>1508</v>
      </c>
      <c r="D662" s="25" t="s">
        <v>18</v>
      </c>
      <c r="E662" s="25" t="s">
        <v>1926</v>
      </c>
      <c r="F662" s="25">
        <v>212.364</v>
      </c>
      <c r="G662" s="25">
        <v>101.7</v>
      </c>
      <c r="H662" s="25">
        <v>0</v>
      </c>
      <c r="I662" s="25">
        <v>1</v>
      </c>
      <c r="J662" s="25">
        <v>0</v>
      </c>
      <c r="K662" s="25">
        <v>1</v>
      </c>
      <c r="L662" s="25">
        <v>0</v>
      </c>
      <c r="M662" s="25">
        <v>1</v>
      </c>
      <c r="N662" s="25">
        <v>11</v>
      </c>
      <c r="O662" s="25">
        <v>0</v>
      </c>
      <c r="P662" s="25">
        <v>1</v>
      </c>
      <c r="Q662" s="25">
        <v>0</v>
      </c>
      <c r="R662" s="25">
        <v>0</v>
      </c>
      <c r="S662" s="25">
        <v>0</v>
      </c>
      <c r="T662" s="25">
        <v>0</v>
      </c>
      <c r="U662" s="25">
        <v>0</v>
      </c>
      <c r="V662" s="25">
        <v>0</v>
      </c>
      <c r="W662" s="25">
        <v>1</v>
      </c>
      <c r="X662" s="25">
        <v>0</v>
      </c>
      <c r="Y662" s="25">
        <v>1</v>
      </c>
      <c r="Z662" s="25">
        <v>0</v>
      </c>
      <c r="AA662" s="25">
        <v>0</v>
      </c>
      <c r="AB662" s="25">
        <v>0</v>
      </c>
      <c r="AC662" s="25">
        <v>0</v>
      </c>
      <c r="AD662" s="25">
        <v>0</v>
      </c>
      <c r="AE662" s="25">
        <v>0</v>
      </c>
      <c r="AF662" s="25">
        <v>0</v>
      </c>
      <c r="AG662" s="25">
        <v>0.54</v>
      </c>
      <c r="AH662" s="25">
        <v>0.53111111099999997</v>
      </c>
      <c r="AI662" s="25" t="s">
        <v>1571</v>
      </c>
      <c r="AJ662" s="14" t="s">
        <v>33</v>
      </c>
    </row>
    <row r="663" spans="1:36" x14ac:dyDescent="0.25">
      <c r="A663" s="1">
        <v>1</v>
      </c>
      <c r="B663" s="25" t="s">
        <v>1679</v>
      </c>
      <c r="C663" s="25" t="s">
        <v>1423</v>
      </c>
      <c r="D663" s="25" t="s">
        <v>10</v>
      </c>
      <c r="E663" s="25" t="s">
        <v>235</v>
      </c>
      <c r="F663" s="25">
        <v>60.094000000000001</v>
      </c>
      <c r="G663" s="25">
        <v>0</v>
      </c>
      <c r="H663" s="25">
        <v>0</v>
      </c>
      <c r="I663" s="25">
        <v>0</v>
      </c>
      <c r="J663" s="25">
        <v>0</v>
      </c>
      <c r="K663" s="25">
        <v>0</v>
      </c>
      <c r="L663" s="25">
        <v>0</v>
      </c>
      <c r="M663" s="25">
        <v>2</v>
      </c>
      <c r="N663" s="25">
        <v>0</v>
      </c>
      <c r="O663" s="25">
        <v>1</v>
      </c>
      <c r="P663" s="25">
        <v>0</v>
      </c>
      <c r="Q663" s="25">
        <v>0</v>
      </c>
      <c r="R663" s="25">
        <v>0</v>
      </c>
      <c r="S663" s="25">
        <v>0</v>
      </c>
      <c r="T663" s="25">
        <v>0</v>
      </c>
      <c r="U663" s="25">
        <v>0</v>
      </c>
      <c r="V663" s="25">
        <v>1</v>
      </c>
      <c r="W663" s="25">
        <v>0</v>
      </c>
      <c r="X663" s="25">
        <v>0</v>
      </c>
      <c r="Y663" s="25">
        <v>0</v>
      </c>
      <c r="Z663" s="25">
        <v>0</v>
      </c>
      <c r="AA663" s="25">
        <v>0</v>
      </c>
      <c r="AB663" s="25">
        <v>0</v>
      </c>
      <c r="AC663" s="25">
        <v>1</v>
      </c>
      <c r="AD663" s="25">
        <v>0</v>
      </c>
      <c r="AE663" s="25">
        <v>0</v>
      </c>
      <c r="AF663" s="25">
        <v>0</v>
      </c>
      <c r="AG663" s="25">
        <v>0.16</v>
      </c>
      <c r="AH663" s="25">
        <v>0</v>
      </c>
      <c r="AI663" s="25" t="s">
        <v>1571</v>
      </c>
      <c r="AJ663" s="14" t="s">
        <v>34</v>
      </c>
    </row>
    <row r="664" spans="1:36" x14ac:dyDescent="0.25">
      <c r="A664" s="1">
        <v>4</v>
      </c>
      <c r="B664" s="14" t="s">
        <v>1574</v>
      </c>
      <c r="C664" s="14" t="s">
        <v>2165</v>
      </c>
      <c r="D664" s="14" t="s">
        <v>19</v>
      </c>
      <c r="E664" s="29" t="s">
        <v>1575</v>
      </c>
      <c r="F664" s="14">
        <v>58.12</v>
      </c>
      <c r="G664" s="14">
        <v>0</v>
      </c>
      <c r="H664" s="14">
        <v>0</v>
      </c>
      <c r="I664" s="14">
        <v>0</v>
      </c>
      <c r="J664" s="14">
        <v>0</v>
      </c>
      <c r="K664" s="14">
        <v>0</v>
      </c>
      <c r="L664" s="14">
        <v>0</v>
      </c>
      <c r="M664" s="14">
        <v>3</v>
      </c>
      <c r="N664" s="14">
        <v>0</v>
      </c>
      <c r="O664" s="14">
        <v>0</v>
      </c>
      <c r="P664" s="14">
        <v>0</v>
      </c>
      <c r="Q664" s="14">
        <v>0</v>
      </c>
      <c r="R664" s="14">
        <v>0</v>
      </c>
      <c r="S664" s="14">
        <v>0</v>
      </c>
      <c r="T664" s="14">
        <v>0</v>
      </c>
      <c r="U664" s="14">
        <v>0</v>
      </c>
      <c r="V664" s="14">
        <v>1</v>
      </c>
      <c r="W664" s="14">
        <v>0</v>
      </c>
      <c r="X664" s="14">
        <v>0</v>
      </c>
      <c r="Y664" s="14">
        <v>0</v>
      </c>
      <c r="Z664" s="14">
        <v>0</v>
      </c>
      <c r="AA664" s="14">
        <v>0</v>
      </c>
      <c r="AB664" s="14">
        <v>0</v>
      </c>
      <c r="AC664" s="14">
        <v>0</v>
      </c>
      <c r="AD664" s="25">
        <v>0</v>
      </c>
      <c r="AE664" s="25">
        <v>0</v>
      </c>
      <c r="AF664" s="25">
        <v>0</v>
      </c>
      <c r="AG664" s="25">
        <v>0.16</v>
      </c>
      <c r="AH664" s="25">
        <v>0</v>
      </c>
      <c r="AI664" s="14" t="s">
        <v>1571</v>
      </c>
      <c r="AJ664" s="14" t="s">
        <v>34</v>
      </c>
    </row>
    <row r="665" spans="1:36" x14ac:dyDescent="0.25">
      <c r="A665" s="1">
        <v>24</v>
      </c>
      <c r="B665" s="14" t="s">
        <v>1288</v>
      </c>
      <c r="C665" s="14" t="s">
        <v>2166</v>
      </c>
      <c r="D665" s="14" t="s">
        <v>13</v>
      </c>
      <c r="E665" s="29" t="s">
        <v>145</v>
      </c>
      <c r="F665" s="14">
        <v>134.21852949999999</v>
      </c>
      <c r="G665" s="14">
        <v>6</v>
      </c>
      <c r="H665" s="14">
        <v>6</v>
      </c>
      <c r="I665" s="14">
        <v>0</v>
      </c>
      <c r="J665" s="14">
        <v>6</v>
      </c>
      <c r="K665" s="14">
        <v>3</v>
      </c>
      <c r="L665" s="14">
        <v>0</v>
      </c>
      <c r="M665" s="14">
        <v>2</v>
      </c>
      <c r="N665" s="14">
        <v>1</v>
      </c>
      <c r="O665" s="14">
        <v>0</v>
      </c>
      <c r="P665" s="14">
        <v>0</v>
      </c>
      <c r="Q665" s="14">
        <v>0</v>
      </c>
      <c r="R665" s="14">
        <v>0</v>
      </c>
      <c r="S665" s="14">
        <v>0</v>
      </c>
      <c r="T665" s="14">
        <v>0</v>
      </c>
      <c r="U665" s="14">
        <v>0</v>
      </c>
      <c r="V665" s="14">
        <v>1</v>
      </c>
      <c r="W665" s="14">
        <v>0</v>
      </c>
      <c r="X665" s="14">
        <v>5</v>
      </c>
      <c r="Y665" s="14">
        <v>0</v>
      </c>
      <c r="Z665" s="14">
        <v>0</v>
      </c>
      <c r="AA665" s="14">
        <v>0</v>
      </c>
      <c r="AB665" s="14">
        <v>0</v>
      </c>
      <c r="AC665" s="14">
        <v>0</v>
      </c>
      <c r="AD665" s="25">
        <v>0</v>
      </c>
      <c r="AE665" s="25">
        <v>0</v>
      </c>
      <c r="AF665" s="25">
        <v>0</v>
      </c>
      <c r="AG665" s="25">
        <v>0.436945266</v>
      </c>
      <c r="AH665" s="25">
        <v>0.35207100600000002</v>
      </c>
      <c r="AI665" s="14" t="s">
        <v>1306</v>
      </c>
      <c r="AJ665" s="14" t="s">
        <v>34</v>
      </c>
    </row>
    <row r="666" spans="1:36" x14ac:dyDescent="0.25">
      <c r="A666" s="1">
        <v>25</v>
      </c>
      <c r="B666" s="14" t="s">
        <v>1860</v>
      </c>
      <c r="C666" s="14" t="s">
        <v>1516</v>
      </c>
      <c r="D666" s="14" t="s">
        <v>13</v>
      </c>
      <c r="E666" s="29" t="s">
        <v>1861</v>
      </c>
      <c r="F666" s="14">
        <v>92.134</v>
      </c>
      <c r="G666" s="14">
        <v>6</v>
      </c>
      <c r="H666" s="14">
        <v>6</v>
      </c>
      <c r="I666" s="14">
        <v>0</v>
      </c>
      <c r="J666" s="14">
        <v>6</v>
      </c>
      <c r="K666" s="14">
        <v>3</v>
      </c>
      <c r="L666" s="14">
        <v>0</v>
      </c>
      <c r="M666" s="14">
        <v>1</v>
      </c>
      <c r="N666" s="14">
        <v>0</v>
      </c>
      <c r="O666" s="14">
        <v>0</v>
      </c>
      <c r="P666" s="14">
        <v>0</v>
      </c>
      <c r="Q666" s="14">
        <v>0</v>
      </c>
      <c r="R666" s="14">
        <v>0</v>
      </c>
      <c r="S666" s="14">
        <v>0</v>
      </c>
      <c r="T666" s="14">
        <v>0</v>
      </c>
      <c r="U666" s="14">
        <v>0</v>
      </c>
      <c r="V666" s="14">
        <v>0</v>
      </c>
      <c r="W666" s="14">
        <v>0</v>
      </c>
      <c r="X666" s="14">
        <v>5</v>
      </c>
      <c r="Y666" s="14">
        <v>0</v>
      </c>
      <c r="Z666" s="14">
        <v>0</v>
      </c>
      <c r="AA666" s="14">
        <v>0</v>
      </c>
      <c r="AB666" s="14">
        <v>0</v>
      </c>
      <c r="AC666" s="14">
        <v>0</v>
      </c>
      <c r="AD666" s="25">
        <v>0</v>
      </c>
      <c r="AE666" s="25">
        <v>0</v>
      </c>
      <c r="AF666" s="25">
        <v>0</v>
      </c>
      <c r="AG666" s="25">
        <v>0.36</v>
      </c>
      <c r="AH666" s="25">
        <v>0.21</v>
      </c>
      <c r="AI666" s="14" t="s">
        <v>1571</v>
      </c>
      <c r="AJ666" s="14" t="s">
        <v>34</v>
      </c>
    </row>
    <row r="667" spans="1:36" x14ac:dyDescent="0.25">
      <c r="A667" s="1">
        <v>27</v>
      </c>
      <c r="B667" s="14" t="s">
        <v>1884</v>
      </c>
      <c r="C667" s="14" t="s">
        <v>1529</v>
      </c>
      <c r="D667" s="14" t="s">
        <v>13</v>
      </c>
      <c r="E667" s="29" t="s">
        <v>1181</v>
      </c>
      <c r="F667" s="14">
        <v>142.19</v>
      </c>
      <c r="G667" s="14">
        <v>6</v>
      </c>
      <c r="H667" s="14">
        <v>10</v>
      </c>
      <c r="I667" s="14">
        <v>0</v>
      </c>
      <c r="J667" s="14">
        <v>10</v>
      </c>
      <c r="K667" s="14">
        <v>5</v>
      </c>
      <c r="L667" s="14">
        <v>0</v>
      </c>
      <c r="M667" s="14">
        <v>1</v>
      </c>
      <c r="N667" s="14">
        <v>0</v>
      </c>
      <c r="O667" s="14">
        <v>0</v>
      </c>
      <c r="P667" s="14">
        <v>0</v>
      </c>
      <c r="Q667" s="14">
        <v>0</v>
      </c>
      <c r="R667" s="14">
        <v>0</v>
      </c>
      <c r="S667" s="14">
        <v>0</v>
      </c>
      <c r="T667" s="14">
        <v>0</v>
      </c>
      <c r="U667" s="14">
        <v>0</v>
      </c>
      <c r="V667" s="14">
        <v>0</v>
      </c>
      <c r="W667" s="14">
        <v>0</v>
      </c>
      <c r="X667" s="14">
        <v>7</v>
      </c>
      <c r="Y667" s="14">
        <v>0</v>
      </c>
      <c r="Z667" s="14">
        <v>0</v>
      </c>
      <c r="AA667" s="14">
        <v>0</v>
      </c>
      <c r="AB667" s="14">
        <v>0</v>
      </c>
      <c r="AC667" s="14">
        <v>0</v>
      </c>
      <c r="AD667" s="25">
        <v>0</v>
      </c>
      <c r="AE667" s="25">
        <v>0</v>
      </c>
      <c r="AF667" s="25">
        <v>0</v>
      </c>
      <c r="AG667" s="25">
        <v>0.44463667800000001</v>
      </c>
      <c r="AH667" s="25">
        <v>0.32326530599999997</v>
      </c>
      <c r="AI667" s="14" t="s">
        <v>1571</v>
      </c>
      <c r="AJ667" s="14" t="s">
        <v>34</v>
      </c>
    </row>
    <row r="668" spans="1:36" x14ac:dyDescent="0.25">
      <c r="A668" s="1">
        <v>35</v>
      </c>
      <c r="B668" s="14" t="s">
        <v>1862</v>
      </c>
      <c r="C668" s="14" t="s">
        <v>1517</v>
      </c>
      <c r="D668" s="14" t="s">
        <v>13</v>
      </c>
      <c r="E668" s="29" t="s">
        <v>1863</v>
      </c>
      <c r="F668" s="14">
        <v>108.134</v>
      </c>
      <c r="G668" s="14">
        <v>6.4</v>
      </c>
      <c r="H668" s="14">
        <v>6</v>
      </c>
      <c r="I668" s="14">
        <v>0</v>
      </c>
      <c r="J668" s="14">
        <v>6</v>
      </c>
      <c r="K668" s="14">
        <v>3</v>
      </c>
      <c r="L668" s="14">
        <v>0</v>
      </c>
      <c r="M668" s="14">
        <v>1</v>
      </c>
      <c r="N668" s="14">
        <v>0</v>
      </c>
      <c r="O668" s="14">
        <v>0</v>
      </c>
      <c r="P668" s="14">
        <v>1</v>
      </c>
      <c r="Q668" s="14">
        <v>0</v>
      </c>
      <c r="R668" s="14">
        <v>0</v>
      </c>
      <c r="S668" s="14">
        <v>0</v>
      </c>
      <c r="T668" s="14">
        <v>0</v>
      </c>
      <c r="U668" s="14">
        <v>0</v>
      </c>
      <c r="V668" s="14">
        <v>0</v>
      </c>
      <c r="W668" s="14">
        <v>0</v>
      </c>
      <c r="X668" s="14">
        <v>5</v>
      </c>
      <c r="Y668" s="14">
        <v>0</v>
      </c>
      <c r="Z668" s="14">
        <v>0</v>
      </c>
      <c r="AA668" s="14">
        <v>0</v>
      </c>
      <c r="AB668" s="14">
        <v>0</v>
      </c>
      <c r="AC668" s="14">
        <v>0</v>
      </c>
      <c r="AD668" s="25">
        <v>0</v>
      </c>
      <c r="AE668" s="25">
        <v>0</v>
      </c>
      <c r="AF668" s="25">
        <v>0</v>
      </c>
      <c r="AG668" s="25">
        <v>0.37190082600000002</v>
      </c>
      <c r="AH668" s="25">
        <v>0.24793388399999999</v>
      </c>
      <c r="AI668" s="14" t="s">
        <v>1571</v>
      </c>
      <c r="AJ668" s="14" t="s">
        <v>34</v>
      </c>
    </row>
    <row r="669" spans="1:36" x14ac:dyDescent="0.25">
      <c r="A669" s="1">
        <v>52</v>
      </c>
      <c r="B669" s="25" t="s">
        <v>1886</v>
      </c>
      <c r="C669" s="25" t="s">
        <v>2167</v>
      </c>
      <c r="D669" s="25" t="s">
        <v>13</v>
      </c>
      <c r="E669" s="25" t="s">
        <v>126</v>
      </c>
      <c r="F669" s="25">
        <v>174.274</v>
      </c>
      <c r="G669" s="25">
        <v>8</v>
      </c>
      <c r="H669" s="25">
        <v>6</v>
      </c>
      <c r="I669" s="25">
        <v>0</v>
      </c>
      <c r="J669" s="25">
        <v>6</v>
      </c>
      <c r="K669" s="25">
        <v>3</v>
      </c>
      <c r="L669" s="25">
        <v>0</v>
      </c>
      <c r="M669" s="25">
        <v>1</v>
      </c>
      <c r="N669" s="25">
        <v>2</v>
      </c>
      <c r="O669" s="25">
        <v>0</v>
      </c>
      <c r="P669" s="25">
        <v>0</v>
      </c>
      <c r="Q669" s="25">
        <v>0</v>
      </c>
      <c r="R669" s="25">
        <v>0</v>
      </c>
      <c r="S669" s="25">
        <v>0</v>
      </c>
      <c r="T669" s="25">
        <v>0</v>
      </c>
      <c r="U669" s="25">
        <v>0</v>
      </c>
      <c r="V669" s="25">
        <v>0</v>
      </c>
      <c r="W669" s="25">
        <v>0</v>
      </c>
      <c r="X669" s="25">
        <v>4</v>
      </c>
      <c r="Y669" s="25">
        <v>0</v>
      </c>
      <c r="Z669" s="25">
        <v>1</v>
      </c>
      <c r="AA669" s="25">
        <v>3</v>
      </c>
      <c r="AB669" s="25">
        <v>0</v>
      </c>
      <c r="AC669" s="25">
        <v>0</v>
      </c>
      <c r="AD669" s="25">
        <v>0</v>
      </c>
      <c r="AE669" s="25">
        <v>0</v>
      </c>
      <c r="AF669" s="25">
        <v>0</v>
      </c>
      <c r="AG669" s="25">
        <v>0.43055555600000001</v>
      </c>
      <c r="AH669" s="25">
        <v>0.39100346000000002</v>
      </c>
      <c r="AI669" s="25" t="s">
        <v>1571</v>
      </c>
      <c r="AJ669" s="14" t="s">
        <v>34</v>
      </c>
    </row>
    <row r="670" spans="1:36" x14ac:dyDescent="0.25">
      <c r="A670" s="1">
        <v>71</v>
      </c>
      <c r="B670" s="14" t="s">
        <v>1597</v>
      </c>
      <c r="C670" s="14" t="s">
        <v>2168</v>
      </c>
      <c r="D670" s="14" t="s">
        <v>19</v>
      </c>
      <c r="E670" s="29" t="s">
        <v>77</v>
      </c>
      <c r="F670" s="14">
        <v>170.328</v>
      </c>
      <c r="G670" s="14">
        <v>9</v>
      </c>
      <c r="H670" s="14">
        <v>0</v>
      </c>
      <c r="I670" s="14">
        <v>0</v>
      </c>
      <c r="J670" s="14">
        <v>0</v>
      </c>
      <c r="K670" s="14">
        <v>0</v>
      </c>
      <c r="L670" s="14">
        <v>1</v>
      </c>
      <c r="M670" s="14">
        <v>7</v>
      </c>
      <c r="N670" s="14">
        <v>1</v>
      </c>
      <c r="O670" s="14">
        <v>0</v>
      </c>
      <c r="P670" s="14">
        <v>0</v>
      </c>
      <c r="Q670" s="14">
        <v>0</v>
      </c>
      <c r="R670" s="14">
        <v>0</v>
      </c>
      <c r="S670" s="14">
        <v>0</v>
      </c>
      <c r="T670" s="14">
        <v>0</v>
      </c>
      <c r="U670" s="14">
        <v>0</v>
      </c>
      <c r="V670" s="14">
        <v>3</v>
      </c>
      <c r="W670" s="14">
        <v>0</v>
      </c>
      <c r="X670" s="14">
        <v>0</v>
      </c>
      <c r="Y670" s="14">
        <v>0</v>
      </c>
      <c r="Z670" s="14">
        <v>0</v>
      </c>
      <c r="AA670" s="14">
        <v>0</v>
      </c>
      <c r="AB670" s="14">
        <v>0</v>
      </c>
      <c r="AC670" s="14">
        <v>0</v>
      </c>
      <c r="AD670" s="25">
        <v>0</v>
      </c>
      <c r="AE670" s="25">
        <v>0</v>
      </c>
      <c r="AF670" s="25">
        <v>0</v>
      </c>
      <c r="AG670" s="25">
        <v>0.46180555600000001</v>
      </c>
      <c r="AH670" s="25">
        <v>0.47520661199999997</v>
      </c>
      <c r="AI670" s="14" t="s">
        <v>1571</v>
      </c>
      <c r="AJ670" s="14" t="s">
        <v>34</v>
      </c>
    </row>
    <row r="671" spans="1:36" x14ac:dyDescent="0.25">
      <c r="A671" s="1">
        <v>96</v>
      </c>
      <c r="B671" s="14" t="s">
        <v>1681</v>
      </c>
      <c r="C671" s="14" t="s">
        <v>1425</v>
      </c>
      <c r="D671" s="14" t="s">
        <v>10</v>
      </c>
      <c r="E671" s="29" t="s">
        <v>58</v>
      </c>
      <c r="F671" s="14">
        <v>74.12</v>
      </c>
      <c r="G671" s="14">
        <v>12</v>
      </c>
      <c r="H671" s="14">
        <v>0</v>
      </c>
      <c r="I671" s="14">
        <v>0</v>
      </c>
      <c r="J671" s="14">
        <v>0</v>
      </c>
      <c r="K671" s="14">
        <v>0</v>
      </c>
      <c r="L671" s="14">
        <v>0</v>
      </c>
      <c r="M671" s="14">
        <v>1</v>
      </c>
      <c r="N671" s="14">
        <v>3</v>
      </c>
      <c r="O671" s="14">
        <v>1</v>
      </c>
      <c r="P671" s="14">
        <v>0</v>
      </c>
      <c r="Q671" s="14">
        <v>0</v>
      </c>
      <c r="R671" s="14">
        <v>0</v>
      </c>
      <c r="S671" s="14">
        <v>0</v>
      </c>
      <c r="T671" s="14">
        <v>0</v>
      </c>
      <c r="U671" s="14">
        <v>0</v>
      </c>
      <c r="V671" s="14">
        <v>0</v>
      </c>
      <c r="W671" s="14">
        <v>0</v>
      </c>
      <c r="X671" s="14">
        <v>0</v>
      </c>
      <c r="Y671" s="14">
        <v>0</v>
      </c>
      <c r="Z671" s="14">
        <v>0</v>
      </c>
      <c r="AA671" s="14">
        <v>0</v>
      </c>
      <c r="AB671" s="14">
        <v>1</v>
      </c>
      <c r="AC671" s="14">
        <v>0</v>
      </c>
      <c r="AD671" s="25">
        <v>0</v>
      </c>
      <c r="AE671" s="25">
        <v>0</v>
      </c>
      <c r="AF671" s="25">
        <v>0</v>
      </c>
      <c r="AG671" s="25">
        <v>0.21875</v>
      </c>
      <c r="AH671" s="25">
        <v>0.21875</v>
      </c>
      <c r="AI671" s="14" t="s">
        <v>1571</v>
      </c>
      <c r="AJ671" s="14" t="s">
        <v>34</v>
      </c>
    </row>
    <row r="672" spans="1:36" x14ac:dyDescent="0.25">
      <c r="A672" s="1">
        <v>112</v>
      </c>
      <c r="B672" s="25" t="s">
        <v>766</v>
      </c>
      <c r="C672" s="25" t="s">
        <v>454</v>
      </c>
      <c r="D672" s="25" t="s">
        <v>21</v>
      </c>
      <c r="E672" s="25" t="s">
        <v>192</v>
      </c>
      <c r="F672" s="25">
        <v>130.13999999999999</v>
      </c>
      <c r="G672" s="25">
        <v>13.7</v>
      </c>
      <c r="H672" s="25">
        <v>0</v>
      </c>
      <c r="I672" s="25">
        <v>0</v>
      </c>
      <c r="J672" s="25">
        <v>0</v>
      </c>
      <c r="K672" s="25">
        <v>0</v>
      </c>
      <c r="L672" s="25">
        <v>0</v>
      </c>
      <c r="M672" s="25">
        <v>2</v>
      </c>
      <c r="N672" s="25">
        <v>2</v>
      </c>
      <c r="O672" s="25">
        <v>0</v>
      </c>
      <c r="P672" s="25">
        <v>0</v>
      </c>
      <c r="Q672" s="25">
        <v>0</v>
      </c>
      <c r="R672" s="25">
        <v>1</v>
      </c>
      <c r="S672" s="25">
        <v>0</v>
      </c>
      <c r="T672" s="25">
        <v>0</v>
      </c>
      <c r="U672" s="25">
        <v>1</v>
      </c>
      <c r="V672" s="25">
        <v>0</v>
      </c>
      <c r="W672" s="25">
        <v>0</v>
      </c>
      <c r="X672" s="25">
        <v>0</v>
      </c>
      <c r="Y672" s="25">
        <v>0</v>
      </c>
      <c r="Z672" s="25">
        <v>0</v>
      </c>
      <c r="AA672" s="25">
        <v>0</v>
      </c>
      <c r="AB672" s="25">
        <v>0</v>
      </c>
      <c r="AC672" s="25">
        <v>0</v>
      </c>
      <c r="AD672" s="25">
        <v>0</v>
      </c>
      <c r="AE672" s="25">
        <v>0</v>
      </c>
      <c r="AF672" s="25">
        <v>0</v>
      </c>
      <c r="AG672" s="25">
        <v>0.42708333300000001</v>
      </c>
      <c r="AH672" s="25">
        <v>0.45500000000000002</v>
      </c>
      <c r="AI672" s="25" t="s">
        <v>1151</v>
      </c>
      <c r="AJ672" s="14" t="s">
        <v>34</v>
      </c>
    </row>
    <row r="673" spans="1:36" x14ac:dyDescent="0.25">
      <c r="A673" s="1">
        <v>118</v>
      </c>
      <c r="B673" s="25" t="s">
        <v>1858</v>
      </c>
      <c r="C673" s="25" t="s">
        <v>1260</v>
      </c>
      <c r="D673" s="25" t="s">
        <v>13</v>
      </c>
      <c r="E673" s="25" t="s">
        <v>1859</v>
      </c>
      <c r="F673" s="25">
        <v>78.108000000000004</v>
      </c>
      <c r="G673" s="25">
        <v>14.3</v>
      </c>
      <c r="H673" s="25">
        <v>6</v>
      </c>
      <c r="I673" s="25">
        <v>0</v>
      </c>
      <c r="J673" s="25">
        <v>6</v>
      </c>
      <c r="K673" s="25">
        <v>3</v>
      </c>
      <c r="L673" s="25">
        <v>0</v>
      </c>
      <c r="M673" s="25">
        <v>0</v>
      </c>
      <c r="N673" s="25">
        <v>0</v>
      </c>
      <c r="O673" s="25">
        <v>0</v>
      </c>
      <c r="P673" s="25">
        <v>0</v>
      </c>
      <c r="Q673" s="25">
        <v>0</v>
      </c>
      <c r="R673" s="25">
        <v>0</v>
      </c>
      <c r="S673" s="25">
        <v>0</v>
      </c>
      <c r="T673" s="25">
        <v>0</v>
      </c>
      <c r="U673" s="25">
        <v>0</v>
      </c>
      <c r="V673" s="25">
        <v>0</v>
      </c>
      <c r="W673" s="25">
        <v>0</v>
      </c>
      <c r="X673" s="25">
        <v>6</v>
      </c>
      <c r="Y673" s="25">
        <v>0</v>
      </c>
      <c r="Z673" s="25">
        <v>0</v>
      </c>
      <c r="AA673" s="25">
        <v>0</v>
      </c>
      <c r="AB673" s="25">
        <v>0</v>
      </c>
      <c r="AC673" s="25">
        <v>0</v>
      </c>
      <c r="AD673" s="25">
        <v>0</v>
      </c>
      <c r="AE673" s="25">
        <v>0</v>
      </c>
      <c r="AF673" s="25">
        <v>0</v>
      </c>
      <c r="AG673" s="25">
        <v>0.33333333300000001</v>
      </c>
      <c r="AH673" s="25">
        <v>0.16666666699999999</v>
      </c>
      <c r="AI673" s="25" t="s">
        <v>1571</v>
      </c>
      <c r="AJ673" s="14" t="s">
        <v>34</v>
      </c>
    </row>
    <row r="674" spans="1:36" x14ac:dyDescent="0.25">
      <c r="A674" s="1">
        <v>124</v>
      </c>
      <c r="B674" s="14" t="s">
        <v>590</v>
      </c>
      <c r="C674" s="14" t="s">
        <v>338</v>
      </c>
      <c r="D674" s="14" t="s">
        <v>19</v>
      </c>
      <c r="E674" s="29" t="s">
        <v>132</v>
      </c>
      <c r="F674" s="14">
        <v>226.44</v>
      </c>
      <c r="G674" s="14">
        <v>15</v>
      </c>
      <c r="H674" s="14">
        <v>0</v>
      </c>
      <c r="I674" s="14">
        <v>0</v>
      </c>
      <c r="J674" s="14">
        <v>0</v>
      </c>
      <c r="K674" s="14">
        <v>0</v>
      </c>
      <c r="L674" s="14">
        <v>3</v>
      </c>
      <c r="M674" s="14">
        <v>9</v>
      </c>
      <c r="N674" s="14">
        <v>3</v>
      </c>
      <c r="O674" s="14">
        <v>0</v>
      </c>
      <c r="P674" s="14">
        <v>0</v>
      </c>
      <c r="Q674" s="14">
        <v>0</v>
      </c>
      <c r="R674" s="14">
        <v>0</v>
      </c>
      <c r="S674" s="14">
        <v>0</v>
      </c>
      <c r="T674" s="14">
        <v>0</v>
      </c>
      <c r="U674" s="14">
        <v>0</v>
      </c>
      <c r="V674" s="14">
        <v>1</v>
      </c>
      <c r="W674" s="14">
        <v>0</v>
      </c>
      <c r="X674" s="14">
        <v>0</v>
      </c>
      <c r="Y674" s="14">
        <v>0</v>
      </c>
      <c r="Z674" s="14">
        <v>0</v>
      </c>
      <c r="AA674" s="14">
        <v>0</v>
      </c>
      <c r="AB674" s="14">
        <v>0</v>
      </c>
      <c r="AC674" s="14">
        <v>0</v>
      </c>
      <c r="AD674" s="25">
        <v>0</v>
      </c>
      <c r="AE674" s="25">
        <v>0</v>
      </c>
      <c r="AF674" s="25">
        <v>0</v>
      </c>
      <c r="AG674" s="25">
        <v>0.529296875</v>
      </c>
      <c r="AH674" s="25">
        <v>0.54444444400000003</v>
      </c>
      <c r="AI674" s="14" t="s">
        <v>1030</v>
      </c>
      <c r="AJ674" s="14" t="s">
        <v>34</v>
      </c>
    </row>
    <row r="675" spans="1:36" x14ac:dyDescent="0.25">
      <c r="A675" s="1">
        <v>131</v>
      </c>
      <c r="B675" s="14" t="s">
        <v>593</v>
      </c>
      <c r="C675" s="14" t="s">
        <v>516</v>
      </c>
      <c r="D675" s="14" t="s">
        <v>20</v>
      </c>
      <c r="E675" s="29" t="s">
        <v>190</v>
      </c>
      <c r="F675" s="14">
        <v>114.18</v>
      </c>
      <c r="G675" s="14">
        <v>15.8</v>
      </c>
      <c r="H675" s="14">
        <v>0</v>
      </c>
      <c r="I675" s="14">
        <v>0</v>
      </c>
      <c r="J675" s="14">
        <v>0</v>
      </c>
      <c r="K675" s="14">
        <v>0</v>
      </c>
      <c r="L675" s="14">
        <v>0</v>
      </c>
      <c r="M675" s="14">
        <v>4</v>
      </c>
      <c r="N675" s="14">
        <v>0</v>
      </c>
      <c r="O675" s="14">
        <v>0</v>
      </c>
      <c r="P675" s="14">
        <v>0</v>
      </c>
      <c r="Q675" s="14">
        <v>0</v>
      </c>
      <c r="R675" s="14">
        <v>1</v>
      </c>
      <c r="S675" s="14">
        <v>0</v>
      </c>
      <c r="T675" s="14">
        <v>0</v>
      </c>
      <c r="U675" s="14">
        <v>0</v>
      </c>
      <c r="V675" s="14">
        <v>2</v>
      </c>
      <c r="W675" s="14">
        <v>0</v>
      </c>
      <c r="X675" s="14">
        <v>0</v>
      </c>
      <c r="Y675" s="14">
        <v>0</v>
      </c>
      <c r="Z675" s="14">
        <v>0</v>
      </c>
      <c r="AA675" s="14">
        <v>0</v>
      </c>
      <c r="AB675" s="14">
        <v>0</v>
      </c>
      <c r="AC675" s="14">
        <v>0</v>
      </c>
      <c r="AD675" s="25">
        <v>0</v>
      </c>
      <c r="AE675" s="25">
        <v>0</v>
      </c>
      <c r="AF675" s="25">
        <v>0</v>
      </c>
      <c r="AG675" s="25">
        <v>0.40123456800000001</v>
      </c>
      <c r="AH675" s="25">
        <v>0.4140625</v>
      </c>
      <c r="AI675" s="14" t="s">
        <v>1211</v>
      </c>
      <c r="AJ675" s="14" t="s">
        <v>34</v>
      </c>
    </row>
    <row r="676" spans="1:36" x14ac:dyDescent="0.25">
      <c r="A676" s="1">
        <v>133</v>
      </c>
      <c r="B676" s="14" t="s">
        <v>1870</v>
      </c>
      <c r="C676" s="14" t="s">
        <v>1521</v>
      </c>
      <c r="D676" s="14" t="s">
        <v>13</v>
      </c>
      <c r="E676" s="29" t="s">
        <v>129</v>
      </c>
      <c r="F676" s="14">
        <v>120.18600000000001</v>
      </c>
      <c r="G676" s="14">
        <v>16</v>
      </c>
      <c r="H676" s="14">
        <v>6</v>
      </c>
      <c r="I676" s="14">
        <v>0</v>
      </c>
      <c r="J676" s="14">
        <v>6</v>
      </c>
      <c r="K676" s="14">
        <v>3</v>
      </c>
      <c r="L676" s="14">
        <v>0</v>
      </c>
      <c r="M676" s="14">
        <v>1</v>
      </c>
      <c r="N676" s="14">
        <v>2</v>
      </c>
      <c r="O676" s="14">
        <v>0</v>
      </c>
      <c r="P676" s="14">
        <v>0</v>
      </c>
      <c r="Q676" s="14">
        <v>0</v>
      </c>
      <c r="R676" s="14">
        <v>0</v>
      </c>
      <c r="S676" s="14">
        <v>0</v>
      </c>
      <c r="T676" s="14">
        <v>0</v>
      </c>
      <c r="U676" s="14">
        <v>0</v>
      </c>
      <c r="V676" s="14">
        <v>0</v>
      </c>
      <c r="W676" s="14">
        <v>0</v>
      </c>
      <c r="X676" s="14">
        <v>5</v>
      </c>
      <c r="Y676" s="14">
        <v>0</v>
      </c>
      <c r="Z676" s="14">
        <v>0</v>
      </c>
      <c r="AA676" s="14">
        <v>0</v>
      </c>
      <c r="AB676" s="14">
        <v>0</v>
      </c>
      <c r="AC676" s="14">
        <v>0</v>
      </c>
      <c r="AD676" s="25">
        <v>0</v>
      </c>
      <c r="AE676" s="25">
        <v>0</v>
      </c>
      <c r="AF676" s="25">
        <v>0</v>
      </c>
      <c r="AG676" s="25">
        <v>0.399408284</v>
      </c>
      <c r="AH676" s="25">
        <v>0.28819444399999999</v>
      </c>
      <c r="AI676" s="14" t="s">
        <v>1571</v>
      </c>
      <c r="AJ676" s="14" t="s">
        <v>34</v>
      </c>
    </row>
    <row r="677" spans="1:36" x14ac:dyDescent="0.25">
      <c r="A677" s="1">
        <v>140</v>
      </c>
      <c r="B677" s="25" t="s">
        <v>880</v>
      </c>
      <c r="C677" s="25" t="s">
        <v>366</v>
      </c>
      <c r="D677" s="25" t="s">
        <v>13</v>
      </c>
      <c r="E677" s="25" t="s">
        <v>68</v>
      </c>
      <c r="F677" s="25">
        <v>188.31</v>
      </c>
      <c r="G677" s="25">
        <v>17</v>
      </c>
      <c r="H677" s="25">
        <v>6</v>
      </c>
      <c r="I677" s="25">
        <v>0</v>
      </c>
      <c r="J677" s="25">
        <v>6</v>
      </c>
      <c r="K677" s="25">
        <v>3</v>
      </c>
      <c r="L677" s="25">
        <v>1</v>
      </c>
      <c r="M677" s="25">
        <v>3</v>
      </c>
      <c r="N677" s="25">
        <v>0</v>
      </c>
      <c r="O677" s="25">
        <v>0</v>
      </c>
      <c r="P677" s="25">
        <v>0</v>
      </c>
      <c r="Q677" s="25">
        <v>0</v>
      </c>
      <c r="R677" s="25">
        <v>0</v>
      </c>
      <c r="S677" s="25">
        <v>0</v>
      </c>
      <c r="T677" s="25">
        <v>0</v>
      </c>
      <c r="U677" s="25">
        <v>0</v>
      </c>
      <c r="V677" s="25">
        <v>0</v>
      </c>
      <c r="W677" s="25">
        <v>0</v>
      </c>
      <c r="X677" s="25">
        <v>4</v>
      </c>
      <c r="Y677" s="25">
        <v>0</v>
      </c>
      <c r="Z677" s="25">
        <v>1</v>
      </c>
      <c r="AA677" s="25">
        <v>3</v>
      </c>
      <c r="AB677" s="25">
        <v>0</v>
      </c>
      <c r="AC677" s="25">
        <v>0</v>
      </c>
      <c r="AD677" s="25">
        <v>0</v>
      </c>
      <c r="AE677" s="25">
        <v>0</v>
      </c>
      <c r="AF677" s="25">
        <v>0</v>
      </c>
      <c r="AG677" s="25">
        <v>0.50446428600000004</v>
      </c>
      <c r="AH677" s="25">
        <v>0.42438271599999999</v>
      </c>
      <c r="AI677" s="25" t="s">
        <v>2169</v>
      </c>
      <c r="AJ677" s="14" t="s">
        <v>34</v>
      </c>
    </row>
    <row r="678" spans="1:36" x14ac:dyDescent="0.25">
      <c r="A678" s="1">
        <v>142</v>
      </c>
      <c r="B678" s="14" t="s">
        <v>1583</v>
      </c>
      <c r="C678" s="14" t="s">
        <v>2170</v>
      </c>
      <c r="D678" s="14" t="s">
        <v>19</v>
      </c>
      <c r="E678" s="29" t="s">
        <v>90</v>
      </c>
      <c r="F678" s="14">
        <v>114.224</v>
      </c>
      <c r="G678" s="14">
        <v>17</v>
      </c>
      <c r="H678" s="14">
        <v>0</v>
      </c>
      <c r="I678" s="14">
        <v>0</v>
      </c>
      <c r="J678" s="14">
        <v>0</v>
      </c>
      <c r="K678" s="14">
        <v>0</v>
      </c>
      <c r="L678" s="14">
        <v>1</v>
      </c>
      <c r="M678" s="14">
        <v>5</v>
      </c>
      <c r="N678" s="14">
        <v>1</v>
      </c>
      <c r="O678" s="14">
        <v>0</v>
      </c>
      <c r="P678" s="14">
        <v>0</v>
      </c>
      <c r="Q678" s="14">
        <v>0</v>
      </c>
      <c r="R678" s="14">
        <v>0</v>
      </c>
      <c r="S678" s="14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4">
        <v>0</v>
      </c>
      <c r="AA678" s="14">
        <v>0</v>
      </c>
      <c r="AB678" s="14">
        <v>0</v>
      </c>
      <c r="AC678" s="14">
        <v>0</v>
      </c>
      <c r="AD678" s="25">
        <v>0</v>
      </c>
      <c r="AE678" s="25">
        <v>0</v>
      </c>
      <c r="AF678" s="25">
        <v>0</v>
      </c>
      <c r="AG678" s="25">
        <v>0.3515625</v>
      </c>
      <c r="AH678" s="25">
        <v>0.35714285699999998</v>
      </c>
      <c r="AI678" s="14" t="s">
        <v>1571</v>
      </c>
      <c r="AJ678" s="14" t="s">
        <v>34</v>
      </c>
    </row>
    <row r="679" spans="1:36" x14ac:dyDescent="0.25">
      <c r="A679" s="1">
        <v>152</v>
      </c>
      <c r="B679" s="25" t="s">
        <v>875</v>
      </c>
      <c r="C679" s="25" t="s">
        <v>361</v>
      </c>
      <c r="D679" s="25" t="s">
        <v>13</v>
      </c>
      <c r="E679" s="25" t="s">
        <v>68</v>
      </c>
      <c r="F679" s="25">
        <v>188.31</v>
      </c>
      <c r="G679" s="25">
        <v>18</v>
      </c>
      <c r="H679" s="25">
        <v>6</v>
      </c>
      <c r="I679" s="25">
        <v>0</v>
      </c>
      <c r="J679" s="25">
        <v>6</v>
      </c>
      <c r="K679" s="25">
        <v>3</v>
      </c>
      <c r="L679" s="25">
        <v>0</v>
      </c>
      <c r="M679" s="25">
        <v>1</v>
      </c>
      <c r="N679" s="25">
        <v>3</v>
      </c>
      <c r="O679" s="25">
        <v>0</v>
      </c>
      <c r="P679" s="25">
        <v>0</v>
      </c>
      <c r="Q679" s="25">
        <v>0</v>
      </c>
      <c r="R679" s="25">
        <v>0</v>
      </c>
      <c r="S679" s="25">
        <v>0</v>
      </c>
      <c r="T679" s="25">
        <v>0</v>
      </c>
      <c r="U679" s="25">
        <v>0</v>
      </c>
      <c r="V679" s="25">
        <v>0</v>
      </c>
      <c r="W679" s="25">
        <v>0</v>
      </c>
      <c r="X679" s="25">
        <v>4</v>
      </c>
      <c r="Y679" s="25">
        <v>0</v>
      </c>
      <c r="Z679" s="25">
        <v>1</v>
      </c>
      <c r="AA679" s="25">
        <v>3</v>
      </c>
      <c r="AB679" s="25">
        <v>0</v>
      </c>
      <c r="AC679" s="25">
        <v>0</v>
      </c>
      <c r="AD679" s="25">
        <v>0</v>
      </c>
      <c r="AE679" s="25">
        <v>0</v>
      </c>
      <c r="AF679" s="25">
        <v>0</v>
      </c>
      <c r="AG679" s="25">
        <v>0.419753086</v>
      </c>
      <c r="AH679" s="25">
        <v>0.42438271599999999</v>
      </c>
      <c r="AI679" s="25" t="s">
        <v>1055</v>
      </c>
      <c r="AJ679" s="14" t="s">
        <v>34</v>
      </c>
    </row>
    <row r="680" spans="1:36" x14ac:dyDescent="0.25">
      <c r="A680" s="1">
        <v>183</v>
      </c>
      <c r="B680" s="25" t="s">
        <v>1733</v>
      </c>
      <c r="C680" s="25" t="s">
        <v>1454</v>
      </c>
      <c r="D680" s="25" t="s">
        <v>1932</v>
      </c>
      <c r="E680" s="25" t="s">
        <v>1734</v>
      </c>
      <c r="F680" s="25">
        <v>138.16</v>
      </c>
      <c r="G680" s="25">
        <v>19.8</v>
      </c>
      <c r="H680" s="25">
        <v>6</v>
      </c>
      <c r="I680" s="25">
        <v>0</v>
      </c>
      <c r="J680" s="25">
        <v>6</v>
      </c>
      <c r="K680" s="25">
        <v>3</v>
      </c>
      <c r="L680" s="25">
        <v>0</v>
      </c>
      <c r="M680" s="25">
        <v>2</v>
      </c>
      <c r="N680" s="25">
        <v>0</v>
      </c>
      <c r="O680" s="25">
        <v>1</v>
      </c>
      <c r="P680" s="25">
        <v>1</v>
      </c>
      <c r="Q680" s="25">
        <v>0</v>
      </c>
      <c r="R680" s="25">
        <v>0</v>
      </c>
      <c r="S680" s="25">
        <v>0</v>
      </c>
      <c r="T680" s="25">
        <v>0</v>
      </c>
      <c r="U680" s="25">
        <v>0</v>
      </c>
      <c r="V680" s="25">
        <v>0</v>
      </c>
      <c r="W680" s="25">
        <v>0</v>
      </c>
      <c r="X680" s="25">
        <v>3</v>
      </c>
      <c r="Y680" s="25">
        <v>0</v>
      </c>
      <c r="Z680" s="25">
        <v>0</v>
      </c>
      <c r="AA680" s="25">
        <v>0</v>
      </c>
      <c r="AB680" s="25">
        <v>0</v>
      </c>
      <c r="AC680" s="25">
        <v>0</v>
      </c>
      <c r="AD680" s="25">
        <v>0</v>
      </c>
      <c r="AE680" s="25">
        <v>1</v>
      </c>
      <c r="AF680" s="25">
        <v>0</v>
      </c>
      <c r="AG680" s="25">
        <v>0.412109375</v>
      </c>
      <c r="AH680" s="25">
        <v>0.31656804700000002</v>
      </c>
      <c r="AI680" s="25" t="s">
        <v>1571</v>
      </c>
      <c r="AJ680" s="14" t="s">
        <v>34</v>
      </c>
    </row>
    <row r="681" spans="1:36" x14ac:dyDescent="0.25">
      <c r="A681" s="1">
        <v>190</v>
      </c>
      <c r="B681" s="25" t="s">
        <v>1850</v>
      </c>
      <c r="C681" s="25" t="s">
        <v>1511</v>
      </c>
      <c r="D681" s="25" t="s">
        <v>1509</v>
      </c>
      <c r="E681" s="25" t="s">
        <v>1851</v>
      </c>
      <c r="F681" s="25">
        <v>70.087999999999994</v>
      </c>
      <c r="G681" s="25">
        <v>20</v>
      </c>
      <c r="H681" s="25">
        <v>0</v>
      </c>
      <c r="I681" s="25">
        <v>1</v>
      </c>
      <c r="J681" s="25">
        <v>0</v>
      </c>
      <c r="K681" s="25">
        <v>1</v>
      </c>
      <c r="L681" s="25">
        <v>0</v>
      </c>
      <c r="M681" s="25">
        <v>0</v>
      </c>
      <c r="N681" s="25">
        <v>0</v>
      </c>
      <c r="O681" s="25">
        <v>0</v>
      </c>
      <c r="P681" s="25">
        <v>0</v>
      </c>
      <c r="Q681" s="25">
        <v>1</v>
      </c>
      <c r="R681" s="25">
        <v>0</v>
      </c>
      <c r="S681" s="25">
        <v>0</v>
      </c>
      <c r="T681" s="25">
        <v>0</v>
      </c>
      <c r="U681" s="25">
        <v>0</v>
      </c>
      <c r="V681" s="25">
        <v>0</v>
      </c>
      <c r="W681" s="25">
        <v>0</v>
      </c>
      <c r="X681" s="25">
        <v>2</v>
      </c>
      <c r="Y681" s="25">
        <v>0</v>
      </c>
      <c r="Z681" s="25">
        <v>0</v>
      </c>
      <c r="AA681" s="25">
        <v>2</v>
      </c>
      <c r="AB681" s="25">
        <v>0</v>
      </c>
      <c r="AC681" s="25">
        <v>0</v>
      </c>
      <c r="AD681" s="25">
        <v>0</v>
      </c>
      <c r="AE681" s="25">
        <v>0</v>
      </c>
      <c r="AF681" s="25">
        <v>0</v>
      </c>
      <c r="AG681" s="25">
        <v>0.1171875</v>
      </c>
      <c r="AH681" s="25">
        <v>0.16666666699999999</v>
      </c>
      <c r="AI681" s="25" t="s">
        <v>1571</v>
      </c>
      <c r="AJ681" s="14" t="s">
        <v>34</v>
      </c>
    </row>
    <row r="682" spans="1:36" x14ac:dyDescent="0.25">
      <c r="A682" s="1">
        <v>197</v>
      </c>
      <c r="B682" s="14" t="s">
        <v>637</v>
      </c>
      <c r="C682" s="14" t="s">
        <v>1400</v>
      </c>
      <c r="D682" s="14" t="s">
        <v>16</v>
      </c>
      <c r="E682" s="29" t="s">
        <v>1629</v>
      </c>
      <c r="F682" s="14">
        <v>136.22800000000001</v>
      </c>
      <c r="G682" s="14">
        <v>20.3</v>
      </c>
      <c r="H682" s="14">
        <v>0</v>
      </c>
      <c r="I682" s="14">
        <v>2</v>
      </c>
      <c r="J682" s="14">
        <v>0</v>
      </c>
      <c r="K682" s="14">
        <v>2</v>
      </c>
      <c r="L682" s="14">
        <v>0</v>
      </c>
      <c r="M682" s="14">
        <v>3</v>
      </c>
      <c r="N682" s="14">
        <v>0</v>
      </c>
      <c r="O682" s="14">
        <v>0</v>
      </c>
      <c r="P682" s="14">
        <v>0</v>
      </c>
      <c r="Q682" s="14">
        <v>0</v>
      </c>
      <c r="R682" s="14">
        <v>0</v>
      </c>
      <c r="S682" s="14">
        <v>0</v>
      </c>
      <c r="T682" s="14">
        <v>0</v>
      </c>
      <c r="U682" s="14">
        <v>0</v>
      </c>
      <c r="V682" s="14">
        <v>1</v>
      </c>
      <c r="W682" s="14">
        <v>0</v>
      </c>
      <c r="X682" s="14">
        <v>2</v>
      </c>
      <c r="Y682" s="14">
        <v>0</v>
      </c>
      <c r="Z682" s="14">
        <v>0</v>
      </c>
      <c r="AA682" s="14">
        <v>2</v>
      </c>
      <c r="AB682" s="14">
        <v>0</v>
      </c>
      <c r="AC682" s="14">
        <v>0</v>
      </c>
      <c r="AD682" s="25">
        <v>0</v>
      </c>
      <c r="AE682" s="25">
        <v>0</v>
      </c>
      <c r="AF682" s="25">
        <v>0</v>
      </c>
      <c r="AG682" s="25">
        <v>0.380102041</v>
      </c>
      <c r="AH682" s="25">
        <v>0.39236111099999998</v>
      </c>
      <c r="AI682" s="14" t="s">
        <v>1571</v>
      </c>
      <c r="AJ682" s="14" t="s">
        <v>34</v>
      </c>
    </row>
    <row r="683" spans="1:36" x14ac:dyDescent="0.25">
      <c r="A683" s="1">
        <v>221</v>
      </c>
      <c r="B683" s="25" t="s">
        <v>819</v>
      </c>
      <c r="C683" s="25" t="s">
        <v>1460</v>
      </c>
      <c r="D683" s="25" t="s">
        <v>11</v>
      </c>
      <c r="E683" s="25" t="s">
        <v>88</v>
      </c>
      <c r="F683" s="25">
        <v>72.103999999999999</v>
      </c>
      <c r="G683" s="25">
        <v>21.1</v>
      </c>
      <c r="H683" s="25">
        <v>0</v>
      </c>
      <c r="I683" s="25">
        <v>0</v>
      </c>
      <c r="J683" s="25">
        <v>0</v>
      </c>
      <c r="K683" s="25">
        <v>0</v>
      </c>
      <c r="L683" s="25">
        <v>0</v>
      </c>
      <c r="M683" s="25">
        <v>2</v>
      </c>
      <c r="N683" s="25">
        <v>0</v>
      </c>
      <c r="O683" s="25">
        <v>0</v>
      </c>
      <c r="P683" s="25">
        <v>0</v>
      </c>
      <c r="Q683" s="25">
        <v>0</v>
      </c>
      <c r="R683" s="25">
        <v>0</v>
      </c>
      <c r="S683" s="25">
        <v>0</v>
      </c>
      <c r="T683" s="25">
        <v>1</v>
      </c>
      <c r="U683" s="25">
        <v>0</v>
      </c>
      <c r="V683" s="25">
        <v>1</v>
      </c>
      <c r="W683" s="25">
        <v>0</v>
      </c>
      <c r="X683" s="25">
        <v>0</v>
      </c>
      <c r="Y683" s="25">
        <v>0</v>
      </c>
      <c r="Z683" s="25">
        <v>0</v>
      </c>
      <c r="AA683" s="25">
        <v>0</v>
      </c>
      <c r="AB683" s="25">
        <v>0</v>
      </c>
      <c r="AC683" s="25">
        <v>0</v>
      </c>
      <c r="AD683" s="25">
        <v>0</v>
      </c>
      <c r="AE683" s="25">
        <v>0</v>
      </c>
      <c r="AF683" s="25">
        <v>0</v>
      </c>
      <c r="AG683" s="25">
        <v>0.3359375</v>
      </c>
      <c r="AH683" s="25">
        <v>0.3</v>
      </c>
      <c r="AI683" s="25" t="s">
        <v>1571</v>
      </c>
      <c r="AJ683" s="14" t="s">
        <v>34</v>
      </c>
    </row>
    <row r="684" spans="1:36" x14ac:dyDescent="0.25">
      <c r="A684" s="1">
        <v>228</v>
      </c>
      <c r="B684" s="25" t="s">
        <v>1654</v>
      </c>
      <c r="C684" s="25" t="s">
        <v>1406</v>
      </c>
      <c r="D684" s="25" t="s">
        <v>12</v>
      </c>
      <c r="E684" s="25" t="s">
        <v>1653</v>
      </c>
      <c r="F684" s="25">
        <v>96.165999999999997</v>
      </c>
      <c r="G684" s="25">
        <v>22</v>
      </c>
      <c r="H684" s="25">
        <v>0</v>
      </c>
      <c r="I684" s="25">
        <v>0</v>
      </c>
      <c r="J684" s="25">
        <v>0</v>
      </c>
      <c r="K684" s="25">
        <v>0</v>
      </c>
      <c r="L684" s="25">
        <v>0</v>
      </c>
      <c r="M684" s="25">
        <v>1</v>
      </c>
      <c r="N684" s="25">
        <v>4</v>
      </c>
      <c r="O684" s="25">
        <v>0</v>
      </c>
      <c r="P684" s="25">
        <v>0</v>
      </c>
      <c r="Q684" s="25">
        <v>0</v>
      </c>
      <c r="R684" s="25">
        <v>0</v>
      </c>
      <c r="S684" s="25">
        <v>0</v>
      </c>
      <c r="T684" s="25">
        <v>0</v>
      </c>
      <c r="U684" s="25">
        <v>0</v>
      </c>
      <c r="V684" s="25">
        <v>0</v>
      </c>
      <c r="W684" s="25">
        <v>0</v>
      </c>
      <c r="X684" s="25">
        <v>0</v>
      </c>
      <c r="Y684" s="25">
        <v>0</v>
      </c>
      <c r="Z684" s="25">
        <v>0</v>
      </c>
      <c r="AA684" s="25">
        <v>0</v>
      </c>
      <c r="AB684" s="25">
        <v>0</v>
      </c>
      <c r="AC684" s="25">
        <v>0</v>
      </c>
      <c r="AD684" s="25">
        <v>0</v>
      </c>
      <c r="AE684" s="25">
        <v>0</v>
      </c>
      <c r="AF684" s="25">
        <v>0</v>
      </c>
      <c r="AG684" s="25">
        <v>0.3984375</v>
      </c>
      <c r="AH684" s="25">
        <v>0.3984375</v>
      </c>
      <c r="AI684" s="25" t="s">
        <v>1571</v>
      </c>
      <c r="AJ684" s="14" t="s">
        <v>34</v>
      </c>
    </row>
    <row r="685" spans="1:36" x14ac:dyDescent="0.25">
      <c r="A685" s="1">
        <v>242</v>
      </c>
      <c r="B685" s="25" t="s">
        <v>1266</v>
      </c>
      <c r="C685" s="25" t="s">
        <v>2171</v>
      </c>
      <c r="D685" s="25" t="s">
        <v>10</v>
      </c>
      <c r="E685" s="25" t="s">
        <v>102</v>
      </c>
      <c r="F685" s="25">
        <v>130.2282257</v>
      </c>
      <c r="G685" s="25">
        <v>23.4</v>
      </c>
      <c r="H685" s="25">
        <v>0</v>
      </c>
      <c r="I685" s="25">
        <v>0</v>
      </c>
      <c r="J685" s="25">
        <v>0</v>
      </c>
      <c r="K685" s="25">
        <v>0</v>
      </c>
      <c r="L685" s="25">
        <v>0</v>
      </c>
      <c r="M685" s="25">
        <v>2</v>
      </c>
      <c r="N685" s="25">
        <v>5</v>
      </c>
      <c r="O685" s="25">
        <v>1</v>
      </c>
      <c r="P685" s="25">
        <v>0</v>
      </c>
      <c r="Q685" s="25">
        <v>0</v>
      </c>
      <c r="R685" s="25">
        <v>0</v>
      </c>
      <c r="S685" s="25">
        <v>0</v>
      </c>
      <c r="T685" s="25">
        <v>0</v>
      </c>
      <c r="U685" s="25">
        <v>0</v>
      </c>
      <c r="V685" s="25">
        <v>1</v>
      </c>
      <c r="W685" s="25">
        <v>0</v>
      </c>
      <c r="X685" s="25">
        <v>0</v>
      </c>
      <c r="Y685" s="25">
        <v>0</v>
      </c>
      <c r="Z685" s="25">
        <v>0</v>
      </c>
      <c r="AA685" s="25">
        <v>0</v>
      </c>
      <c r="AB685" s="25">
        <v>1</v>
      </c>
      <c r="AC685" s="25">
        <v>0</v>
      </c>
      <c r="AD685" s="25">
        <v>0</v>
      </c>
      <c r="AE685" s="25">
        <v>0</v>
      </c>
      <c r="AF685" s="25">
        <v>0</v>
      </c>
      <c r="AG685" s="25">
        <v>0.39930555600000001</v>
      </c>
      <c r="AH685" s="25">
        <v>0.3828125</v>
      </c>
      <c r="AI685" s="25" t="s">
        <v>1306</v>
      </c>
      <c r="AJ685" s="14" t="s">
        <v>34</v>
      </c>
    </row>
    <row r="686" spans="1:36" x14ac:dyDescent="0.25">
      <c r="A686" s="1">
        <v>245</v>
      </c>
      <c r="B686" s="14" t="s">
        <v>1762</v>
      </c>
      <c r="C686" s="14" t="s">
        <v>1472</v>
      </c>
      <c r="D686" s="14" t="s">
        <v>1930</v>
      </c>
      <c r="E686" s="29" t="s">
        <v>112</v>
      </c>
      <c r="F686" s="14">
        <v>158.23400000000001</v>
      </c>
      <c r="G686" s="14">
        <v>23.5</v>
      </c>
      <c r="H686" s="14">
        <v>0</v>
      </c>
      <c r="I686" s="14">
        <v>0</v>
      </c>
      <c r="J686" s="14">
        <v>0</v>
      </c>
      <c r="K686" s="14">
        <v>0</v>
      </c>
      <c r="L686" s="14">
        <v>0</v>
      </c>
      <c r="M686" s="14">
        <v>2</v>
      </c>
      <c r="N686" s="14">
        <v>6</v>
      </c>
      <c r="O686" s="14">
        <v>0</v>
      </c>
      <c r="P686" s="14">
        <v>0</v>
      </c>
      <c r="Q686" s="14">
        <v>0</v>
      </c>
      <c r="R686" s="14">
        <v>0</v>
      </c>
      <c r="S686" s="14">
        <v>0</v>
      </c>
      <c r="T686" s="14">
        <v>0</v>
      </c>
      <c r="U686" s="14">
        <v>1</v>
      </c>
      <c r="V686" s="14">
        <v>0</v>
      </c>
      <c r="W686" s="14">
        <v>0</v>
      </c>
      <c r="X686" s="14">
        <v>0</v>
      </c>
      <c r="Y686" s="14">
        <v>0</v>
      </c>
      <c r="Z686" s="14">
        <v>0</v>
      </c>
      <c r="AA686" s="14">
        <v>0</v>
      </c>
      <c r="AB686" s="14">
        <v>0</v>
      </c>
      <c r="AC686" s="14">
        <v>0</v>
      </c>
      <c r="AD686" s="25">
        <v>0</v>
      </c>
      <c r="AE686" s="25">
        <v>0</v>
      </c>
      <c r="AF686" s="25">
        <v>0</v>
      </c>
      <c r="AG686" s="25">
        <v>0.47520661199999997</v>
      </c>
      <c r="AH686" s="25">
        <v>0.483471074</v>
      </c>
      <c r="AI686" s="14" t="s">
        <v>1571</v>
      </c>
      <c r="AJ686" s="14" t="s">
        <v>34</v>
      </c>
    </row>
    <row r="687" spans="1:36" x14ac:dyDescent="0.25">
      <c r="A687" s="1">
        <v>246</v>
      </c>
      <c r="B687" s="25" t="s">
        <v>1758</v>
      </c>
      <c r="C687" s="25" t="s">
        <v>1469</v>
      </c>
      <c r="D687" s="25" t="s">
        <v>1930</v>
      </c>
      <c r="E687" s="25" t="s">
        <v>1759</v>
      </c>
      <c r="F687" s="25">
        <v>130.18199999999999</v>
      </c>
      <c r="G687" s="25">
        <v>23.6</v>
      </c>
      <c r="H687" s="25">
        <v>0</v>
      </c>
      <c r="I687" s="25">
        <v>0</v>
      </c>
      <c r="J687" s="25">
        <v>0</v>
      </c>
      <c r="K687" s="25">
        <v>0</v>
      </c>
      <c r="L687" s="25">
        <v>0</v>
      </c>
      <c r="M687" s="25">
        <v>2</v>
      </c>
      <c r="N687" s="25">
        <v>4</v>
      </c>
      <c r="O687" s="25">
        <v>0</v>
      </c>
      <c r="P687" s="25">
        <v>0</v>
      </c>
      <c r="Q687" s="25">
        <v>0</v>
      </c>
      <c r="R687" s="25">
        <v>0</v>
      </c>
      <c r="S687" s="25">
        <v>0</v>
      </c>
      <c r="T687" s="25">
        <v>0</v>
      </c>
      <c r="U687" s="25">
        <v>1</v>
      </c>
      <c r="V687" s="25">
        <v>0</v>
      </c>
      <c r="W687" s="25">
        <v>0</v>
      </c>
      <c r="X687" s="25">
        <v>0</v>
      </c>
      <c r="Y687" s="25">
        <v>0</v>
      </c>
      <c r="Z687" s="25">
        <v>0</v>
      </c>
      <c r="AA687" s="25">
        <v>0</v>
      </c>
      <c r="AB687" s="25">
        <v>0</v>
      </c>
      <c r="AC687" s="25">
        <v>0</v>
      </c>
      <c r="AD687" s="25">
        <v>0</v>
      </c>
      <c r="AE687" s="25">
        <v>0</v>
      </c>
      <c r="AF687" s="25">
        <v>0</v>
      </c>
      <c r="AG687" s="25">
        <v>0.42307692299999999</v>
      </c>
      <c r="AH687" s="25">
        <v>0.43827160500000001</v>
      </c>
      <c r="AI687" s="25" t="s">
        <v>1571</v>
      </c>
      <c r="AJ687" s="14" t="s">
        <v>34</v>
      </c>
    </row>
    <row r="688" spans="1:36" x14ac:dyDescent="0.25">
      <c r="A688" s="1">
        <v>253</v>
      </c>
      <c r="B688" s="25" t="s">
        <v>1356</v>
      </c>
      <c r="C688" s="25" t="s">
        <v>2172</v>
      </c>
      <c r="D688" s="25" t="s">
        <v>12</v>
      </c>
      <c r="E688" s="25" t="s">
        <v>179</v>
      </c>
      <c r="F688" s="25">
        <v>222.409997</v>
      </c>
      <c r="G688" s="25">
        <v>24</v>
      </c>
      <c r="H688" s="25">
        <v>0</v>
      </c>
      <c r="I688" s="25">
        <v>2</v>
      </c>
      <c r="J688" s="25">
        <v>0</v>
      </c>
      <c r="K688" s="25">
        <v>2</v>
      </c>
      <c r="L688" s="25">
        <v>0</v>
      </c>
      <c r="M688" s="25">
        <v>5</v>
      </c>
      <c r="N688" s="25">
        <v>7</v>
      </c>
      <c r="O688" s="25">
        <v>0</v>
      </c>
      <c r="P688" s="25">
        <v>0</v>
      </c>
      <c r="Q688" s="25">
        <v>0</v>
      </c>
      <c r="R688" s="25">
        <v>0</v>
      </c>
      <c r="S688" s="25">
        <v>0</v>
      </c>
      <c r="T688" s="25">
        <v>0</v>
      </c>
      <c r="U688" s="25">
        <v>0</v>
      </c>
      <c r="V688" s="25">
        <v>0</v>
      </c>
      <c r="W688" s="25">
        <v>1</v>
      </c>
      <c r="X688" s="25">
        <v>0</v>
      </c>
      <c r="Y688" s="25">
        <v>0</v>
      </c>
      <c r="Z688" s="25">
        <v>0</v>
      </c>
      <c r="AA688" s="25">
        <v>0</v>
      </c>
      <c r="AB688" s="25">
        <v>0</v>
      </c>
      <c r="AC688" s="25">
        <v>0</v>
      </c>
      <c r="AD688" s="25">
        <v>0</v>
      </c>
      <c r="AE688" s="25">
        <v>0</v>
      </c>
      <c r="AF688" s="25">
        <v>0</v>
      </c>
      <c r="AG688" s="25">
        <v>0.53039999999999998</v>
      </c>
      <c r="AH688" s="25">
        <v>0.54844290699999998</v>
      </c>
      <c r="AI688" s="25" t="s">
        <v>1306</v>
      </c>
      <c r="AJ688" s="14" t="s">
        <v>34</v>
      </c>
    </row>
    <row r="689" spans="1:36" x14ac:dyDescent="0.25">
      <c r="A689" s="1">
        <v>261</v>
      </c>
      <c r="B689" s="14" t="s">
        <v>725</v>
      </c>
      <c r="C689" s="14" t="s">
        <v>445</v>
      </c>
      <c r="D689" s="14" t="s">
        <v>19</v>
      </c>
      <c r="E689" s="29" t="s">
        <v>96</v>
      </c>
      <c r="F689" s="14">
        <v>142.28</v>
      </c>
      <c r="G689" s="14">
        <v>24</v>
      </c>
      <c r="H689" s="14">
        <v>0</v>
      </c>
      <c r="I689" s="14">
        <v>0</v>
      </c>
      <c r="J689" s="14">
        <v>0</v>
      </c>
      <c r="K689" s="14">
        <v>0</v>
      </c>
      <c r="L689" s="14">
        <v>2</v>
      </c>
      <c r="M689" s="14">
        <v>6</v>
      </c>
      <c r="N689" s="14">
        <v>2</v>
      </c>
      <c r="O689" s="14">
        <v>0</v>
      </c>
      <c r="P689" s="14">
        <v>0</v>
      </c>
      <c r="Q689" s="14">
        <v>0</v>
      </c>
      <c r="R689" s="14">
        <v>0</v>
      </c>
      <c r="S689" s="14">
        <v>0</v>
      </c>
      <c r="T689" s="14">
        <v>0</v>
      </c>
      <c r="U689" s="14">
        <v>0</v>
      </c>
      <c r="V689" s="14">
        <v>0</v>
      </c>
      <c r="W689" s="14">
        <v>0</v>
      </c>
      <c r="X689" s="14">
        <v>0</v>
      </c>
      <c r="Y689" s="14">
        <v>0</v>
      </c>
      <c r="Z689" s="14">
        <v>0</v>
      </c>
      <c r="AA689" s="14">
        <v>0</v>
      </c>
      <c r="AB689" s="14">
        <v>0</v>
      </c>
      <c r="AC689" s="14">
        <v>0</v>
      </c>
      <c r="AD689" s="25">
        <v>0</v>
      </c>
      <c r="AE689" s="25">
        <v>0</v>
      </c>
      <c r="AF689" s="25">
        <v>0</v>
      </c>
      <c r="AG689" s="25">
        <v>0.41499999999999998</v>
      </c>
      <c r="AH689" s="25">
        <v>0.42592592600000001</v>
      </c>
      <c r="AI689" s="14" t="s">
        <v>1141</v>
      </c>
      <c r="AJ689" s="14" t="s">
        <v>34</v>
      </c>
    </row>
    <row r="690" spans="1:36" x14ac:dyDescent="0.25">
      <c r="A690" s="1">
        <v>275</v>
      </c>
      <c r="B690" s="14" t="s">
        <v>820</v>
      </c>
      <c r="C690" s="14" t="s">
        <v>502</v>
      </c>
      <c r="D690" s="14" t="s">
        <v>12</v>
      </c>
      <c r="E690" s="29" t="s">
        <v>212</v>
      </c>
      <c r="F690" s="14">
        <v>108.18</v>
      </c>
      <c r="G690" s="14">
        <v>25.7</v>
      </c>
      <c r="H690" s="14">
        <v>0</v>
      </c>
      <c r="I690" s="14">
        <v>2</v>
      </c>
      <c r="J690" s="14">
        <v>0</v>
      </c>
      <c r="K690" s="14">
        <v>2</v>
      </c>
      <c r="L690" s="14">
        <v>0</v>
      </c>
      <c r="M690" s="14">
        <v>0</v>
      </c>
      <c r="N690" s="14">
        <v>0</v>
      </c>
      <c r="O690" s="14">
        <v>0</v>
      </c>
      <c r="P690" s="14">
        <v>0</v>
      </c>
      <c r="Q690" s="14">
        <v>0</v>
      </c>
      <c r="R690" s="14">
        <v>0</v>
      </c>
      <c r="S690" s="14">
        <v>0</v>
      </c>
      <c r="T690" s="14">
        <v>0</v>
      </c>
      <c r="U690" s="14">
        <v>0</v>
      </c>
      <c r="V690" s="14">
        <v>0</v>
      </c>
      <c r="W690" s="14">
        <v>0</v>
      </c>
      <c r="X690" s="14">
        <v>4</v>
      </c>
      <c r="Y690" s="14">
        <v>0</v>
      </c>
      <c r="Z690" s="14">
        <v>0</v>
      </c>
      <c r="AA690" s="14">
        <v>4</v>
      </c>
      <c r="AB690" s="14">
        <v>0</v>
      </c>
      <c r="AC690" s="14">
        <v>0</v>
      </c>
      <c r="AD690" s="25">
        <v>0</v>
      </c>
      <c r="AE690" s="25">
        <v>0</v>
      </c>
      <c r="AF690" s="25">
        <v>0</v>
      </c>
      <c r="AG690" s="25">
        <v>0.34</v>
      </c>
      <c r="AH690" s="25">
        <v>0.34</v>
      </c>
      <c r="AI690" s="14" t="s">
        <v>1196</v>
      </c>
      <c r="AJ690" s="14" t="s">
        <v>34</v>
      </c>
    </row>
    <row r="691" spans="1:36" x14ac:dyDescent="0.25">
      <c r="A691" s="1">
        <v>283</v>
      </c>
      <c r="B691" s="25" t="s">
        <v>1296</v>
      </c>
      <c r="C691" s="25" t="s">
        <v>2173</v>
      </c>
      <c r="D691" s="25" t="s">
        <v>17</v>
      </c>
      <c r="E691" s="25" t="s">
        <v>52</v>
      </c>
      <c r="F691" s="25">
        <v>306.48351339999999</v>
      </c>
      <c r="G691" s="25">
        <v>26.7</v>
      </c>
      <c r="H691" s="25">
        <v>0</v>
      </c>
      <c r="I691" s="25">
        <v>3</v>
      </c>
      <c r="J691" s="25">
        <v>0</v>
      </c>
      <c r="K691" s="25">
        <v>3</v>
      </c>
      <c r="L691" s="25">
        <v>0</v>
      </c>
      <c r="M691" s="25">
        <v>2</v>
      </c>
      <c r="N691" s="25">
        <v>11</v>
      </c>
      <c r="O691" s="25">
        <v>0</v>
      </c>
      <c r="P691" s="25">
        <v>0</v>
      </c>
      <c r="Q691" s="25">
        <v>0</v>
      </c>
      <c r="R691" s="25">
        <v>0</v>
      </c>
      <c r="S691" s="25">
        <v>0</v>
      </c>
      <c r="T691" s="25">
        <v>0</v>
      </c>
      <c r="U691" s="25">
        <v>1</v>
      </c>
      <c r="V691" s="25">
        <v>0</v>
      </c>
      <c r="W691" s="25">
        <v>6</v>
      </c>
      <c r="X691" s="25">
        <v>0</v>
      </c>
      <c r="Y691" s="25">
        <v>0</v>
      </c>
      <c r="Z691" s="25">
        <v>0</v>
      </c>
      <c r="AA691" s="25">
        <v>0</v>
      </c>
      <c r="AB691" s="25">
        <v>0</v>
      </c>
      <c r="AC691" s="25">
        <v>0</v>
      </c>
      <c r="AD691" s="25">
        <v>0</v>
      </c>
      <c r="AE691" s="25">
        <v>0</v>
      </c>
      <c r="AF691" s="25">
        <v>0</v>
      </c>
      <c r="AG691" s="25">
        <v>0.606519743</v>
      </c>
      <c r="AH691" s="25">
        <v>0.63919999999999999</v>
      </c>
      <c r="AI691" s="25" t="s">
        <v>1306</v>
      </c>
      <c r="AJ691" s="14" t="s">
        <v>34</v>
      </c>
    </row>
    <row r="692" spans="1:36" x14ac:dyDescent="0.25">
      <c r="A692" s="1">
        <v>285</v>
      </c>
      <c r="B692" s="25" t="s">
        <v>1302</v>
      </c>
      <c r="C692" s="25" t="s">
        <v>2174</v>
      </c>
      <c r="D692" s="25" t="s">
        <v>17</v>
      </c>
      <c r="E692" s="25" t="s">
        <v>50</v>
      </c>
      <c r="F692" s="25">
        <v>320.51013080000001</v>
      </c>
      <c r="G692" s="25">
        <v>26.8</v>
      </c>
      <c r="H692" s="25">
        <v>0</v>
      </c>
      <c r="I692" s="25">
        <v>3</v>
      </c>
      <c r="J692" s="25">
        <v>0</v>
      </c>
      <c r="K692" s="25">
        <v>3</v>
      </c>
      <c r="L692" s="25">
        <v>0</v>
      </c>
      <c r="M692" s="25">
        <v>2</v>
      </c>
      <c r="N692" s="25">
        <v>12</v>
      </c>
      <c r="O692" s="25">
        <v>0</v>
      </c>
      <c r="P692" s="25">
        <v>0</v>
      </c>
      <c r="Q692" s="25">
        <v>0</v>
      </c>
      <c r="R692" s="25">
        <v>0</v>
      </c>
      <c r="S692" s="25">
        <v>0</v>
      </c>
      <c r="T692" s="25">
        <v>0</v>
      </c>
      <c r="U692" s="25">
        <v>1</v>
      </c>
      <c r="V692" s="25">
        <v>0</v>
      </c>
      <c r="W692" s="25">
        <v>6</v>
      </c>
      <c r="X692" s="25">
        <v>0</v>
      </c>
      <c r="Y692" s="25">
        <v>0</v>
      </c>
      <c r="Z692" s="25">
        <v>0</v>
      </c>
      <c r="AA692" s="25">
        <v>0</v>
      </c>
      <c r="AB692" s="25">
        <v>0</v>
      </c>
      <c r="AC692" s="25">
        <v>0</v>
      </c>
      <c r="AD692" s="25">
        <v>0</v>
      </c>
      <c r="AE692" s="25">
        <v>0</v>
      </c>
      <c r="AF692" s="25">
        <v>0</v>
      </c>
      <c r="AG692" s="25">
        <v>0.603954082</v>
      </c>
      <c r="AH692" s="25">
        <v>0.64275147899999996</v>
      </c>
      <c r="AI692" s="25" t="s">
        <v>1306</v>
      </c>
      <c r="AJ692" s="14" t="s">
        <v>34</v>
      </c>
    </row>
    <row r="693" spans="1:36" x14ac:dyDescent="0.25">
      <c r="A693" s="1">
        <v>294</v>
      </c>
      <c r="B693" s="14" t="s">
        <v>1650</v>
      </c>
      <c r="C693" s="14" t="s">
        <v>1404</v>
      </c>
      <c r="D693" s="14" t="s">
        <v>12</v>
      </c>
      <c r="E693" s="29" t="s">
        <v>67</v>
      </c>
      <c r="F693" s="14">
        <v>84.156000000000006</v>
      </c>
      <c r="G693" s="14">
        <v>27.3</v>
      </c>
      <c r="H693" s="14">
        <v>0</v>
      </c>
      <c r="I693" s="14">
        <v>1</v>
      </c>
      <c r="J693" s="14">
        <v>0</v>
      </c>
      <c r="K693" s="14">
        <v>1</v>
      </c>
      <c r="L693" s="14">
        <v>0</v>
      </c>
      <c r="M693" s="14">
        <v>1</v>
      </c>
      <c r="N693" s="14">
        <v>3</v>
      </c>
      <c r="O693" s="14">
        <v>0</v>
      </c>
      <c r="P693" s="14">
        <v>0</v>
      </c>
      <c r="Q693" s="14">
        <v>0</v>
      </c>
      <c r="R693" s="14">
        <v>0</v>
      </c>
      <c r="S693" s="14">
        <v>0</v>
      </c>
      <c r="T693" s="14">
        <v>0</v>
      </c>
      <c r="U693" s="14">
        <v>0</v>
      </c>
      <c r="V693" s="14">
        <v>0</v>
      </c>
      <c r="W693" s="14">
        <v>1</v>
      </c>
      <c r="X693" s="14">
        <v>0</v>
      </c>
      <c r="Y693" s="14">
        <v>1</v>
      </c>
      <c r="Z693" s="14">
        <v>0</v>
      </c>
      <c r="AA693" s="14">
        <v>0</v>
      </c>
      <c r="AB693" s="14">
        <v>0</v>
      </c>
      <c r="AC693" s="14">
        <v>0</v>
      </c>
      <c r="AD693" s="25">
        <v>0</v>
      </c>
      <c r="AE693" s="25">
        <v>0</v>
      </c>
      <c r="AF693" s="25">
        <v>0</v>
      </c>
      <c r="AG693" s="25">
        <v>0.31944444399999999</v>
      </c>
      <c r="AH693" s="25">
        <v>0.31944444399999999</v>
      </c>
      <c r="AI693" s="14" t="s">
        <v>1571</v>
      </c>
      <c r="AJ693" s="14" t="s">
        <v>34</v>
      </c>
    </row>
    <row r="694" spans="1:36" x14ac:dyDescent="0.25">
      <c r="A694" s="1">
        <v>308</v>
      </c>
      <c r="B694" s="14" t="s">
        <v>618</v>
      </c>
      <c r="C694" s="14" t="s">
        <v>350</v>
      </c>
      <c r="D694" s="14" t="s">
        <v>10</v>
      </c>
      <c r="E694" s="29" t="s">
        <v>139</v>
      </c>
      <c r="F694" s="14">
        <v>116.2</v>
      </c>
      <c r="G694" s="14">
        <v>28.75</v>
      </c>
      <c r="H694" s="14">
        <v>0</v>
      </c>
      <c r="I694" s="14">
        <v>0</v>
      </c>
      <c r="J694" s="14">
        <v>0</v>
      </c>
      <c r="K694" s="14">
        <v>0</v>
      </c>
      <c r="L694" s="14">
        <v>0</v>
      </c>
      <c r="M694" s="14">
        <v>1</v>
      </c>
      <c r="N694" s="14">
        <v>6</v>
      </c>
      <c r="O694" s="14">
        <v>1</v>
      </c>
      <c r="P694" s="14">
        <v>0</v>
      </c>
      <c r="Q694" s="14">
        <v>0</v>
      </c>
      <c r="R694" s="14">
        <v>0</v>
      </c>
      <c r="S694" s="14">
        <v>0</v>
      </c>
      <c r="T694" s="14">
        <v>0</v>
      </c>
      <c r="U694" s="14">
        <v>0</v>
      </c>
      <c r="V694" s="14">
        <v>0</v>
      </c>
      <c r="W694" s="14">
        <v>0</v>
      </c>
      <c r="X694" s="14">
        <v>0</v>
      </c>
      <c r="Y694" s="14">
        <v>0</v>
      </c>
      <c r="Z694" s="14">
        <v>0</v>
      </c>
      <c r="AA694" s="14">
        <v>0</v>
      </c>
      <c r="AB694" s="14">
        <v>1</v>
      </c>
      <c r="AC694" s="14">
        <v>0</v>
      </c>
      <c r="AD694" s="25">
        <v>0</v>
      </c>
      <c r="AE694" s="25">
        <v>0</v>
      </c>
      <c r="AF694" s="25">
        <v>0</v>
      </c>
      <c r="AG694" s="25">
        <v>0.375</v>
      </c>
      <c r="AH694" s="25">
        <v>0.37755102000000001</v>
      </c>
      <c r="AI694" s="14" t="s">
        <v>1042</v>
      </c>
      <c r="AJ694" s="14" t="s">
        <v>34</v>
      </c>
    </row>
    <row r="695" spans="1:36" x14ac:dyDescent="0.25">
      <c r="A695" s="1">
        <v>318</v>
      </c>
      <c r="B695" s="14" t="s">
        <v>816</v>
      </c>
      <c r="C695" s="14" t="s">
        <v>501</v>
      </c>
      <c r="D695" s="14" t="s">
        <v>10</v>
      </c>
      <c r="E695" s="29" t="s">
        <v>131</v>
      </c>
      <c r="F695" s="14">
        <v>158.28</v>
      </c>
      <c r="G695" s="14">
        <v>29.3</v>
      </c>
      <c r="H695" s="14">
        <v>0</v>
      </c>
      <c r="I695" s="14">
        <v>0</v>
      </c>
      <c r="J695" s="14">
        <v>0</v>
      </c>
      <c r="K695" s="14">
        <v>0</v>
      </c>
      <c r="L695" s="14">
        <v>0</v>
      </c>
      <c r="M695" s="14">
        <v>3</v>
      </c>
      <c r="N695" s="14">
        <v>5</v>
      </c>
      <c r="O695" s="14">
        <v>1</v>
      </c>
      <c r="P695" s="14">
        <v>0</v>
      </c>
      <c r="Q695" s="14">
        <v>0</v>
      </c>
      <c r="R695" s="14">
        <v>0</v>
      </c>
      <c r="S695" s="14">
        <v>0</v>
      </c>
      <c r="T695" s="14">
        <v>0</v>
      </c>
      <c r="U695" s="14">
        <v>0</v>
      </c>
      <c r="V695" s="14">
        <v>2</v>
      </c>
      <c r="W695" s="14">
        <v>0</v>
      </c>
      <c r="X695" s="14">
        <v>0</v>
      </c>
      <c r="Y695" s="14">
        <v>0</v>
      </c>
      <c r="Z695" s="14">
        <v>0</v>
      </c>
      <c r="AA695" s="14">
        <v>0</v>
      </c>
      <c r="AB695" s="14">
        <v>1</v>
      </c>
      <c r="AC695" s="14">
        <v>0</v>
      </c>
      <c r="AD695" s="25">
        <v>0</v>
      </c>
      <c r="AE695" s="25">
        <v>0</v>
      </c>
      <c r="AF695" s="25">
        <v>0</v>
      </c>
      <c r="AG695" s="25">
        <v>0.433884298</v>
      </c>
      <c r="AH695" s="25">
        <v>0.45500000000000002</v>
      </c>
      <c r="AI695" s="14" t="s">
        <v>1195</v>
      </c>
      <c r="AJ695" s="14" t="s">
        <v>34</v>
      </c>
    </row>
    <row r="696" spans="1:36" x14ac:dyDescent="0.25">
      <c r="A696" s="1">
        <v>325</v>
      </c>
      <c r="B696" s="14" t="s">
        <v>729</v>
      </c>
      <c r="C696" s="14" t="s">
        <v>262</v>
      </c>
      <c r="D696" s="14" t="s">
        <v>19</v>
      </c>
      <c r="E696" s="29" t="s">
        <v>70</v>
      </c>
      <c r="F696" s="14">
        <v>254.49</v>
      </c>
      <c r="G696" s="14">
        <v>30</v>
      </c>
      <c r="H696" s="14">
        <v>0</v>
      </c>
      <c r="I696" s="14">
        <v>0</v>
      </c>
      <c r="J696" s="14">
        <v>0</v>
      </c>
      <c r="K696" s="14">
        <v>0</v>
      </c>
      <c r="L696" s="14">
        <v>0</v>
      </c>
      <c r="M696" s="14">
        <v>4</v>
      </c>
      <c r="N696" s="14">
        <v>12</v>
      </c>
      <c r="O696" s="14">
        <v>0</v>
      </c>
      <c r="P696" s="14">
        <v>0</v>
      </c>
      <c r="Q696" s="14">
        <v>0</v>
      </c>
      <c r="R696" s="14">
        <v>0</v>
      </c>
      <c r="S696" s="14">
        <v>0</v>
      </c>
      <c r="T696" s="14">
        <v>0</v>
      </c>
      <c r="U696" s="14">
        <v>0</v>
      </c>
      <c r="V696" s="14">
        <v>2</v>
      </c>
      <c r="W696" s="14">
        <v>0</v>
      </c>
      <c r="X696" s="14">
        <v>0</v>
      </c>
      <c r="Y696" s="14">
        <v>0</v>
      </c>
      <c r="Z696" s="14">
        <v>0</v>
      </c>
      <c r="AA696" s="14">
        <v>0</v>
      </c>
      <c r="AB696" s="14">
        <v>0</v>
      </c>
      <c r="AC696" s="14">
        <v>0</v>
      </c>
      <c r="AD696" s="25">
        <v>0</v>
      </c>
      <c r="AE696" s="25">
        <v>0</v>
      </c>
      <c r="AF696" s="25">
        <v>0</v>
      </c>
      <c r="AG696" s="25">
        <v>0.56401384099999996</v>
      </c>
      <c r="AH696" s="25">
        <v>0.56574394500000003</v>
      </c>
      <c r="AI696" s="14" t="s">
        <v>948</v>
      </c>
      <c r="AJ696" s="14" t="s">
        <v>34</v>
      </c>
    </row>
    <row r="697" spans="1:36" x14ac:dyDescent="0.25">
      <c r="A697" s="1">
        <v>340</v>
      </c>
      <c r="B697" s="14" t="s">
        <v>1587</v>
      </c>
      <c r="C697" s="14" t="s">
        <v>2175</v>
      </c>
      <c r="D697" s="14" t="s">
        <v>19</v>
      </c>
      <c r="E697" s="29" t="s">
        <v>90</v>
      </c>
      <c r="F697" s="14">
        <v>114.224</v>
      </c>
      <c r="G697" s="14">
        <v>31.1</v>
      </c>
      <c r="H697" s="14">
        <v>0</v>
      </c>
      <c r="I697" s="14">
        <v>0</v>
      </c>
      <c r="J697" s="14">
        <v>0</v>
      </c>
      <c r="K697" s="14">
        <v>0</v>
      </c>
      <c r="L697" s="14">
        <v>0</v>
      </c>
      <c r="M697" s="14">
        <v>4</v>
      </c>
      <c r="N697" s="14">
        <v>2</v>
      </c>
      <c r="O697" s="14">
        <v>0</v>
      </c>
      <c r="P697" s="14">
        <v>0</v>
      </c>
      <c r="Q697" s="14">
        <v>0</v>
      </c>
      <c r="R697" s="14">
        <v>0</v>
      </c>
      <c r="S697" s="14">
        <v>0</v>
      </c>
      <c r="T697" s="14">
        <v>0</v>
      </c>
      <c r="U697" s="14">
        <v>0</v>
      </c>
      <c r="V697" s="14">
        <v>2</v>
      </c>
      <c r="W697" s="14">
        <v>0</v>
      </c>
      <c r="X697" s="14">
        <v>0</v>
      </c>
      <c r="Y697" s="14">
        <v>0</v>
      </c>
      <c r="Z697" s="14">
        <v>0</v>
      </c>
      <c r="AA697" s="14">
        <v>0</v>
      </c>
      <c r="AB697" s="14">
        <v>0</v>
      </c>
      <c r="AC697" s="14">
        <v>0</v>
      </c>
      <c r="AD697" s="25">
        <v>0</v>
      </c>
      <c r="AE697" s="25">
        <v>0</v>
      </c>
      <c r="AF697" s="25">
        <v>0</v>
      </c>
      <c r="AG697" s="25">
        <v>0.3671875</v>
      </c>
      <c r="AH697" s="25">
        <v>0.37755102000000001</v>
      </c>
      <c r="AI697" s="14" t="s">
        <v>1571</v>
      </c>
      <c r="AJ697" s="14" t="s">
        <v>34</v>
      </c>
    </row>
    <row r="698" spans="1:36" x14ac:dyDescent="0.25">
      <c r="A698" s="1">
        <v>350</v>
      </c>
      <c r="B698" s="14" t="s">
        <v>573</v>
      </c>
      <c r="C698" s="14" t="s">
        <v>286</v>
      </c>
      <c r="D698" s="14" t="s">
        <v>13</v>
      </c>
      <c r="E698" s="29" t="s">
        <v>93</v>
      </c>
      <c r="F698" s="14">
        <v>190.32</v>
      </c>
      <c r="G698" s="14">
        <v>33</v>
      </c>
      <c r="H698" s="14">
        <v>6</v>
      </c>
      <c r="I698" s="14">
        <v>0</v>
      </c>
      <c r="J698" s="14">
        <v>6</v>
      </c>
      <c r="K698" s="14">
        <v>3</v>
      </c>
      <c r="L698" s="14">
        <v>0</v>
      </c>
      <c r="M698" s="14">
        <v>2</v>
      </c>
      <c r="N698" s="14">
        <v>5</v>
      </c>
      <c r="O698" s="14">
        <v>0</v>
      </c>
      <c r="P698" s="14">
        <v>0</v>
      </c>
      <c r="Q698" s="14">
        <v>0</v>
      </c>
      <c r="R698" s="14">
        <v>0</v>
      </c>
      <c r="S698" s="14">
        <v>0</v>
      </c>
      <c r="T698" s="14">
        <v>0</v>
      </c>
      <c r="U698" s="14">
        <v>0</v>
      </c>
      <c r="V698" s="14">
        <v>1</v>
      </c>
      <c r="W698" s="14">
        <v>0</v>
      </c>
      <c r="X698" s="14">
        <v>5</v>
      </c>
      <c r="Y698" s="14">
        <v>0</v>
      </c>
      <c r="Z698" s="14">
        <v>0</v>
      </c>
      <c r="AA698" s="14">
        <v>0</v>
      </c>
      <c r="AB698" s="14">
        <v>0</v>
      </c>
      <c r="AC698" s="14">
        <v>0</v>
      </c>
      <c r="AD698" s="25">
        <v>0</v>
      </c>
      <c r="AE698" s="25">
        <v>0</v>
      </c>
      <c r="AF698" s="25">
        <v>0</v>
      </c>
      <c r="AG698" s="25">
        <v>0.419375</v>
      </c>
      <c r="AH698" s="25">
        <v>0.47231833899999998</v>
      </c>
      <c r="AI698" s="14" t="s">
        <v>975</v>
      </c>
      <c r="AJ698" s="14" t="s">
        <v>34</v>
      </c>
    </row>
    <row r="699" spans="1:36" x14ac:dyDescent="0.25">
      <c r="A699" s="1">
        <v>354</v>
      </c>
      <c r="B699" s="25" t="s">
        <v>835</v>
      </c>
      <c r="C699" s="25" t="s">
        <v>531</v>
      </c>
      <c r="D699" s="25" t="s">
        <v>17</v>
      </c>
      <c r="E699" s="25" t="s">
        <v>112</v>
      </c>
      <c r="F699" s="25">
        <v>158.24</v>
      </c>
      <c r="G699" s="25">
        <v>33.6</v>
      </c>
      <c r="H699" s="25">
        <v>0</v>
      </c>
      <c r="I699" s="25">
        <v>0</v>
      </c>
      <c r="J699" s="25">
        <v>0</v>
      </c>
      <c r="K699" s="25">
        <v>0</v>
      </c>
      <c r="L699" s="25">
        <v>0</v>
      </c>
      <c r="M699" s="25">
        <v>2</v>
      </c>
      <c r="N699" s="25">
        <v>6</v>
      </c>
      <c r="O699" s="25">
        <v>0</v>
      </c>
      <c r="P699" s="25">
        <v>0</v>
      </c>
      <c r="Q699" s="25">
        <v>0</v>
      </c>
      <c r="R699" s="25">
        <v>0</v>
      </c>
      <c r="S699" s="25">
        <v>0</v>
      </c>
      <c r="T699" s="25">
        <v>0</v>
      </c>
      <c r="U699" s="25">
        <v>1</v>
      </c>
      <c r="V699" s="25">
        <v>0</v>
      </c>
      <c r="W699" s="25">
        <v>0</v>
      </c>
      <c r="X699" s="25">
        <v>0</v>
      </c>
      <c r="Y699" s="25">
        <v>0</v>
      </c>
      <c r="Z699" s="25">
        <v>0</v>
      </c>
      <c r="AA699" s="25">
        <v>0</v>
      </c>
      <c r="AB699" s="25">
        <v>0</v>
      </c>
      <c r="AC699" s="25">
        <v>0</v>
      </c>
      <c r="AD699" s="25">
        <v>0</v>
      </c>
      <c r="AE699" s="25">
        <v>0</v>
      </c>
      <c r="AF699" s="25">
        <v>0</v>
      </c>
      <c r="AG699" s="25">
        <v>0.42899408300000003</v>
      </c>
      <c r="AH699" s="25">
        <v>0.47520661199999997</v>
      </c>
      <c r="AI699" s="25" t="s">
        <v>1228</v>
      </c>
      <c r="AJ699" s="14" t="s">
        <v>34</v>
      </c>
    </row>
    <row r="700" spans="1:36" x14ac:dyDescent="0.25">
      <c r="A700" s="1">
        <v>360</v>
      </c>
      <c r="B700" s="14" t="s">
        <v>1309</v>
      </c>
      <c r="C700" s="14" t="s">
        <v>2176</v>
      </c>
      <c r="D700" s="14" t="s">
        <v>21</v>
      </c>
      <c r="E700" s="29" t="s">
        <v>228</v>
      </c>
      <c r="F700" s="14">
        <v>194.35676219999999</v>
      </c>
      <c r="G700" s="14">
        <v>34</v>
      </c>
      <c r="H700" s="14">
        <v>0</v>
      </c>
      <c r="I700" s="14">
        <v>0</v>
      </c>
      <c r="J700" s="14">
        <v>0</v>
      </c>
      <c r="K700" s="14">
        <v>0</v>
      </c>
      <c r="L700" s="14">
        <v>0</v>
      </c>
      <c r="M700" s="14">
        <v>2</v>
      </c>
      <c r="N700" s="14">
        <v>1</v>
      </c>
      <c r="O700" s="14">
        <v>0</v>
      </c>
      <c r="P700" s="14">
        <v>0</v>
      </c>
      <c r="Q700" s="14">
        <v>0</v>
      </c>
      <c r="R700" s="14">
        <v>0</v>
      </c>
      <c r="S700" s="14">
        <v>0</v>
      </c>
      <c r="T700" s="14">
        <v>0</v>
      </c>
      <c r="U700" s="14">
        <v>0</v>
      </c>
      <c r="V700" s="14">
        <v>1</v>
      </c>
      <c r="W700" s="14">
        <v>0</v>
      </c>
      <c r="X700" s="14">
        <v>0</v>
      </c>
      <c r="Y700" s="14">
        <v>0</v>
      </c>
      <c r="Z700" s="14">
        <v>3</v>
      </c>
      <c r="AA700" s="14">
        <v>7</v>
      </c>
      <c r="AB700" s="14">
        <v>0</v>
      </c>
      <c r="AC700" s="14">
        <v>0</v>
      </c>
      <c r="AD700" s="25">
        <v>0</v>
      </c>
      <c r="AE700" s="25">
        <v>0</v>
      </c>
      <c r="AF700" s="25">
        <v>0</v>
      </c>
      <c r="AG700" s="25">
        <v>0.41349480999999999</v>
      </c>
      <c r="AH700" s="25">
        <v>0.42444444399999998</v>
      </c>
      <c r="AI700" s="14" t="s">
        <v>1306</v>
      </c>
      <c r="AJ700" s="14" t="s">
        <v>34</v>
      </c>
    </row>
    <row r="701" spans="1:36" x14ac:dyDescent="0.25">
      <c r="A701" s="1">
        <v>369</v>
      </c>
      <c r="B701" s="14" t="s">
        <v>1636</v>
      </c>
      <c r="C701" s="14" t="s">
        <v>2177</v>
      </c>
      <c r="D701" s="14" t="s">
        <v>16</v>
      </c>
      <c r="E701" s="29" t="s">
        <v>166</v>
      </c>
      <c r="F701" s="14">
        <v>140.26</v>
      </c>
      <c r="G701" s="14">
        <v>35.1</v>
      </c>
      <c r="H701" s="14">
        <v>0</v>
      </c>
      <c r="I701" s="14">
        <v>0</v>
      </c>
      <c r="J701" s="14">
        <v>0</v>
      </c>
      <c r="K701" s="14">
        <v>0</v>
      </c>
      <c r="L701" s="14">
        <v>0</v>
      </c>
      <c r="M701" s="14">
        <v>2</v>
      </c>
      <c r="N701" s="14">
        <v>1</v>
      </c>
      <c r="O701" s="14">
        <v>0</v>
      </c>
      <c r="P701" s="14">
        <v>0</v>
      </c>
      <c r="Q701" s="14">
        <v>0</v>
      </c>
      <c r="R701" s="14">
        <v>0</v>
      </c>
      <c r="S701" s="14">
        <v>0</v>
      </c>
      <c r="T701" s="14">
        <v>0</v>
      </c>
      <c r="U701" s="14">
        <v>0</v>
      </c>
      <c r="V701" s="14">
        <v>1</v>
      </c>
      <c r="W701" s="14">
        <v>0</v>
      </c>
      <c r="X701" s="14">
        <v>0</v>
      </c>
      <c r="Y701" s="14">
        <v>0</v>
      </c>
      <c r="Z701" s="14">
        <v>1</v>
      </c>
      <c r="AA701" s="14">
        <v>5</v>
      </c>
      <c r="AB701" s="14">
        <v>0</v>
      </c>
      <c r="AC701" s="14">
        <v>0</v>
      </c>
      <c r="AD701" s="25">
        <v>0</v>
      </c>
      <c r="AE701" s="25">
        <v>0</v>
      </c>
      <c r="AF701" s="25">
        <v>0</v>
      </c>
      <c r="AG701" s="25">
        <v>0.43672839499999999</v>
      </c>
      <c r="AH701" s="25">
        <v>0.36499999999999999</v>
      </c>
      <c r="AI701" s="14" t="s">
        <v>1571</v>
      </c>
      <c r="AJ701" s="14" t="s">
        <v>34</v>
      </c>
    </row>
    <row r="702" spans="1:36" x14ac:dyDescent="0.25">
      <c r="A702" s="1">
        <v>377</v>
      </c>
      <c r="B702" s="14" t="s">
        <v>1747</v>
      </c>
      <c r="C702" s="14" t="s">
        <v>1463</v>
      </c>
      <c r="D702" s="14" t="s">
        <v>20</v>
      </c>
      <c r="E702" s="29" t="s">
        <v>110</v>
      </c>
      <c r="F702" s="14">
        <v>128.208</v>
      </c>
      <c r="G702" s="14">
        <v>36</v>
      </c>
      <c r="H702" s="14">
        <v>0</v>
      </c>
      <c r="I702" s="14">
        <v>0</v>
      </c>
      <c r="J702" s="14">
        <v>0</v>
      </c>
      <c r="K702" s="14">
        <v>0</v>
      </c>
      <c r="L702" s="14">
        <v>0</v>
      </c>
      <c r="M702" s="14">
        <v>2</v>
      </c>
      <c r="N702" s="14">
        <v>5</v>
      </c>
      <c r="O702" s="14">
        <v>0</v>
      </c>
      <c r="P702" s="14">
        <v>0</v>
      </c>
      <c r="Q702" s="14">
        <v>0</v>
      </c>
      <c r="R702" s="14">
        <v>1</v>
      </c>
      <c r="S702" s="14">
        <v>0</v>
      </c>
      <c r="T702" s="14">
        <v>0</v>
      </c>
      <c r="U702" s="14">
        <v>0</v>
      </c>
      <c r="V702" s="14">
        <v>0</v>
      </c>
      <c r="W702" s="14">
        <v>0</v>
      </c>
      <c r="X702" s="14">
        <v>0</v>
      </c>
      <c r="Y702" s="14">
        <v>0</v>
      </c>
      <c r="Z702" s="14">
        <v>0</v>
      </c>
      <c r="AA702" s="14">
        <v>0</v>
      </c>
      <c r="AB702" s="14">
        <v>0</v>
      </c>
      <c r="AC702" s="14">
        <v>0</v>
      </c>
      <c r="AD702" s="25">
        <v>0</v>
      </c>
      <c r="AE702" s="25">
        <v>0</v>
      </c>
      <c r="AF702" s="25">
        <v>0</v>
      </c>
      <c r="AG702" s="25">
        <v>0.40123456800000001</v>
      </c>
      <c r="AH702" s="25">
        <v>0.40123456800000001</v>
      </c>
      <c r="AI702" s="14" t="s">
        <v>1571</v>
      </c>
      <c r="AJ702" s="14" t="s">
        <v>34</v>
      </c>
    </row>
    <row r="703" spans="1:36" x14ac:dyDescent="0.25">
      <c r="A703" s="1">
        <v>393</v>
      </c>
      <c r="B703" s="14" t="s">
        <v>1768</v>
      </c>
      <c r="C703" s="14" t="s">
        <v>2178</v>
      </c>
      <c r="D703" s="14" t="s">
        <v>1930</v>
      </c>
      <c r="E703" s="29" t="s">
        <v>123</v>
      </c>
      <c r="F703" s="14">
        <v>184.27</v>
      </c>
      <c r="G703" s="14">
        <v>38.299999999999997</v>
      </c>
      <c r="H703" s="14">
        <v>0</v>
      </c>
      <c r="I703" s="14">
        <v>1</v>
      </c>
      <c r="J703" s="14">
        <v>0</v>
      </c>
      <c r="K703" s="14">
        <v>1</v>
      </c>
      <c r="L703" s="14">
        <v>0</v>
      </c>
      <c r="M703" s="14">
        <v>1</v>
      </c>
      <c r="N703" s="14">
        <v>7</v>
      </c>
      <c r="O703" s="14">
        <v>0</v>
      </c>
      <c r="P703" s="14">
        <v>0</v>
      </c>
      <c r="Q703" s="14">
        <v>0</v>
      </c>
      <c r="R703" s="14">
        <v>0</v>
      </c>
      <c r="S703" s="14">
        <v>0</v>
      </c>
      <c r="T703" s="14">
        <v>0</v>
      </c>
      <c r="U703" s="14">
        <v>1</v>
      </c>
      <c r="V703" s="14">
        <v>0</v>
      </c>
      <c r="W703" s="14">
        <v>1</v>
      </c>
      <c r="X703" s="14">
        <v>0</v>
      </c>
      <c r="Y703" s="14">
        <v>1</v>
      </c>
      <c r="Z703" s="14">
        <v>0</v>
      </c>
      <c r="AA703" s="14">
        <v>0</v>
      </c>
      <c r="AB703" s="14">
        <v>0</v>
      </c>
      <c r="AC703" s="14">
        <v>0</v>
      </c>
      <c r="AD703" s="25">
        <v>0</v>
      </c>
      <c r="AE703" s="25">
        <v>0</v>
      </c>
      <c r="AF703" s="25">
        <v>0</v>
      </c>
      <c r="AG703" s="25">
        <v>0.52295918399999997</v>
      </c>
      <c r="AH703" s="25">
        <v>0.52295918399999997</v>
      </c>
      <c r="AI703" s="14" t="s">
        <v>1571</v>
      </c>
      <c r="AJ703" s="14" t="s">
        <v>34</v>
      </c>
    </row>
    <row r="704" spans="1:36" x14ac:dyDescent="0.25">
      <c r="A704" s="1">
        <v>407</v>
      </c>
      <c r="B704" s="14" t="s">
        <v>1600</v>
      </c>
      <c r="C704" s="14" t="s">
        <v>1384</v>
      </c>
      <c r="D704" s="14" t="s">
        <v>19</v>
      </c>
      <c r="E704" s="29" t="s">
        <v>172</v>
      </c>
      <c r="F704" s="14">
        <v>184.35400000000001</v>
      </c>
      <c r="G704" s="14">
        <v>39</v>
      </c>
      <c r="H704" s="14">
        <v>0</v>
      </c>
      <c r="I704" s="14">
        <v>0</v>
      </c>
      <c r="J704" s="14">
        <v>0</v>
      </c>
      <c r="K704" s="14">
        <v>0</v>
      </c>
      <c r="L704" s="14">
        <v>0</v>
      </c>
      <c r="M704" s="14">
        <v>3</v>
      </c>
      <c r="N704" s="14">
        <v>9</v>
      </c>
      <c r="O704" s="14">
        <v>0</v>
      </c>
      <c r="P704" s="14">
        <v>0</v>
      </c>
      <c r="Q704" s="14">
        <v>0</v>
      </c>
      <c r="R704" s="14">
        <v>0</v>
      </c>
      <c r="S704" s="14">
        <v>0</v>
      </c>
      <c r="T704" s="14">
        <v>0</v>
      </c>
      <c r="U704" s="14">
        <v>0</v>
      </c>
      <c r="V704" s="14">
        <v>1</v>
      </c>
      <c r="W704" s="14">
        <v>0</v>
      </c>
      <c r="X704" s="14">
        <v>0</v>
      </c>
      <c r="Y704" s="14">
        <v>0</v>
      </c>
      <c r="Z704" s="14">
        <v>0</v>
      </c>
      <c r="AA704" s="14">
        <v>0</v>
      </c>
      <c r="AB704" s="14">
        <v>0</v>
      </c>
      <c r="AC704" s="14">
        <v>0</v>
      </c>
      <c r="AD704" s="25">
        <v>0</v>
      </c>
      <c r="AE704" s="25">
        <v>0</v>
      </c>
      <c r="AF704" s="25">
        <v>0</v>
      </c>
      <c r="AG704" s="25">
        <v>0.464497041</v>
      </c>
      <c r="AH704" s="25">
        <v>0.49305555600000001</v>
      </c>
      <c r="AI704" s="14" t="s">
        <v>1571</v>
      </c>
      <c r="AJ704" s="14" t="s">
        <v>34</v>
      </c>
    </row>
    <row r="705" spans="1:36" x14ac:dyDescent="0.25">
      <c r="A705" s="1">
        <v>432</v>
      </c>
      <c r="B705" s="14" t="s">
        <v>823</v>
      </c>
      <c r="C705" s="14" t="s">
        <v>1415</v>
      </c>
      <c r="D705" s="14" t="s">
        <v>12</v>
      </c>
      <c r="E705" s="29" t="s">
        <v>1631</v>
      </c>
      <c r="F705" s="14">
        <v>138.244</v>
      </c>
      <c r="G705" s="14">
        <v>41</v>
      </c>
      <c r="H705" s="14">
        <v>0</v>
      </c>
      <c r="I705" s="14">
        <v>2</v>
      </c>
      <c r="J705" s="14">
        <v>0</v>
      </c>
      <c r="K705" s="14">
        <v>2</v>
      </c>
      <c r="L705" s="14">
        <v>0</v>
      </c>
      <c r="M705" s="14">
        <v>0</v>
      </c>
      <c r="N705" s="14">
        <v>6</v>
      </c>
      <c r="O705" s="14">
        <v>0</v>
      </c>
      <c r="P705" s="14">
        <v>0</v>
      </c>
      <c r="Q705" s="14">
        <v>0</v>
      </c>
      <c r="R705" s="14">
        <v>0</v>
      </c>
      <c r="S705" s="14">
        <v>0</v>
      </c>
      <c r="T705" s="14">
        <v>0</v>
      </c>
      <c r="U705" s="14">
        <v>0</v>
      </c>
      <c r="V705" s="14">
        <v>0</v>
      </c>
      <c r="W705" s="14">
        <v>2</v>
      </c>
      <c r="X705" s="14">
        <v>0</v>
      </c>
      <c r="Y705" s="14">
        <v>2</v>
      </c>
      <c r="Z705" s="14">
        <v>0</v>
      </c>
      <c r="AA705" s="14">
        <v>0</v>
      </c>
      <c r="AB705" s="14">
        <v>0</v>
      </c>
      <c r="AC705" s="14">
        <v>0</v>
      </c>
      <c r="AD705" s="25">
        <v>0</v>
      </c>
      <c r="AE705" s="25">
        <v>0</v>
      </c>
      <c r="AF705" s="25">
        <v>0</v>
      </c>
      <c r="AG705" s="25">
        <v>0.46694214899999997</v>
      </c>
      <c r="AH705" s="25">
        <v>0.47520661199999997</v>
      </c>
      <c r="AI705" s="14" t="s">
        <v>1571</v>
      </c>
      <c r="AJ705" s="14" t="s">
        <v>34</v>
      </c>
    </row>
    <row r="706" spans="1:36" x14ac:dyDescent="0.25">
      <c r="A706" s="1">
        <v>435</v>
      </c>
      <c r="B706" s="25" t="s">
        <v>770</v>
      </c>
      <c r="C706" s="25" t="s">
        <v>272</v>
      </c>
      <c r="D706" s="25" t="s">
        <v>21</v>
      </c>
      <c r="E706" s="25" t="s">
        <v>78</v>
      </c>
      <c r="F706" s="25">
        <v>264.44</v>
      </c>
      <c r="G706" s="25">
        <v>41</v>
      </c>
      <c r="H706" s="25">
        <v>0</v>
      </c>
      <c r="I706" s="25">
        <v>3</v>
      </c>
      <c r="J706" s="25">
        <v>0</v>
      </c>
      <c r="K706" s="25">
        <v>3</v>
      </c>
      <c r="L706" s="25">
        <v>0</v>
      </c>
      <c r="M706" s="25">
        <v>1</v>
      </c>
      <c r="N706" s="25">
        <v>11</v>
      </c>
      <c r="O706" s="25">
        <v>1</v>
      </c>
      <c r="P706" s="25">
        <v>0</v>
      </c>
      <c r="Q706" s="25">
        <v>0</v>
      </c>
      <c r="R706" s="25">
        <v>0</v>
      </c>
      <c r="S706" s="25">
        <v>0</v>
      </c>
      <c r="T706" s="25">
        <v>0</v>
      </c>
      <c r="U706" s="25">
        <v>0</v>
      </c>
      <c r="V706" s="25">
        <v>0</v>
      </c>
      <c r="W706" s="25">
        <v>6</v>
      </c>
      <c r="X706" s="25">
        <v>0</v>
      </c>
      <c r="Y706" s="25">
        <v>0</v>
      </c>
      <c r="Z706" s="25">
        <v>0</v>
      </c>
      <c r="AA706" s="25">
        <v>0</v>
      </c>
      <c r="AB706" s="25">
        <v>1</v>
      </c>
      <c r="AC706" s="25">
        <v>0</v>
      </c>
      <c r="AD706" s="25">
        <v>0</v>
      </c>
      <c r="AE706" s="25">
        <v>0</v>
      </c>
      <c r="AF706" s="25">
        <v>0</v>
      </c>
      <c r="AG706" s="25">
        <v>0.56896551699999998</v>
      </c>
      <c r="AH706" s="25">
        <v>0.60884353700000005</v>
      </c>
      <c r="AI706" s="25" t="s">
        <v>959</v>
      </c>
      <c r="AJ706" s="14" t="s">
        <v>34</v>
      </c>
    </row>
    <row r="707" spans="1:36" x14ac:dyDescent="0.25">
      <c r="A707" s="1">
        <v>441</v>
      </c>
      <c r="B707" s="25" t="s">
        <v>1282</v>
      </c>
      <c r="C707" s="25" t="s">
        <v>2179</v>
      </c>
      <c r="D707" s="25" t="s">
        <v>13</v>
      </c>
      <c r="E707" s="25" t="s">
        <v>109</v>
      </c>
      <c r="F707" s="25">
        <v>246.4314688</v>
      </c>
      <c r="G707" s="25">
        <v>42</v>
      </c>
      <c r="H707" s="25">
        <v>6</v>
      </c>
      <c r="I707" s="25">
        <v>0</v>
      </c>
      <c r="J707" s="25">
        <v>6</v>
      </c>
      <c r="K707" s="25">
        <v>3</v>
      </c>
      <c r="L707" s="25">
        <v>0</v>
      </c>
      <c r="M707" s="25">
        <v>2</v>
      </c>
      <c r="N707" s="25">
        <v>9</v>
      </c>
      <c r="O707" s="25">
        <v>0</v>
      </c>
      <c r="P707" s="25">
        <v>0</v>
      </c>
      <c r="Q707" s="25">
        <v>0</v>
      </c>
      <c r="R707" s="25">
        <v>0</v>
      </c>
      <c r="S707" s="25">
        <v>0</v>
      </c>
      <c r="T707" s="25">
        <v>0</v>
      </c>
      <c r="U707" s="25">
        <v>0</v>
      </c>
      <c r="V707" s="25">
        <v>1</v>
      </c>
      <c r="W707" s="25">
        <v>0</v>
      </c>
      <c r="X707" s="25">
        <v>5</v>
      </c>
      <c r="Y707" s="25">
        <v>0</v>
      </c>
      <c r="Z707" s="25">
        <v>0</v>
      </c>
      <c r="AA707" s="25">
        <v>0</v>
      </c>
      <c r="AB707" s="25">
        <v>0</v>
      </c>
      <c r="AC707" s="25">
        <v>0</v>
      </c>
      <c r="AD707" s="25">
        <v>0</v>
      </c>
      <c r="AE707" s="25">
        <v>0</v>
      </c>
      <c r="AF707" s="25">
        <v>0</v>
      </c>
      <c r="AG707" s="25">
        <v>0.499729584</v>
      </c>
      <c r="AH707" s="25">
        <v>0.55215419499999996</v>
      </c>
      <c r="AI707" s="25" t="s">
        <v>1306</v>
      </c>
      <c r="AJ707" s="14" t="s">
        <v>34</v>
      </c>
    </row>
    <row r="708" spans="1:36" x14ac:dyDescent="0.25">
      <c r="A708" s="1">
        <v>446</v>
      </c>
      <c r="B708" s="14" t="s">
        <v>1766</v>
      </c>
      <c r="C708" s="14" t="s">
        <v>1475</v>
      </c>
      <c r="D708" s="14" t="s">
        <v>1930</v>
      </c>
      <c r="E708" s="29" t="s">
        <v>1765</v>
      </c>
      <c r="F708" s="14">
        <v>172.26</v>
      </c>
      <c r="G708" s="14">
        <v>42.2</v>
      </c>
      <c r="H708" s="14">
        <v>0</v>
      </c>
      <c r="I708" s="14">
        <v>0</v>
      </c>
      <c r="J708" s="14">
        <v>0</v>
      </c>
      <c r="K708" s="14">
        <v>0</v>
      </c>
      <c r="L708" s="14">
        <v>0</v>
      </c>
      <c r="M708" s="14">
        <v>2</v>
      </c>
      <c r="N708" s="14">
        <v>7</v>
      </c>
      <c r="O708" s="14">
        <v>0</v>
      </c>
      <c r="P708" s="14">
        <v>0</v>
      </c>
      <c r="Q708" s="14">
        <v>0</v>
      </c>
      <c r="R708" s="14">
        <v>0</v>
      </c>
      <c r="S708" s="14">
        <v>0</v>
      </c>
      <c r="T708" s="14">
        <v>0</v>
      </c>
      <c r="U708" s="14">
        <v>1</v>
      </c>
      <c r="V708" s="14">
        <v>0</v>
      </c>
      <c r="W708" s="14">
        <v>0</v>
      </c>
      <c r="X708" s="14">
        <v>0</v>
      </c>
      <c r="Y708" s="14">
        <v>0</v>
      </c>
      <c r="Z708" s="14">
        <v>0</v>
      </c>
      <c r="AA708" s="14">
        <v>0</v>
      </c>
      <c r="AB708" s="14">
        <v>0</v>
      </c>
      <c r="AC708" s="14">
        <v>0</v>
      </c>
      <c r="AD708" s="25">
        <v>0</v>
      </c>
      <c r="AE708" s="25">
        <v>0</v>
      </c>
      <c r="AF708" s="25">
        <v>0</v>
      </c>
      <c r="AG708" s="25">
        <v>0.48958333300000001</v>
      </c>
      <c r="AH708" s="25">
        <v>0.49652777799999998</v>
      </c>
      <c r="AI708" s="14" t="s">
        <v>1571</v>
      </c>
      <c r="AJ708" s="14" t="s">
        <v>34</v>
      </c>
    </row>
    <row r="709" spans="1:36" x14ac:dyDescent="0.25">
      <c r="A709" s="1">
        <v>451</v>
      </c>
      <c r="B709" s="25" t="s">
        <v>1638</v>
      </c>
      <c r="C709" s="25" t="s">
        <v>2180</v>
      </c>
      <c r="D709" s="25" t="s">
        <v>16</v>
      </c>
      <c r="E709" s="25" t="s">
        <v>165</v>
      </c>
      <c r="F709" s="25">
        <v>164.28</v>
      </c>
      <c r="G709" s="25">
        <v>42.7</v>
      </c>
      <c r="H709" s="25">
        <v>0</v>
      </c>
      <c r="I709" s="25">
        <v>0</v>
      </c>
      <c r="J709" s="25">
        <v>0</v>
      </c>
      <c r="K709" s="25">
        <v>0</v>
      </c>
      <c r="L709" s="25">
        <v>0</v>
      </c>
      <c r="M709" s="25">
        <v>1</v>
      </c>
      <c r="N709" s="25">
        <v>1</v>
      </c>
      <c r="O709" s="25">
        <v>0</v>
      </c>
      <c r="P709" s="25">
        <v>0</v>
      </c>
      <c r="Q709" s="25">
        <v>0</v>
      </c>
      <c r="R709" s="25">
        <v>0</v>
      </c>
      <c r="S709" s="25">
        <v>0</v>
      </c>
      <c r="T709" s="25">
        <v>0</v>
      </c>
      <c r="U709" s="25">
        <v>0</v>
      </c>
      <c r="V709" s="25">
        <v>0</v>
      </c>
      <c r="W709" s="25">
        <v>0</v>
      </c>
      <c r="X709" s="25">
        <v>0</v>
      </c>
      <c r="Y709" s="25">
        <v>0</v>
      </c>
      <c r="Z709" s="25">
        <v>5</v>
      </c>
      <c r="AA709" s="25">
        <v>5</v>
      </c>
      <c r="AB709" s="25">
        <v>0</v>
      </c>
      <c r="AC709" s="25">
        <v>0</v>
      </c>
      <c r="AD709" s="25">
        <v>0</v>
      </c>
      <c r="AE709" s="25">
        <v>0</v>
      </c>
      <c r="AF709" s="25">
        <v>0</v>
      </c>
      <c r="AG709" s="25">
        <v>0.34072022200000002</v>
      </c>
      <c r="AH709" s="25">
        <v>0.31887755099999998</v>
      </c>
      <c r="AI709" s="25" t="s">
        <v>1571</v>
      </c>
      <c r="AJ709" s="14" t="s">
        <v>34</v>
      </c>
    </row>
    <row r="710" spans="1:36" x14ac:dyDescent="0.25">
      <c r="A710" s="1">
        <v>461</v>
      </c>
      <c r="B710" s="14" t="s">
        <v>1363</v>
      </c>
      <c r="C710" s="14" t="s">
        <v>2181</v>
      </c>
      <c r="D710" s="14" t="s">
        <v>12</v>
      </c>
      <c r="E710" s="29" t="s">
        <v>49</v>
      </c>
      <c r="F710" s="14">
        <v>252.47911329999999</v>
      </c>
      <c r="G710" s="14">
        <v>43</v>
      </c>
      <c r="H710" s="14">
        <v>0</v>
      </c>
      <c r="I710" s="14">
        <v>1</v>
      </c>
      <c r="J710" s="14">
        <v>0</v>
      </c>
      <c r="K710" s="14">
        <v>1</v>
      </c>
      <c r="L710" s="14">
        <v>0</v>
      </c>
      <c r="M710" s="14">
        <v>4</v>
      </c>
      <c r="N710" s="14">
        <v>10</v>
      </c>
      <c r="O710" s="14">
        <v>0</v>
      </c>
      <c r="P710" s="14">
        <v>0</v>
      </c>
      <c r="Q710" s="14">
        <v>0</v>
      </c>
      <c r="R710" s="14">
        <v>0</v>
      </c>
      <c r="S710" s="14">
        <v>0</v>
      </c>
      <c r="T710" s="14">
        <v>0</v>
      </c>
      <c r="U710" s="14">
        <v>0</v>
      </c>
      <c r="V710" s="14">
        <v>2</v>
      </c>
      <c r="W710" s="14">
        <v>2</v>
      </c>
      <c r="X710" s="14">
        <v>0</v>
      </c>
      <c r="Y710" s="14">
        <v>0</v>
      </c>
      <c r="Z710" s="14">
        <v>0</v>
      </c>
      <c r="AA710" s="14">
        <v>0</v>
      </c>
      <c r="AB710" s="14">
        <v>0</v>
      </c>
      <c r="AC710" s="14">
        <v>0</v>
      </c>
      <c r="AD710" s="25">
        <v>0</v>
      </c>
      <c r="AE710" s="25">
        <v>0</v>
      </c>
      <c r="AF710" s="25">
        <v>0</v>
      </c>
      <c r="AG710" s="25">
        <v>0.55540166199999996</v>
      </c>
      <c r="AH710" s="25">
        <v>0.57561728400000001</v>
      </c>
      <c r="AI710" s="14" t="s">
        <v>1306</v>
      </c>
      <c r="AJ710" s="14" t="s">
        <v>34</v>
      </c>
    </row>
    <row r="711" spans="1:36" x14ac:dyDescent="0.25">
      <c r="A711" s="1">
        <v>476</v>
      </c>
      <c r="B711" s="14" t="s">
        <v>1351</v>
      </c>
      <c r="C711" s="14" t="s">
        <v>2182</v>
      </c>
      <c r="D711" s="14" t="s">
        <v>12</v>
      </c>
      <c r="E711" s="29" t="s">
        <v>106</v>
      </c>
      <c r="F711" s="14">
        <v>224.42587850000001</v>
      </c>
      <c r="G711" s="14">
        <v>45</v>
      </c>
      <c r="H711" s="14">
        <v>0</v>
      </c>
      <c r="I711" s="14">
        <v>1</v>
      </c>
      <c r="J711" s="14">
        <v>0</v>
      </c>
      <c r="K711" s="14">
        <v>1</v>
      </c>
      <c r="L711" s="14">
        <v>0</v>
      </c>
      <c r="M711" s="14">
        <v>3</v>
      </c>
      <c r="N711" s="14">
        <v>11</v>
      </c>
      <c r="O711" s="14">
        <v>0</v>
      </c>
      <c r="P711" s="14">
        <v>0</v>
      </c>
      <c r="Q711" s="14">
        <v>0</v>
      </c>
      <c r="R711" s="14">
        <v>0</v>
      </c>
      <c r="S711" s="14">
        <v>0</v>
      </c>
      <c r="T711" s="14">
        <v>0</v>
      </c>
      <c r="U711" s="14">
        <v>0</v>
      </c>
      <c r="V711" s="14">
        <v>0</v>
      </c>
      <c r="W711" s="14">
        <v>1</v>
      </c>
      <c r="X711" s="14">
        <v>0</v>
      </c>
      <c r="Y711" s="14">
        <v>0</v>
      </c>
      <c r="Z711" s="14">
        <v>0</v>
      </c>
      <c r="AA711" s="14">
        <v>0</v>
      </c>
      <c r="AB711" s="14">
        <v>0</v>
      </c>
      <c r="AC711" s="14">
        <v>0</v>
      </c>
      <c r="AD711" s="25">
        <v>0</v>
      </c>
      <c r="AE711" s="25">
        <v>0</v>
      </c>
      <c r="AF711" s="25">
        <v>0</v>
      </c>
      <c r="AG711" s="25">
        <v>0.50925925900000002</v>
      </c>
      <c r="AH711" s="25">
        <v>0.546875</v>
      </c>
      <c r="AI711" s="14" t="s">
        <v>1306</v>
      </c>
      <c r="AJ711" s="14" t="s">
        <v>34</v>
      </c>
    </row>
    <row r="712" spans="1:36" x14ac:dyDescent="0.25">
      <c r="A712" s="1">
        <v>481</v>
      </c>
      <c r="B712" s="14" t="s">
        <v>1364</v>
      </c>
      <c r="C712" s="14" t="s">
        <v>2183</v>
      </c>
      <c r="D712" s="14" t="s">
        <v>12</v>
      </c>
      <c r="E712" s="29" t="s">
        <v>49</v>
      </c>
      <c r="F712" s="14">
        <v>252.47911329999999</v>
      </c>
      <c r="G712" s="14">
        <v>45</v>
      </c>
      <c r="H712" s="14">
        <v>0</v>
      </c>
      <c r="I712" s="14">
        <v>1</v>
      </c>
      <c r="J712" s="14">
        <v>0</v>
      </c>
      <c r="K712" s="14">
        <v>1</v>
      </c>
      <c r="L712" s="14">
        <v>0</v>
      </c>
      <c r="M712" s="14">
        <v>3</v>
      </c>
      <c r="N712" s="14">
        <v>13</v>
      </c>
      <c r="O712" s="14">
        <v>0</v>
      </c>
      <c r="P712" s="14">
        <v>0</v>
      </c>
      <c r="Q712" s="14">
        <v>0</v>
      </c>
      <c r="R712" s="14">
        <v>0</v>
      </c>
      <c r="S712" s="14">
        <v>0</v>
      </c>
      <c r="T712" s="14">
        <v>0</v>
      </c>
      <c r="U712" s="14">
        <v>0</v>
      </c>
      <c r="V712" s="14">
        <v>0</v>
      </c>
      <c r="W712" s="14">
        <v>1</v>
      </c>
      <c r="X712" s="14">
        <v>0</v>
      </c>
      <c r="Y712" s="14">
        <v>0</v>
      </c>
      <c r="Z712" s="14">
        <v>0</v>
      </c>
      <c r="AA712" s="14">
        <v>0</v>
      </c>
      <c r="AB712" s="14">
        <v>0</v>
      </c>
      <c r="AC712" s="14">
        <v>0</v>
      </c>
      <c r="AD712" s="25">
        <v>0</v>
      </c>
      <c r="AE712" s="25">
        <v>0</v>
      </c>
      <c r="AF712" s="25">
        <v>0</v>
      </c>
      <c r="AG712" s="25">
        <v>0.52249999999999996</v>
      </c>
      <c r="AH712" s="25">
        <v>0.567901235</v>
      </c>
      <c r="AI712" s="14" t="s">
        <v>1306</v>
      </c>
      <c r="AJ712" s="14" t="s">
        <v>34</v>
      </c>
    </row>
    <row r="713" spans="1:36" x14ac:dyDescent="0.25">
      <c r="A713" s="1">
        <v>485</v>
      </c>
      <c r="B713" s="25" t="s">
        <v>736</v>
      </c>
      <c r="C713" s="25" t="s">
        <v>402</v>
      </c>
      <c r="D713" s="25" t="s">
        <v>19</v>
      </c>
      <c r="E713" s="25" t="s">
        <v>132</v>
      </c>
      <c r="F713" s="25">
        <v>226.44</v>
      </c>
      <c r="G713" s="25">
        <v>45</v>
      </c>
      <c r="H713" s="25">
        <v>0</v>
      </c>
      <c r="I713" s="25">
        <v>0</v>
      </c>
      <c r="J713" s="25">
        <v>0</v>
      </c>
      <c r="K713" s="25">
        <v>0</v>
      </c>
      <c r="L713" s="25">
        <v>0</v>
      </c>
      <c r="M713" s="25">
        <v>3</v>
      </c>
      <c r="N713" s="25">
        <v>12</v>
      </c>
      <c r="O713" s="25">
        <v>0</v>
      </c>
      <c r="P713" s="25">
        <v>0</v>
      </c>
      <c r="Q713" s="25">
        <v>0</v>
      </c>
      <c r="R713" s="25">
        <v>0</v>
      </c>
      <c r="S713" s="25">
        <v>0</v>
      </c>
      <c r="T713" s="25">
        <v>0</v>
      </c>
      <c r="U713" s="25">
        <v>0</v>
      </c>
      <c r="V713" s="25">
        <v>1</v>
      </c>
      <c r="W713" s="25">
        <v>0</v>
      </c>
      <c r="X713" s="25">
        <v>0</v>
      </c>
      <c r="Y713" s="25">
        <v>0</v>
      </c>
      <c r="Z713" s="25">
        <v>0</v>
      </c>
      <c r="AA713" s="25">
        <v>0</v>
      </c>
      <c r="AB713" s="25">
        <v>0</v>
      </c>
      <c r="AC713" s="25">
        <v>0</v>
      </c>
      <c r="AD713" s="25">
        <v>0</v>
      </c>
      <c r="AE713" s="25">
        <v>0</v>
      </c>
      <c r="AF713" s="25">
        <v>0</v>
      </c>
      <c r="AG713" s="25">
        <v>0.546666667</v>
      </c>
      <c r="AH713" s="25">
        <v>0.546666667</v>
      </c>
      <c r="AI713" s="25" t="s">
        <v>1099</v>
      </c>
      <c r="AJ713" s="14" t="s">
        <v>34</v>
      </c>
    </row>
    <row r="714" spans="1:36" x14ac:dyDescent="0.25">
      <c r="A714" s="1">
        <v>502</v>
      </c>
      <c r="B714" s="14" t="s">
        <v>1675</v>
      </c>
      <c r="C714" s="14" t="s">
        <v>2184</v>
      </c>
      <c r="D714" s="14" t="s">
        <v>12</v>
      </c>
      <c r="E714" s="29" t="s">
        <v>44</v>
      </c>
      <c r="F714" s="14">
        <v>294.54599999999999</v>
      </c>
      <c r="G714" s="14">
        <v>47</v>
      </c>
      <c r="H714" s="14">
        <v>0</v>
      </c>
      <c r="I714" s="14">
        <v>1</v>
      </c>
      <c r="J714" s="14">
        <v>0</v>
      </c>
      <c r="K714" s="14">
        <v>1</v>
      </c>
      <c r="L714" s="14">
        <v>0</v>
      </c>
      <c r="M714" s="14">
        <v>3</v>
      </c>
      <c r="N714" s="14">
        <v>16</v>
      </c>
      <c r="O714" s="14">
        <v>0</v>
      </c>
      <c r="P714" s="14">
        <v>0</v>
      </c>
      <c r="Q714" s="14">
        <v>0</v>
      </c>
      <c r="R714" s="14">
        <v>0</v>
      </c>
      <c r="S714" s="14">
        <v>0</v>
      </c>
      <c r="T714" s="14">
        <v>0</v>
      </c>
      <c r="U714" s="14">
        <v>0</v>
      </c>
      <c r="V714" s="14">
        <v>0</v>
      </c>
      <c r="W714" s="14">
        <v>1</v>
      </c>
      <c r="X714" s="14">
        <v>0</v>
      </c>
      <c r="Y714" s="14">
        <v>0</v>
      </c>
      <c r="Z714" s="14">
        <v>0</v>
      </c>
      <c r="AA714" s="14">
        <v>0</v>
      </c>
      <c r="AB714" s="14">
        <v>0</v>
      </c>
      <c r="AC714" s="14">
        <v>0</v>
      </c>
      <c r="AD714" s="25">
        <v>0</v>
      </c>
      <c r="AE714" s="25">
        <v>0</v>
      </c>
      <c r="AF714" s="25">
        <v>0</v>
      </c>
      <c r="AG714" s="25">
        <v>0.58057851199999999</v>
      </c>
      <c r="AH714" s="25">
        <v>0.60544217700000003</v>
      </c>
      <c r="AI714" s="14" t="s">
        <v>1571</v>
      </c>
      <c r="AJ714" s="14" t="s">
        <v>34</v>
      </c>
    </row>
    <row r="715" spans="1:36" x14ac:dyDescent="0.25">
      <c r="A715" s="1">
        <v>506</v>
      </c>
      <c r="B715" s="25" t="s">
        <v>739</v>
      </c>
      <c r="C715" s="25" t="s">
        <v>400</v>
      </c>
      <c r="D715" s="25" t="s">
        <v>19</v>
      </c>
      <c r="E715" s="25" t="s">
        <v>77</v>
      </c>
      <c r="F715" s="25">
        <v>170.33</v>
      </c>
      <c r="G715" s="25">
        <v>47</v>
      </c>
      <c r="H715" s="25">
        <v>0</v>
      </c>
      <c r="I715" s="25">
        <v>0</v>
      </c>
      <c r="J715" s="25">
        <v>0</v>
      </c>
      <c r="K715" s="25">
        <v>0</v>
      </c>
      <c r="L715" s="25">
        <v>0</v>
      </c>
      <c r="M715" s="25">
        <v>3</v>
      </c>
      <c r="N715" s="25">
        <v>8</v>
      </c>
      <c r="O715" s="25">
        <v>0</v>
      </c>
      <c r="P715" s="25">
        <v>0</v>
      </c>
      <c r="Q715" s="25">
        <v>0</v>
      </c>
      <c r="R715" s="25">
        <v>0</v>
      </c>
      <c r="S715" s="25">
        <v>0</v>
      </c>
      <c r="T715" s="25">
        <v>0</v>
      </c>
      <c r="U715" s="25">
        <v>0</v>
      </c>
      <c r="V715" s="25">
        <v>1</v>
      </c>
      <c r="W715" s="25">
        <v>0</v>
      </c>
      <c r="X715" s="25">
        <v>0</v>
      </c>
      <c r="Y715" s="25">
        <v>0</v>
      </c>
      <c r="Z715" s="25">
        <v>0</v>
      </c>
      <c r="AA715" s="25">
        <v>0</v>
      </c>
      <c r="AB715" s="25">
        <v>0</v>
      </c>
      <c r="AC715" s="25">
        <v>0</v>
      </c>
      <c r="AD715" s="25">
        <v>0</v>
      </c>
      <c r="AE715" s="25">
        <v>0</v>
      </c>
      <c r="AF715" s="25">
        <v>0</v>
      </c>
      <c r="AG715" s="25">
        <v>0.42708333300000001</v>
      </c>
      <c r="AH715" s="25">
        <v>0.47520661199999997</v>
      </c>
      <c r="AI715" s="25" t="s">
        <v>1097</v>
      </c>
      <c r="AJ715" s="14" t="s">
        <v>34</v>
      </c>
    </row>
    <row r="716" spans="1:36" x14ac:dyDescent="0.25">
      <c r="A716" s="1">
        <v>526</v>
      </c>
      <c r="B716" s="25" t="s">
        <v>1774</v>
      </c>
      <c r="C716" s="25" t="s">
        <v>2185</v>
      </c>
      <c r="D716" s="25" t="s">
        <v>1930</v>
      </c>
      <c r="E716" s="25" t="s">
        <v>66</v>
      </c>
      <c r="F716" s="25">
        <v>214.33799999999999</v>
      </c>
      <c r="G716" s="25">
        <v>49</v>
      </c>
      <c r="H716" s="25">
        <v>0</v>
      </c>
      <c r="I716" s="25">
        <v>0</v>
      </c>
      <c r="J716" s="25">
        <v>0</v>
      </c>
      <c r="K716" s="25">
        <v>0</v>
      </c>
      <c r="L716" s="25">
        <v>0</v>
      </c>
      <c r="M716" s="25">
        <v>2</v>
      </c>
      <c r="N716" s="25">
        <v>10</v>
      </c>
      <c r="O716" s="25">
        <v>0</v>
      </c>
      <c r="P716" s="25">
        <v>0</v>
      </c>
      <c r="Q716" s="25">
        <v>0</v>
      </c>
      <c r="R716" s="25">
        <v>0</v>
      </c>
      <c r="S716" s="25">
        <v>0</v>
      </c>
      <c r="T716" s="25">
        <v>0</v>
      </c>
      <c r="U716" s="25">
        <v>1</v>
      </c>
      <c r="V716" s="25">
        <v>0</v>
      </c>
      <c r="W716" s="25">
        <v>0</v>
      </c>
      <c r="X716" s="25">
        <v>0</v>
      </c>
      <c r="Y716" s="25">
        <v>0</v>
      </c>
      <c r="Z716" s="25">
        <v>0</v>
      </c>
      <c r="AA716" s="25">
        <v>0</v>
      </c>
      <c r="AB716" s="25">
        <v>0</v>
      </c>
      <c r="AC716" s="25">
        <v>0</v>
      </c>
      <c r="AD716" s="25">
        <v>0</v>
      </c>
      <c r="AE716" s="25">
        <v>0</v>
      </c>
      <c r="AF716" s="25">
        <v>0</v>
      </c>
      <c r="AG716" s="25">
        <v>0.54444444400000003</v>
      </c>
      <c r="AH716" s="25">
        <v>0.54888888899999999</v>
      </c>
      <c r="AI716" s="25" t="s">
        <v>1571</v>
      </c>
      <c r="AJ716" s="14" t="s">
        <v>34</v>
      </c>
    </row>
    <row r="717" spans="1:36" x14ac:dyDescent="0.25">
      <c r="A717" s="1">
        <v>538</v>
      </c>
      <c r="B717" s="25" t="s">
        <v>629</v>
      </c>
      <c r="C717" s="25" t="s">
        <v>497</v>
      </c>
      <c r="D717" s="25" t="s">
        <v>12</v>
      </c>
      <c r="E717" s="25" t="s">
        <v>105</v>
      </c>
      <c r="F717" s="25">
        <v>126.24</v>
      </c>
      <c r="G717" s="25">
        <v>51</v>
      </c>
      <c r="H717" s="25">
        <v>0</v>
      </c>
      <c r="I717" s="25">
        <v>1</v>
      </c>
      <c r="J717" s="25">
        <v>0</v>
      </c>
      <c r="K717" s="25">
        <v>1</v>
      </c>
      <c r="L717" s="25">
        <v>0</v>
      </c>
      <c r="M717" s="25">
        <v>1</v>
      </c>
      <c r="N717" s="25">
        <v>6</v>
      </c>
      <c r="O717" s="25">
        <v>0</v>
      </c>
      <c r="P717" s="25">
        <v>0</v>
      </c>
      <c r="Q717" s="25">
        <v>0</v>
      </c>
      <c r="R717" s="25">
        <v>0</v>
      </c>
      <c r="S717" s="25">
        <v>0</v>
      </c>
      <c r="T717" s="25">
        <v>0</v>
      </c>
      <c r="U717" s="25">
        <v>0</v>
      </c>
      <c r="V717" s="25">
        <v>0</v>
      </c>
      <c r="W717" s="25">
        <v>1</v>
      </c>
      <c r="X717" s="25">
        <v>0</v>
      </c>
      <c r="Y717" s="25">
        <v>1</v>
      </c>
      <c r="Z717" s="25">
        <v>0</v>
      </c>
      <c r="AA717" s="25">
        <v>0</v>
      </c>
      <c r="AB717" s="25">
        <v>0</v>
      </c>
      <c r="AC717" s="25">
        <v>0</v>
      </c>
      <c r="AD717" s="25">
        <v>0</v>
      </c>
      <c r="AE717" s="25">
        <v>0</v>
      </c>
      <c r="AF717" s="25">
        <v>0</v>
      </c>
      <c r="AG717" s="25">
        <v>0.40123456800000001</v>
      </c>
      <c r="AH717" s="25">
        <v>0.43827160500000001</v>
      </c>
      <c r="AI717" s="25" t="s">
        <v>1191</v>
      </c>
      <c r="AJ717" s="14" t="s">
        <v>34</v>
      </c>
    </row>
    <row r="718" spans="1:36" x14ac:dyDescent="0.25">
      <c r="A718" s="1">
        <v>539</v>
      </c>
      <c r="B718" s="14" t="s">
        <v>1662</v>
      </c>
      <c r="C718" s="14" t="s">
        <v>1413</v>
      </c>
      <c r="D718" s="14" t="s">
        <v>12</v>
      </c>
      <c r="E718" s="29" t="s">
        <v>105</v>
      </c>
      <c r="F718" s="14">
        <v>126.23399999999999</v>
      </c>
      <c r="G718" s="14">
        <v>51</v>
      </c>
      <c r="H718" s="14">
        <v>0</v>
      </c>
      <c r="I718" s="14">
        <v>1</v>
      </c>
      <c r="J718" s="14">
        <v>0</v>
      </c>
      <c r="K718" s="14">
        <v>1</v>
      </c>
      <c r="L718" s="14">
        <v>0</v>
      </c>
      <c r="M718" s="14">
        <v>1</v>
      </c>
      <c r="N718" s="14">
        <v>6</v>
      </c>
      <c r="O718" s="14">
        <v>0</v>
      </c>
      <c r="P718" s="14">
        <v>0</v>
      </c>
      <c r="Q718" s="14">
        <v>0</v>
      </c>
      <c r="R718" s="14">
        <v>0</v>
      </c>
      <c r="S718" s="14">
        <v>0</v>
      </c>
      <c r="T718" s="14">
        <v>0</v>
      </c>
      <c r="U718" s="14">
        <v>0</v>
      </c>
      <c r="V718" s="14">
        <v>0</v>
      </c>
      <c r="W718" s="14">
        <v>1</v>
      </c>
      <c r="X718" s="14">
        <v>0</v>
      </c>
      <c r="Y718" s="14">
        <v>1</v>
      </c>
      <c r="Z718" s="14">
        <v>0</v>
      </c>
      <c r="AA718" s="14">
        <v>0</v>
      </c>
      <c r="AB718" s="14">
        <v>0</v>
      </c>
      <c r="AC718" s="14">
        <v>0</v>
      </c>
      <c r="AD718" s="25">
        <v>0</v>
      </c>
      <c r="AE718" s="25">
        <v>0</v>
      </c>
      <c r="AF718" s="25">
        <v>0</v>
      </c>
      <c r="AG718" s="25">
        <v>0.42592592600000001</v>
      </c>
      <c r="AH718" s="25">
        <v>0.43827160500000001</v>
      </c>
      <c r="AI718" s="14" t="s">
        <v>1571</v>
      </c>
      <c r="AJ718" s="14" t="s">
        <v>34</v>
      </c>
    </row>
    <row r="719" spans="1:36" x14ac:dyDescent="0.25">
      <c r="A719" s="1">
        <v>544</v>
      </c>
      <c r="B719" s="14" t="s">
        <v>898</v>
      </c>
      <c r="C719" s="14" t="s">
        <v>386</v>
      </c>
      <c r="D719" s="14" t="s">
        <v>16</v>
      </c>
      <c r="E719" s="29" t="s">
        <v>165</v>
      </c>
      <c r="F719" s="14">
        <v>164.29</v>
      </c>
      <c r="G719" s="14">
        <v>51</v>
      </c>
      <c r="H719" s="14">
        <v>0</v>
      </c>
      <c r="I719" s="14">
        <v>0</v>
      </c>
      <c r="J719" s="14">
        <v>0</v>
      </c>
      <c r="K719" s="14">
        <v>0</v>
      </c>
      <c r="L719" s="14">
        <v>0</v>
      </c>
      <c r="M719" s="14">
        <v>0</v>
      </c>
      <c r="N719" s="14">
        <v>0</v>
      </c>
      <c r="O719" s="14">
        <v>0</v>
      </c>
      <c r="P719" s="14">
        <v>0</v>
      </c>
      <c r="Q719" s="14">
        <v>0</v>
      </c>
      <c r="R719" s="14">
        <v>0</v>
      </c>
      <c r="S719" s="14">
        <v>0</v>
      </c>
      <c r="T719" s="14">
        <v>0</v>
      </c>
      <c r="U719" s="14">
        <v>0</v>
      </c>
      <c r="V719" s="14">
        <v>0</v>
      </c>
      <c r="W719" s="14">
        <v>0</v>
      </c>
      <c r="X719" s="14">
        <v>0</v>
      </c>
      <c r="Y719" s="14">
        <v>0</v>
      </c>
      <c r="Z719" s="14">
        <v>2</v>
      </c>
      <c r="AA719" s="14">
        <v>10</v>
      </c>
      <c r="AB719" s="14">
        <v>0</v>
      </c>
      <c r="AC719" s="14">
        <v>0</v>
      </c>
      <c r="AD719" s="25">
        <v>0</v>
      </c>
      <c r="AE719" s="25">
        <v>0</v>
      </c>
      <c r="AF719" s="25">
        <v>0</v>
      </c>
      <c r="AG719" s="25">
        <v>0.37345678999999998</v>
      </c>
      <c r="AH719" s="25">
        <v>0.42307692299999999</v>
      </c>
      <c r="AI719" s="14" t="s">
        <v>1084</v>
      </c>
      <c r="AJ719" s="14" t="s">
        <v>34</v>
      </c>
    </row>
    <row r="720" spans="1:36" x14ac:dyDescent="0.25">
      <c r="A720" s="1">
        <v>554</v>
      </c>
      <c r="B720" s="14" t="s">
        <v>743</v>
      </c>
      <c r="C720" s="14" t="s">
        <v>403</v>
      </c>
      <c r="D720" s="14" t="s">
        <v>19</v>
      </c>
      <c r="E720" s="29" t="s">
        <v>172</v>
      </c>
      <c r="F720" s="14">
        <v>184.36</v>
      </c>
      <c r="G720" s="14">
        <v>53</v>
      </c>
      <c r="H720" s="14">
        <v>0</v>
      </c>
      <c r="I720" s="14">
        <v>0</v>
      </c>
      <c r="J720" s="14">
        <v>0</v>
      </c>
      <c r="K720" s="14">
        <v>0</v>
      </c>
      <c r="L720" s="14">
        <v>0</v>
      </c>
      <c r="M720" s="14">
        <v>3</v>
      </c>
      <c r="N720" s="14">
        <v>9</v>
      </c>
      <c r="O720" s="14">
        <v>0</v>
      </c>
      <c r="P720" s="14">
        <v>0</v>
      </c>
      <c r="Q720" s="14">
        <v>0</v>
      </c>
      <c r="R720" s="14">
        <v>0</v>
      </c>
      <c r="S720" s="14">
        <v>0</v>
      </c>
      <c r="T720" s="14">
        <v>0</v>
      </c>
      <c r="U720" s="14">
        <v>0</v>
      </c>
      <c r="V720" s="14">
        <v>1</v>
      </c>
      <c r="W720" s="14">
        <v>0</v>
      </c>
      <c r="X720" s="14">
        <v>0</v>
      </c>
      <c r="Y720" s="14">
        <v>0</v>
      </c>
      <c r="Z720" s="14">
        <v>0</v>
      </c>
      <c r="AA720" s="14">
        <v>0</v>
      </c>
      <c r="AB720" s="14">
        <v>0</v>
      </c>
      <c r="AC720" s="14">
        <v>0</v>
      </c>
      <c r="AD720" s="25">
        <v>0</v>
      </c>
      <c r="AE720" s="25">
        <v>0</v>
      </c>
      <c r="AF720" s="25">
        <v>0</v>
      </c>
      <c r="AG720" s="25">
        <v>0.49305555600000001</v>
      </c>
      <c r="AH720" s="25">
        <v>0.49305555600000001</v>
      </c>
      <c r="AI720" s="14" t="s">
        <v>1100</v>
      </c>
      <c r="AJ720" s="14" t="s">
        <v>34</v>
      </c>
    </row>
    <row r="721" spans="1:36" x14ac:dyDescent="0.25">
      <c r="A721" s="1">
        <v>557</v>
      </c>
      <c r="B721" s="25" t="s">
        <v>1711</v>
      </c>
      <c r="C721" s="25" t="s">
        <v>1443</v>
      </c>
      <c r="D721" s="25" t="s">
        <v>10</v>
      </c>
      <c r="E721" s="25" t="s">
        <v>1712</v>
      </c>
      <c r="F721" s="25">
        <v>172.30199999999999</v>
      </c>
      <c r="G721" s="25">
        <v>53.2</v>
      </c>
      <c r="H721" s="25">
        <v>0</v>
      </c>
      <c r="I721" s="25">
        <v>0</v>
      </c>
      <c r="J721" s="25">
        <v>0</v>
      </c>
      <c r="K721" s="25">
        <v>0</v>
      </c>
      <c r="L721" s="25">
        <v>0</v>
      </c>
      <c r="M721" s="25">
        <v>1</v>
      </c>
      <c r="N721" s="25">
        <v>10</v>
      </c>
      <c r="O721" s="25">
        <v>1</v>
      </c>
      <c r="P721" s="25">
        <v>0</v>
      </c>
      <c r="Q721" s="25">
        <v>0</v>
      </c>
      <c r="R721" s="25">
        <v>0</v>
      </c>
      <c r="S721" s="25">
        <v>0</v>
      </c>
      <c r="T721" s="25">
        <v>0</v>
      </c>
      <c r="U721" s="25">
        <v>0</v>
      </c>
      <c r="V721" s="25">
        <v>0</v>
      </c>
      <c r="W721" s="25">
        <v>0</v>
      </c>
      <c r="X721" s="25">
        <v>0</v>
      </c>
      <c r="Y721" s="25">
        <v>0</v>
      </c>
      <c r="Z721" s="25">
        <v>0</v>
      </c>
      <c r="AA721" s="25">
        <v>0</v>
      </c>
      <c r="AB721" s="25">
        <v>1</v>
      </c>
      <c r="AC721" s="25">
        <v>0</v>
      </c>
      <c r="AD721" s="25">
        <v>0</v>
      </c>
      <c r="AE721" s="25">
        <v>0</v>
      </c>
      <c r="AF721" s="25">
        <v>0</v>
      </c>
      <c r="AG721" s="25">
        <v>0.46875</v>
      </c>
      <c r="AH721" s="25">
        <v>0.483471074</v>
      </c>
      <c r="AI721" s="25" t="s">
        <v>1571</v>
      </c>
      <c r="AJ721" s="14" t="s">
        <v>34</v>
      </c>
    </row>
    <row r="722" spans="1:36" x14ac:dyDescent="0.25">
      <c r="A722" s="1">
        <v>558</v>
      </c>
      <c r="B722" s="25" t="s">
        <v>789</v>
      </c>
      <c r="C722" s="25" t="s">
        <v>466</v>
      </c>
      <c r="D722" s="25" t="s">
        <v>21</v>
      </c>
      <c r="E722" s="25" t="s">
        <v>121</v>
      </c>
      <c r="F722" s="25">
        <v>296.49</v>
      </c>
      <c r="G722" s="25">
        <v>53.9</v>
      </c>
      <c r="H722" s="25">
        <v>0</v>
      </c>
      <c r="I722" s="25">
        <v>1</v>
      </c>
      <c r="J722" s="25">
        <v>0</v>
      </c>
      <c r="K722" s="25">
        <v>1</v>
      </c>
      <c r="L722" s="25">
        <v>0</v>
      </c>
      <c r="M722" s="25">
        <v>2</v>
      </c>
      <c r="N722" s="25">
        <v>14</v>
      </c>
      <c r="O722" s="25">
        <v>0</v>
      </c>
      <c r="P722" s="25">
        <v>0</v>
      </c>
      <c r="Q722" s="25">
        <v>0</v>
      </c>
      <c r="R722" s="25">
        <v>0</v>
      </c>
      <c r="S722" s="25">
        <v>0</v>
      </c>
      <c r="T722" s="25">
        <v>0</v>
      </c>
      <c r="U722" s="25">
        <v>1</v>
      </c>
      <c r="V722" s="25">
        <v>0</v>
      </c>
      <c r="W722" s="25">
        <v>2</v>
      </c>
      <c r="X722" s="25">
        <v>0</v>
      </c>
      <c r="Y722" s="25">
        <v>0</v>
      </c>
      <c r="Z722" s="25">
        <v>0</v>
      </c>
      <c r="AA722" s="25">
        <v>0</v>
      </c>
      <c r="AB722" s="25">
        <v>0</v>
      </c>
      <c r="AC722" s="25">
        <v>0</v>
      </c>
      <c r="AD722" s="25">
        <v>0</v>
      </c>
      <c r="AE722" s="25">
        <v>0</v>
      </c>
      <c r="AF722" s="25">
        <v>0</v>
      </c>
      <c r="AG722" s="25">
        <v>0.57899305599999995</v>
      </c>
      <c r="AH722" s="25">
        <v>0.61673553699999994</v>
      </c>
      <c r="AI722" s="25" t="s">
        <v>1162</v>
      </c>
      <c r="AJ722" s="14" t="s">
        <v>34</v>
      </c>
    </row>
    <row r="723" spans="1:36" x14ac:dyDescent="0.25">
      <c r="A723" s="1">
        <v>563</v>
      </c>
      <c r="B723" s="14" t="s">
        <v>1301</v>
      </c>
      <c r="C723" s="14" t="s">
        <v>2186</v>
      </c>
      <c r="D723" s="14" t="s">
        <v>17</v>
      </c>
      <c r="E723" s="29" t="s">
        <v>121</v>
      </c>
      <c r="F723" s="14">
        <v>296.48865899999998</v>
      </c>
      <c r="G723" s="14">
        <v>55.5</v>
      </c>
      <c r="H723" s="14">
        <v>0</v>
      </c>
      <c r="I723" s="14">
        <v>1</v>
      </c>
      <c r="J723" s="14">
        <v>0</v>
      </c>
      <c r="K723" s="14">
        <v>1</v>
      </c>
      <c r="L723" s="14">
        <v>0</v>
      </c>
      <c r="M723" s="14">
        <v>2</v>
      </c>
      <c r="N723" s="14">
        <v>14</v>
      </c>
      <c r="O723" s="14">
        <v>0</v>
      </c>
      <c r="P723" s="14">
        <v>0</v>
      </c>
      <c r="Q723" s="14">
        <v>0</v>
      </c>
      <c r="R723" s="14">
        <v>0</v>
      </c>
      <c r="S723" s="14">
        <v>0</v>
      </c>
      <c r="T723" s="14">
        <v>0</v>
      </c>
      <c r="U723" s="14">
        <v>1</v>
      </c>
      <c r="V723" s="14">
        <v>0</v>
      </c>
      <c r="W723" s="14">
        <v>2</v>
      </c>
      <c r="X723" s="14">
        <v>0</v>
      </c>
      <c r="Y723" s="14">
        <v>0</v>
      </c>
      <c r="Z723" s="14">
        <v>0</v>
      </c>
      <c r="AA723" s="14">
        <v>0</v>
      </c>
      <c r="AB723" s="14">
        <v>0</v>
      </c>
      <c r="AC723" s="14">
        <v>0</v>
      </c>
      <c r="AD723" s="25">
        <v>0</v>
      </c>
      <c r="AE723" s="25">
        <v>0</v>
      </c>
      <c r="AF723" s="25">
        <v>0</v>
      </c>
      <c r="AG723" s="25">
        <v>0.57899305599999995</v>
      </c>
      <c r="AH723" s="25">
        <v>0.61260330600000001</v>
      </c>
      <c r="AI723" s="14" t="s">
        <v>1306</v>
      </c>
      <c r="AJ723" s="14" t="s">
        <v>34</v>
      </c>
    </row>
    <row r="724" spans="1:36" x14ac:dyDescent="0.25">
      <c r="A724" s="1">
        <v>580</v>
      </c>
      <c r="B724" s="14" t="s">
        <v>1563</v>
      </c>
      <c r="C724" s="14" t="s">
        <v>2187</v>
      </c>
      <c r="D724" s="14" t="s">
        <v>21</v>
      </c>
      <c r="E724" s="29" t="s">
        <v>185</v>
      </c>
      <c r="F724" s="14">
        <v>280.53234809999998</v>
      </c>
      <c r="G724" s="14">
        <v>57</v>
      </c>
      <c r="H724" s="14">
        <v>0</v>
      </c>
      <c r="I724" s="14">
        <v>0</v>
      </c>
      <c r="J724" s="14">
        <v>0</v>
      </c>
      <c r="K724" s="14">
        <v>0</v>
      </c>
      <c r="L724" s="14">
        <v>0</v>
      </c>
      <c r="M724" s="14">
        <v>2</v>
      </c>
      <c r="N724" s="14">
        <v>11</v>
      </c>
      <c r="O724" s="14">
        <v>0</v>
      </c>
      <c r="P724" s="14">
        <v>0</v>
      </c>
      <c r="Q724" s="14">
        <v>0</v>
      </c>
      <c r="R724" s="14">
        <v>0</v>
      </c>
      <c r="S724" s="14">
        <v>0</v>
      </c>
      <c r="T724" s="14">
        <v>0</v>
      </c>
      <c r="U724" s="14">
        <v>0</v>
      </c>
      <c r="V724" s="14">
        <v>1</v>
      </c>
      <c r="W724" s="14">
        <v>0</v>
      </c>
      <c r="X724" s="14">
        <v>0</v>
      </c>
      <c r="Y724" s="14">
        <v>0</v>
      </c>
      <c r="Z724" s="14">
        <v>1</v>
      </c>
      <c r="AA724" s="14">
        <v>5</v>
      </c>
      <c r="AB724" s="14">
        <v>0</v>
      </c>
      <c r="AC724" s="14">
        <v>0</v>
      </c>
      <c r="AD724" s="25">
        <v>0</v>
      </c>
      <c r="AE724" s="25">
        <v>0</v>
      </c>
      <c r="AF724" s="25">
        <v>0</v>
      </c>
      <c r="AG724" s="25">
        <v>0.56802721099999998</v>
      </c>
      <c r="AH724" s="25">
        <v>0.59125000000000005</v>
      </c>
      <c r="AI724" s="14" t="s">
        <v>1306</v>
      </c>
      <c r="AJ724" s="14" t="s">
        <v>34</v>
      </c>
    </row>
    <row r="725" spans="1:36" x14ac:dyDescent="0.25">
      <c r="A725" s="1">
        <v>590</v>
      </c>
      <c r="B725" s="25" t="s">
        <v>1336</v>
      </c>
      <c r="C725" s="25" t="s">
        <v>2188</v>
      </c>
      <c r="D725" s="25" t="s">
        <v>7</v>
      </c>
      <c r="E725" s="25" t="s">
        <v>172</v>
      </c>
      <c r="F725" s="25">
        <v>184.36190780000001</v>
      </c>
      <c r="G725" s="25">
        <v>58</v>
      </c>
      <c r="H725" s="25">
        <v>0</v>
      </c>
      <c r="I725" s="25">
        <v>0</v>
      </c>
      <c r="J725" s="25">
        <v>0</v>
      </c>
      <c r="K725" s="25">
        <v>0</v>
      </c>
      <c r="L725" s="25">
        <v>0</v>
      </c>
      <c r="M725" s="25">
        <v>4</v>
      </c>
      <c r="N725" s="25">
        <v>7</v>
      </c>
      <c r="O725" s="25">
        <v>0</v>
      </c>
      <c r="P725" s="25">
        <v>0</v>
      </c>
      <c r="Q725" s="25">
        <v>0</v>
      </c>
      <c r="R725" s="25">
        <v>0</v>
      </c>
      <c r="S725" s="25">
        <v>0</v>
      </c>
      <c r="T725" s="25">
        <v>0</v>
      </c>
      <c r="U725" s="25">
        <v>0</v>
      </c>
      <c r="V725" s="25">
        <v>2</v>
      </c>
      <c r="W725" s="25">
        <v>0</v>
      </c>
      <c r="X725" s="25">
        <v>0</v>
      </c>
      <c r="Y725" s="25">
        <v>0</v>
      </c>
      <c r="Z725" s="25">
        <v>0</v>
      </c>
      <c r="AA725" s="25">
        <v>0</v>
      </c>
      <c r="AB725" s="25">
        <v>0</v>
      </c>
      <c r="AC725" s="25">
        <v>0</v>
      </c>
      <c r="AD725" s="25">
        <v>0</v>
      </c>
      <c r="AE725" s="25">
        <v>0</v>
      </c>
      <c r="AF725" s="25">
        <v>0</v>
      </c>
      <c r="AG725" s="25">
        <v>0.48224852099999999</v>
      </c>
      <c r="AH725" s="25">
        <v>0.49652777799999998</v>
      </c>
      <c r="AI725" s="25" t="s">
        <v>1306</v>
      </c>
      <c r="AJ725" s="14" t="s">
        <v>34</v>
      </c>
    </row>
    <row r="726" spans="1:36" x14ac:dyDescent="0.25">
      <c r="A726" s="1">
        <v>618</v>
      </c>
      <c r="B726" s="14" t="s">
        <v>1562</v>
      </c>
      <c r="C726" s="14" t="s">
        <v>2189</v>
      </c>
      <c r="D726" s="14" t="s">
        <v>21</v>
      </c>
      <c r="E726" s="29" t="s">
        <v>106</v>
      </c>
      <c r="F726" s="14">
        <v>224.42587850000001</v>
      </c>
      <c r="G726" s="14">
        <v>63</v>
      </c>
      <c r="H726" s="14">
        <v>0</v>
      </c>
      <c r="I726" s="14">
        <v>0</v>
      </c>
      <c r="J726" s="14">
        <v>0</v>
      </c>
      <c r="K726" s="14">
        <v>0</v>
      </c>
      <c r="L726" s="14">
        <v>0</v>
      </c>
      <c r="M726" s="14">
        <v>3</v>
      </c>
      <c r="N726" s="14">
        <v>5</v>
      </c>
      <c r="O726" s="14">
        <v>0</v>
      </c>
      <c r="P726" s="14">
        <v>0</v>
      </c>
      <c r="Q726" s="14">
        <v>0</v>
      </c>
      <c r="R726" s="14">
        <v>0</v>
      </c>
      <c r="S726" s="14">
        <v>0</v>
      </c>
      <c r="T726" s="14">
        <v>0</v>
      </c>
      <c r="U726" s="14">
        <v>0</v>
      </c>
      <c r="V726" s="14">
        <v>2</v>
      </c>
      <c r="W726" s="14">
        <v>0</v>
      </c>
      <c r="X726" s="14">
        <v>0</v>
      </c>
      <c r="Y726" s="14">
        <v>0</v>
      </c>
      <c r="Z726" s="14">
        <v>1</v>
      </c>
      <c r="AA726" s="14">
        <v>5</v>
      </c>
      <c r="AB726" s="14">
        <v>0</v>
      </c>
      <c r="AC726" s="14">
        <v>0</v>
      </c>
      <c r="AD726" s="25">
        <v>0</v>
      </c>
      <c r="AE726" s="25">
        <v>0</v>
      </c>
      <c r="AF726" s="25">
        <v>0</v>
      </c>
      <c r="AG726" s="25">
        <v>0.52076124599999996</v>
      </c>
      <c r="AH726" s="25">
        <v>0.533203125</v>
      </c>
      <c r="AI726" s="14" t="s">
        <v>1306</v>
      </c>
      <c r="AJ726" s="14" t="s">
        <v>34</v>
      </c>
    </row>
    <row r="727" spans="1:36" x14ac:dyDescent="0.25">
      <c r="A727" s="1">
        <v>624</v>
      </c>
      <c r="B727" s="25" t="s">
        <v>564</v>
      </c>
      <c r="C727" s="25" t="s">
        <v>353</v>
      </c>
      <c r="D727" s="25" t="s">
        <v>10</v>
      </c>
      <c r="E727" s="25" t="s">
        <v>143</v>
      </c>
      <c r="F727" s="25">
        <v>214.39</v>
      </c>
      <c r="G727" s="25">
        <v>65.900000000000006</v>
      </c>
      <c r="H727" s="25">
        <v>0</v>
      </c>
      <c r="I727" s="25">
        <v>0</v>
      </c>
      <c r="J727" s="25">
        <v>0</v>
      </c>
      <c r="K727" s="25">
        <v>0</v>
      </c>
      <c r="L727" s="25">
        <v>0</v>
      </c>
      <c r="M727" s="25">
        <v>1</v>
      </c>
      <c r="N727" s="25">
        <v>13</v>
      </c>
      <c r="O727" s="25">
        <v>1</v>
      </c>
      <c r="P727" s="25">
        <v>0</v>
      </c>
      <c r="Q727" s="25">
        <v>0</v>
      </c>
      <c r="R727" s="25">
        <v>0</v>
      </c>
      <c r="S727" s="25">
        <v>0</v>
      </c>
      <c r="T727" s="25">
        <v>0</v>
      </c>
      <c r="U727" s="25">
        <v>0</v>
      </c>
      <c r="V727" s="25">
        <v>0</v>
      </c>
      <c r="W727" s="25">
        <v>0</v>
      </c>
      <c r="X727" s="25">
        <v>0</v>
      </c>
      <c r="Y727" s="25">
        <v>0</v>
      </c>
      <c r="Z727" s="25">
        <v>0</v>
      </c>
      <c r="AA727" s="25">
        <v>0</v>
      </c>
      <c r="AB727" s="25">
        <v>1</v>
      </c>
      <c r="AC727" s="25">
        <v>0</v>
      </c>
      <c r="AD727" s="25">
        <v>0</v>
      </c>
      <c r="AE727" s="25">
        <v>0</v>
      </c>
      <c r="AF727" s="25">
        <v>0</v>
      </c>
      <c r="AG727" s="25">
        <v>0.50888888899999996</v>
      </c>
      <c r="AH727" s="25">
        <v>0.533163265</v>
      </c>
      <c r="AI727" s="25" t="s">
        <v>1045</v>
      </c>
      <c r="AJ727" s="14" t="s">
        <v>34</v>
      </c>
    </row>
    <row r="728" spans="1:36" x14ac:dyDescent="0.25">
      <c r="A728" s="1">
        <v>640</v>
      </c>
      <c r="B728" s="14" t="s">
        <v>1824</v>
      </c>
      <c r="C728" s="14" t="s">
        <v>2190</v>
      </c>
      <c r="D728" s="14" t="s">
        <v>1931</v>
      </c>
      <c r="E728" s="29" t="s">
        <v>47</v>
      </c>
      <c r="F728" s="14">
        <v>298.49400000000003</v>
      </c>
      <c r="G728" s="14">
        <v>68</v>
      </c>
      <c r="H728" s="14">
        <v>0</v>
      </c>
      <c r="I728" s="14">
        <v>0</v>
      </c>
      <c r="J728" s="14">
        <v>0</v>
      </c>
      <c r="K728" s="14">
        <v>0</v>
      </c>
      <c r="L728" s="14">
        <v>0</v>
      </c>
      <c r="M728" s="14">
        <v>2</v>
      </c>
      <c r="N728" s="14">
        <v>16</v>
      </c>
      <c r="O728" s="14">
        <v>0</v>
      </c>
      <c r="P728" s="14">
        <v>0</v>
      </c>
      <c r="Q728" s="14">
        <v>0</v>
      </c>
      <c r="R728" s="14">
        <v>0</v>
      </c>
      <c r="S728" s="14">
        <v>0</v>
      </c>
      <c r="T728" s="14">
        <v>0</v>
      </c>
      <c r="U728" s="14">
        <v>1</v>
      </c>
      <c r="V728" s="14">
        <v>0</v>
      </c>
      <c r="W728" s="14">
        <v>0</v>
      </c>
      <c r="X728" s="14">
        <v>0</v>
      </c>
      <c r="Y728" s="14">
        <v>0</v>
      </c>
      <c r="Z728" s="14">
        <v>0</v>
      </c>
      <c r="AA728" s="14">
        <v>0</v>
      </c>
      <c r="AB728" s="14">
        <v>0</v>
      </c>
      <c r="AC728" s="14">
        <v>0</v>
      </c>
      <c r="AD728" s="25">
        <v>0</v>
      </c>
      <c r="AE728" s="25">
        <v>0</v>
      </c>
      <c r="AF728" s="25">
        <v>0</v>
      </c>
      <c r="AG728" s="25">
        <v>0.59750566900000002</v>
      </c>
      <c r="AH728" s="25">
        <v>0.60430839000000003</v>
      </c>
      <c r="AI728" s="14" t="s">
        <v>1571</v>
      </c>
      <c r="AJ728" s="14" t="s">
        <v>34</v>
      </c>
    </row>
    <row r="729" spans="1:36" x14ac:dyDescent="0.25">
      <c r="A729" s="1">
        <v>653</v>
      </c>
      <c r="B729" s="25" t="s">
        <v>1894</v>
      </c>
      <c r="C729" s="25" t="s">
        <v>1535</v>
      </c>
      <c r="D729" s="25" t="s">
        <v>13</v>
      </c>
      <c r="E729" s="25" t="s">
        <v>224</v>
      </c>
      <c r="F729" s="25">
        <v>274.47199999999998</v>
      </c>
      <c r="G729" s="25">
        <v>72</v>
      </c>
      <c r="H729" s="25">
        <v>6</v>
      </c>
      <c r="I729" s="25">
        <v>0</v>
      </c>
      <c r="J729" s="25">
        <v>6</v>
      </c>
      <c r="K729" s="25">
        <v>3</v>
      </c>
      <c r="L729" s="25">
        <v>0</v>
      </c>
      <c r="M729" s="25">
        <v>1</v>
      </c>
      <c r="N729" s="25">
        <v>13</v>
      </c>
      <c r="O729" s="25">
        <v>0</v>
      </c>
      <c r="P729" s="25">
        <v>0</v>
      </c>
      <c r="Q729" s="25">
        <v>0</v>
      </c>
      <c r="R729" s="25">
        <v>0</v>
      </c>
      <c r="S729" s="25">
        <v>0</v>
      </c>
      <c r="T729" s="25">
        <v>0</v>
      </c>
      <c r="U729" s="25">
        <v>0</v>
      </c>
      <c r="V729" s="25">
        <v>0</v>
      </c>
      <c r="W729" s="25">
        <v>0</v>
      </c>
      <c r="X729" s="25">
        <v>5</v>
      </c>
      <c r="Y729" s="25">
        <v>0</v>
      </c>
      <c r="Z729" s="25">
        <v>0</v>
      </c>
      <c r="AA729" s="25">
        <v>0</v>
      </c>
      <c r="AB729" s="25">
        <v>0</v>
      </c>
      <c r="AC729" s="25">
        <v>0</v>
      </c>
      <c r="AD729" s="25">
        <v>0</v>
      </c>
      <c r="AE729" s="25">
        <v>0</v>
      </c>
      <c r="AF729" s="25">
        <v>0</v>
      </c>
      <c r="AG729" s="25">
        <v>0.56857638899999996</v>
      </c>
      <c r="AH729" s="25">
        <v>0.58317580300000005</v>
      </c>
      <c r="AI729" s="25" t="s">
        <v>1571</v>
      </c>
      <c r="AJ729" s="14" t="s">
        <v>34</v>
      </c>
    </row>
    <row r="730" spans="1:36" x14ac:dyDescent="0.25">
      <c r="A730" s="1">
        <v>657</v>
      </c>
      <c r="B730" s="25" t="s">
        <v>596</v>
      </c>
      <c r="C730" s="25" t="s">
        <v>409</v>
      </c>
      <c r="D730" s="25" t="s">
        <v>7</v>
      </c>
      <c r="E730" s="25" t="s">
        <v>171</v>
      </c>
      <c r="F730" s="25">
        <v>128.25</v>
      </c>
      <c r="G730" s="25">
        <v>72</v>
      </c>
      <c r="H730" s="25">
        <v>0</v>
      </c>
      <c r="I730" s="25">
        <v>0</v>
      </c>
      <c r="J730" s="25">
        <v>0</v>
      </c>
      <c r="K730" s="25">
        <v>0</v>
      </c>
      <c r="L730" s="25">
        <v>0</v>
      </c>
      <c r="M730" s="25">
        <v>2</v>
      </c>
      <c r="N730" s="25">
        <v>7</v>
      </c>
      <c r="O730" s="25">
        <v>0</v>
      </c>
      <c r="P730" s="25">
        <v>0</v>
      </c>
      <c r="Q730" s="25">
        <v>0</v>
      </c>
      <c r="R730" s="25">
        <v>0</v>
      </c>
      <c r="S730" s="25">
        <v>0</v>
      </c>
      <c r="T730" s="25">
        <v>0</v>
      </c>
      <c r="U730" s="25">
        <v>0</v>
      </c>
      <c r="V730" s="25">
        <v>0</v>
      </c>
      <c r="W730" s="25">
        <v>0</v>
      </c>
      <c r="X730" s="25">
        <v>0</v>
      </c>
      <c r="Y730" s="25">
        <v>0</v>
      </c>
      <c r="Z730" s="25">
        <v>0</v>
      </c>
      <c r="AA730" s="25">
        <v>0</v>
      </c>
      <c r="AB730" s="25">
        <v>0</v>
      </c>
      <c r="AC730" s="25">
        <v>0</v>
      </c>
      <c r="AD730" s="25">
        <v>0</v>
      </c>
      <c r="AE730" s="25">
        <v>0</v>
      </c>
      <c r="AF730" s="25">
        <v>0</v>
      </c>
      <c r="AG730" s="25">
        <v>0.38888888900000002</v>
      </c>
      <c r="AH730" s="25">
        <v>0.4140625</v>
      </c>
      <c r="AI730" s="25" t="s">
        <v>1106</v>
      </c>
      <c r="AJ730" s="14" t="s">
        <v>34</v>
      </c>
    </row>
    <row r="731" spans="1:36" x14ac:dyDescent="0.25">
      <c r="A731" s="1">
        <v>667</v>
      </c>
      <c r="B731" s="14" t="s">
        <v>565</v>
      </c>
      <c r="C731" s="14" t="s">
        <v>240</v>
      </c>
      <c r="D731" s="14" t="s">
        <v>11</v>
      </c>
      <c r="E731" s="29" t="s">
        <v>48</v>
      </c>
      <c r="F731" s="14">
        <v>100.16</v>
      </c>
      <c r="G731" s="14">
        <v>75.2</v>
      </c>
      <c r="H731" s="14">
        <v>0</v>
      </c>
      <c r="I731" s="14">
        <v>0</v>
      </c>
      <c r="J731" s="14">
        <v>0</v>
      </c>
      <c r="K731" s="14">
        <v>0</v>
      </c>
      <c r="L731" s="14">
        <v>0</v>
      </c>
      <c r="M731" s="14">
        <v>1</v>
      </c>
      <c r="N731" s="14">
        <v>4</v>
      </c>
      <c r="O731" s="14">
        <v>0</v>
      </c>
      <c r="P731" s="14">
        <v>0</v>
      </c>
      <c r="Q731" s="14">
        <v>0</v>
      </c>
      <c r="R731" s="14">
        <v>0</v>
      </c>
      <c r="S731" s="14">
        <v>0</v>
      </c>
      <c r="T731" s="14">
        <v>1</v>
      </c>
      <c r="U731" s="14">
        <v>0</v>
      </c>
      <c r="V731" s="14">
        <v>0</v>
      </c>
      <c r="W731" s="14">
        <v>0</v>
      </c>
      <c r="X731" s="14">
        <v>0</v>
      </c>
      <c r="Y731" s="14">
        <v>0</v>
      </c>
      <c r="Z731" s="14">
        <v>0</v>
      </c>
      <c r="AA731" s="14">
        <v>0</v>
      </c>
      <c r="AB731" s="14">
        <v>0</v>
      </c>
      <c r="AC731" s="14">
        <v>0</v>
      </c>
      <c r="AD731" s="25">
        <v>0</v>
      </c>
      <c r="AE731" s="25">
        <v>0</v>
      </c>
      <c r="AF731" s="25">
        <v>0</v>
      </c>
      <c r="AG731" s="25">
        <v>0.37755102000000001</v>
      </c>
      <c r="AH731" s="25">
        <v>0.37755102000000001</v>
      </c>
      <c r="AI731" s="14" t="s">
        <v>923</v>
      </c>
      <c r="AJ731" s="14" t="s">
        <v>34</v>
      </c>
    </row>
    <row r="732" spans="1:36" x14ac:dyDescent="0.25">
      <c r="A732" s="1">
        <v>677</v>
      </c>
      <c r="B732" s="14" t="s">
        <v>775</v>
      </c>
      <c r="C732" s="14" t="s">
        <v>458</v>
      </c>
      <c r="D732" s="14" t="s">
        <v>21</v>
      </c>
      <c r="E732" s="29" t="s">
        <v>196</v>
      </c>
      <c r="F732" s="14">
        <v>164.2</v>
      </c>
      <c r="G732" s="14">
        <v>80.7</v>
      </c>
      <c r="H732" s="14">
        <v>0</v>
      </c>
      <c r="I732" s="14">
        <v>0</v>
      </c>
      <c r="J732" s="14">
        <v>0</v>
      </c>
      <c r="K732" s="14">
        <v>0</v>
      </c>
      <c r="L732" s="14">
        <v>0</v>
      </c>
      <c r="M732" s="14">
        <v>1</v>
      </c>
      <c r="N732" s="14">
        <v>6</v>
      </c>
      <c r="O732" s="14">
        <v>1</v>
      </c>
      <c r="P732" s="14">
        <v>3</v>
      </c>
      <c r="Q732" s="14">
        <v>0</v>
      </c>
      <c r="R732" s="14">
        <v>0</v>
      </c>
      <c r="S732" s="14">
        <v>0</v>
      </c>
      <c r="T732" s="14">
        <v>0</v>
      </c>
      <c r="U732" s="14">
        <v>0</v>
      </c>
      <c r="V732" s="14">
        <v>0</v>
      </c>
      <c r="W732" s="14">
        <v>0</v>
      </c>
      <c r="X732" s="14">
        <v>0</v>
      </c>
      <c r="Y732" s="14">
        <v>0</v>
      </c>
      <c r="Z732" s="14">
        <v>0</v>
      </c>
      <c r="AA732" s="14">
        <v>0</v>
      </c>
      <c r="AB732" s="14">
        <v>1</v>
      </c>
      <c r="AC732" s="14">
        <v>0</v>
      </c>
      <c r="AD732" s="25">
        <v>0</v>
      </c>
      <c r="AE732" s="25">
        <v>0</v>
      </c>
      <c r="AF732" s="25">
        <v>0</v>
      </c>
      <c r="AG732" s="25">
        <v>0.44214875999999997</v>
      </c>
      <c r="AH732" s="25">
        <v>0.46500000000000002</v>
      </c>
      <c r="AI732" s="14" t="s">
        <v>1155</v>
      </c>
      <c r="AJ732" s="14" t="s">
        <v>34</v>
      </c>
    </row>
    <row r="733" spans="1:36" x14ac:dyDescent="0.25">
      <c r="A733" s="1">
        <v>678</v>
      </c>
      <c r="B733" s="14" t="s">
        <v>1715</v>
      </c>
      <c r="C733" s="14" t="s">
        <v>1445</v>
      </c>
      <c r="D733" s="14" t="s">
        <v>10</v>
      </c>
      <c r="E733" s="29" t="s">
        <v>1716</v>
      </c>
      <c r="F733" s="14">
        <v>214.38</v>
      </c>
      <c r="G733" s="14">
        <v>80.8</v>
      </c>
      <c r="H733" s="14">
        <v>0</v>
      </c>
      <c r="I733" s="14">
        <v>0</v>
      </c>
      <c r="J733" s="14">
        <v>0</v>
      </c>
      <c r="K733" s="14">
        <v>0</v>
      </c>
      <c r="L733" s="14">
        <v>0</v>
      </c>
      <c r="M733" s="14">
        <v>1</v>
      </c>
      <c r="N733" s="14">
        <v>13</v>
      </c>
      <c r="O733" s="14">
        <v>1</v>
      </c>
      <c r="P733" s="14">
        <v>0</v>
      </c>
      <c r="Q733" s="14">
        <v>0</v>
      </c>
      <c r="R733" s="14">
        <v>0</v>
      </c>
      <c r="S733" s="14">
        <v>0</v>
      </c>
      <c r="T733" s="14">
        <v>0</v>
      </c>
      <c r="U733" s="14">
        <v>0</v>
      </c>
      <c r="V733" s="14">
        <v>0</v>
      </c>
      <c r="W733" s="14">
        <v>0</v>
      </c>
      <c r="X733" s="14">
        <v>0</v>
      </c>
      <c r="Y733" s="14">
        <v>0</v>
      </c>
      <c r="Z733" s="14">
        <v>0</v>
      </c>
      <c r="AA733" s="14">
        <v>0</v>
      </c>
      <c r="AB733" s="14">
        <v>1</v>
      </c>
      <c r="AC733" s="14">
        <v>0</v>
      </c>
      <c r="AD733" s="25">
        <v>0</v>
      </c>
      <c r="AE733" s="25">
        <v>0</v>
      </c>
      <c r="AF733" s="25">
        <v>0</v>
      </c>
      <c r="AG733" s="25">
        <v>0.50888888899999996</v>
      </c>
      <c r="AH733" s="25">
        <v>0.533163265</v>
      </c>
      <c r="AI733" s="14" t="s">
        <v>1571</v>
      </c>
      <c r="AJ733" s="14" t="s">
        <v>34</v>
      </c>
    </row>
    <row r="734" spans="1:36" x14ac:dyDescent="0.25">
      <c r="A734" s="1">
        <v>693</v>
      </c>
      <c r="B734" s="25" t="s">
        <v>1800</v>
      </c>
      <c r="C734" s="25" t="s">
        <v>2191</v>
      </c>
      <c r="D734" s="25" t="s">
        <v>1930</v>
      </c>
      <c r="E734" s="25" t="s">
        <v>157</v>
      </c>
      <c r="F734" s="25">
        <v>312.52</v>
      </c>
      <c r="G734" s="25">
        <v>84</v>
      </c>
      <c r="H734" s="25">
        <v>0</v>
      </c>
      <c r="I734" s="25">
        <v>0</v>
      </c>
      <c r="J734" s="25">
        <v>0</v>
      </c>
      <c r="K734" s="25">
        <v>0</v>
      </c>
      <c r="L734" s="25">
        <v>0</v>
      </c>
      <c r="M734" s="25">
        <v>2</v>
      </c>
      <c r="N734" s="25">
        <v>17</v>
      </c>
      <c r="O734" s="25">
        <v>0</v>
      </c>
      <c r="P734" s="25">
        <v>0</v>
      </c>
      <c r="Q734" s="25">
        <v>0</v>
      </c>
      <c r="R734" s="25">
        <v>0</v>
      </c>
      <c r="S734" s="25">
        <v>0</v>
      </c>
      <c r="T734" s="25">
        <v>0</v>
      </c>
      <c r="U734" s="25">
        <v>1</v>
      </c>
      <c r="V734" s="25">
        <v>0</v>
      </c>
      <c r="W734" s="25">
        <v>0</v>
      </c>
      <c r="X734" s="25">
        <v>0</v>
      </c>
      <c r="Y734" s="25">
        <v>0</v>
      </c>
      <c r="Z734" s="25">
        <v>0</v>
      </c>
      <c r="AA734" s="25">
        <v>0</v>
      </c>
      <c r="AB734" s="25">
        <v>0</v>
      </c>
      <c r="AC734" s="25">
        <v>0</v>
      </c>
      <c r="AD734" s="25">
        <v>0</v>
      </c>
      <c r="AE734" s="25">
        <v>0</v>
      </c>
      <c r="AF734" s="25">
        <v>0</v>
      </c>
      <c r="AG734" s="25">
        <v>0.59829867699999995</v>
      </c>
      <c r="AH734" s="25">
        <v>0.61673553699999994</v>
      </c>
      <c r="AI734" s="25" t="s">
        <v>1571</v>
      </c>
      <c r="AJ734" s="14" t="s">
        <v>34</v>
      </c>
    </row>
    <row r="735" spans="1:36" x14ac:dyDescent="0.25">
      <c r="A735" s="1">
        <v>696</v>
      </c>
      <c r="B735" s="14" t="s">
        <v>707</v>
      </c>
      <c r="C735" s="14" t="s">
        <v>239</v>
      </c>
      <c r="D735" s="14" t="s">
        <v>17</v>
      </c>
      <c r="E735" s="29" t="s">
        <v>47</v>
      </c>
      <c r="F735" s="14">
        <v>298.5</v>
      </c>
      <c r="G735" s="14">
        <v>85</v>
      </c>
      <c r="H735" s="14">
        <v>0</v>
      </c>
      <c r="I735" s="14">
        <v>0</v>
      </c>
      <c r="J735" s="14">
        <v>0</v>
      </c>
      <c r="K735" s="14">
        <v>0</v>
      </c>
      <c r="L735" s="14">
        <v>0</v>
      </c>
      <c r="M735" s="14">
        <v>2</v>
      </c>
      <c r="N735" s="14">
        <v>16</v>
      </c>
      <c r="O735" s="14">
        <v>0</v>
      </c>
      <c r="P735" s="14">
        <v>0</v>
      </c>
      <c r="Q735" s="14">
        <v>0</v>
      </c>
      <c r="R735" s="14">
        <v>0</v>
      </c>
      <c r="S735" s="14">
        <v>0</v>
      </c>
      <c r="T735" s="14">
        <v>0</v>
      </c>
      <c r="U735" s="14">
        <v>1</v>
      </c>
      <c r="V735" s="14">
        <v>0</v>
      </c>
      <c r="W735" s="14">
        <v>0</v>
      </c>
      <c r="X735" s="14">
        <v>0</v>
      </c>
      <c r="Y735" s="14">
        <v>0</v>
      </c>
      <c r="Z735" s="14">
        <v>0</v>
      </c>
      <c r="AA735" s="14">
        <v>0</v>
      </c>
      <c r="AB735" s="14">
        <v>0</v>
      </c>
      <c r="AC735" s="14">
        <v>0</v>
      </c>
      <c r="AD735" s="25">
        <v>0</v>
      </c>
      <c r="AE735" s="25">
        <v>0</v>
      </c>
      <c r="AF735" s="25">
        <v>0</v>
      </c>
      <c r="AG735" s="25">
        <v>0.56805293000000001</v>
      </c>
      <c r="AH735" s="25">
        <v>0.60430839000000003</v>
      </c>
      <c r="AI735" s="14" t="s">
        <v>922</v>
      </c>
      <c r="AJ735" s="14" t="s">
        <v>34</v>
      </c>
    </row>
    <row r="736" spans="1:36" x14ac:dyDescent="0.25">
      <c r="A736" s="1">
        <v>713</v>
      </c>
      <c r="B736" s="25" t="s">
        <v>812</v>
      </c>
      <c r="C736" s="25" t="s">
        <v>476</v>
      </c>
      <c r="D736" s="25" t="s">
        <v>21</v>
      </c>
      <c r="E736" s="25" t="s">
        <v>205</v>
      </c>
      <c r="F736" s="25">
        <v>394.67</v>
      </c>
      <c r="G736" s="25">
        <v>88.2</v>
      </c>
      <c r="H736" s="25">
        <v>0</v>
      </c>
      <c r="I736" s="25">
        <v>1</v>
      </c>
      <c r="J736" s="25">
        <v>0</v>
      </c>
      <c r="K736" s="25">
        <v>1</v>
      </c>
      <c r="L736" s="25">
        <v>0</v>
      </c>
      <c r="M736" s="25">
        <v>3</v>
      </c>
      <c r="N736" s="25">
        <v>19</v>
      </c>
      <c r="O736" s="25">
        <v>0</v>
      </c>
      <c r="P736" s="25">
        <v>0</v>
      </c>
      <c r="Q736" s="25">
        <v>0</v>
      </c>
      <c r="R736" s="25">
        <v>0</v>
      </c>
      <c r="S736" s="25">
        <v>0</v>
      </c>
      <c r="T736" s="25">
        <v>0</v>
      </c>
      <c r="U736" s="25">
        <v>1</v>
      </c>
      <c r="V736" s="25">
        <v>1</v>
      </c>
      <c r="W736" s="25">
        <v>2</v>
      </c>
      <c r="X736" s="25">
        <v>0</v>
      </c>
      <c r="Y736" s="25">
        <v>0</v>
      </c>
      <c r="Z736" s="25">
        <v>0</v>
      </c>
      <c r="AA736" s="25">
        <v>0</v>
      </c>
      <c r="AB736" s="25">
        <v>0</v>
      </c>
      <c r="AC736" s="25">
        <v>0</v>
      </c>
      <c r="AD736" s="25">
        <v>0</v>
      </c>
      <c r="AE736" s="25">
        <v>0</v>
      </c>
      <c r="AF736" s="25">
        <v>0</v>
      </c>
      <c r="AG736" s="25">
        <v>0.62382934400000001</v>
      </c>
      <c r="AH736" s="25">
        <v>0.65814506500000003</v>
      </c>
      <c r="AI736" s="25" t="s">
        <v>1171</v>
      </c>
      <c r="AJ736" s="14" t="s">
        <v>34</v>
      </c>
    </row>
    <row r="737" spans="1:36" x14ac:dyDescent="0.25">
      <c r="A737" s="1">
        <v>731</v>
      </c>
      <c r="B737" s="14" t="s">
        <v>841</v>
      </c>
      <c r="C737" s="14" t="s">
        <v>347</v>
      </c>
      <c r="D737" s="14" t="s">
        <v>18</v>
      </c>
      <c r="E737" s="29" t="s">
        <v>139</v>
      </c>
      <c r="F737" s="14">
        <v>116.2</v>
      </c>
      <c r="G737" s="14">
        <v>99.8</v>
      </c>
      <c r="H737" s="14">
        <v>0</v>
      </c>
      <c r="I737" s="14">
        <v>0</v>
      </c>
      <c r="J737" s="14">
        <v>0</v>
      </c>
      <c r="K737" s="14">
        <v>0</v>
      </c>
      <c r="L737" s="14">
        <v>0</v>
      </c>
      <c r="M737" s="14">
        <v>2</v>
      </c>
      <c r="N737" s="14">
        <v>5</v>
      </c>
      <c r="O737" s="14">
        <v>0</v>
      </c>
      <c r="P737" s="14">
        <v>1</v>
      </c>
      <c r="Q737" s="14">
        <v>0</v>
      </c>
      <c r="R737" s="14">
        <v>0</v>
      </c>
      <c r="S737" s="14">
        <v>0</v>
      </c>
      <c r="T737" s="14">
        <v>0</v>
      </c>
      <c r="U737" s="14">
        <v>0</v>
      </c>
      <c r="V737" s="14">
        <v>0</v>
      </c>
      <c r="W737" s="14">
        <v>0</v>
      </c>
      <c r="X737" s="14">
        <v>0</v>
      </c>
      <c r="Y737" s="14">
        <v>0</v>
      </c>
      <c r="Z737" s="14">
        <v>0</v>
      </c>
      <c r="AA737" s="14">
        <v>0</v>
      </c>
      <c r="AB737" s="14">
        <v>0</v>
      </c>
      <c r="AC737" s="14">
        <v>0</v>
      </c>
      <c r="AD737" s="25">
        <v>0</v>
      </c>
      <c r="AE737" s="25">
        <v>0</v>
      </c>
      <c r="AF737" s="25">
        <v>0</v>
      </c>
      <c r="AG737" s="25">
        <v>0.375</v>
      </c>
      <c r="AH737" s="25">
        <v>0.35714285699999998</v>
      </c>
      <c r="AI737" s="14" t="s">
        <v>1039</v>
      </c>
      <c r="AJ737" s="14" t="s">
        <v>34</v>
      </c>
    </row>
    <row r="738" spans="1:36" x14ac:dyDescent="0.25">
      <c r="A738" s="1">
        <v>733</v>
      </c>
      <c r="B738" s="25" t="s">
        <v>887</v>
      </c>
      <c r="C738" s="25" t="s">
        <v>368</v>
      </c>
      <c r="D738" s="25" t="s">
        <v>17</v>
      </c>
      <c r="E738" s="25" t="s">
        <v>153</v>
      </c>
      <c r="F738" s="25">
        <v>639</v>
      </c>
      <c r="G738" s="25">
        <v>100</v>
      </c>
      <c r="H738" s="25">
        <v>0</v>
      </c>
      <c r="I738" s="25">
        <v>0</v>
      </c>
      <c r="J738" s="25">
        <v>0</v>
      </c>
      <c r="K738" s="25">
        <v>0</v>
      </c>
      <c r="L738" s="25">
        <v>0</v>
      </c>
      <c r="M738" s="25">
        <v>3</v>
      </c>
      <c r="N738" s="25">
        <v>32</v>
      </c>
      <c r="O738" s="25">
        <v>0</v>
      </c>
      <c r="P738" s="25">
        <v>0</v>
      </c>
      <c r="Q738" s="25">
        <v>0</v>
      </c>
      <c r="R738" s="25">
        <v>0</v>
      </c>
      <c r="S738" s="25">
        <v>0</v>
      </c>
      <c r="T738" s="25">
        <v>0</v>
      </c>
      <c r="U738" s="25">
        <v>3</v>
      </c>
      <c r="V738" s="25">
        <v>1</v>
      </c>
      <c r="W738" s="25">
        <v>0</v>
      </c>
      <c r="X738" s="25">
        <v>0</v>
      </c>
      <c r="Y738" s="25">
        <v>0</v>
      </c>
      <c r="Z738" s="25">
        <v>0</v>
      </c>
      <c r="AA738" s="25">
        <v>0</v>
      </c>
      <c r="AB738" s="25">
        <v>0</v>
      </c>
      <c r="AC738" s="25">
        <v>0</v>
      </c>
      <c r="AD738" s="25">
        <v>0</v>
      </c>
      <c r="AE738" s="25">
        <v>0</v>
      </c>
      <c r="AF738" s="25">
        <v>0</v>
      </c>
      <c r="AG738" s="25">
        <v>0.69970845500000001</v>
      </c>
      <c r="AH738" s="25">
        <v>0.72838388399999998</v>
      </c>
      <c r="AI738" s="25" t="s">
        <v>1064</v>
      </c>
      <c r="AJ738" s="14" t="s">
        <v>34</v>
      </c>
    </row>
    <row r="743" spans="1:36" x14ac:dyDescent="0.25">
      <c r="C743" s="1"/>
      <c r="D743" s="22"/>
      <c r="E743" s="30"/>
    </row>
    <row r="744" spans="1:36" x14ac:dyDescent="0.25">
      <c r="C744" s="1"/>
      <c r="D744" s="22"/>
      <c r="E744" s="30"/>
    </row>
    <row r="745" spans="1:36" x14ac:dyDescent="0.25">
      <c r="C745" s="1"/>
      <c r="D745" s="22"/>
      <c r="E745" s="30"/>
    </row>
    <row r="746" spans="1:36" x14ac:dyDescent="0.25">
      <c r="C746" s="1"/>
      <c r="D746" s="22"/>
      <c r="E746" s="30"/>
    </row>
    <row r="747" spans="1:36" x14ac:dyDescent="0.25">
      <c r="C747" s="1"/>
      <c r="D747" s="22"/>
      <c r="E747" s="30"/>
    </row>
    <row r="748" spans="1:36" x14ac:dyDescent="0.25">
      <c r="C748" s="1"/>
      <c r="D748" s="22"/>
      <c r="E748" s="30"/>
    </row>
    <row r="749" spans="1:36" x14ac:dyDescent="0.25">
      <c r="C749" s="1"/>
      <c r="D749" s="22"/>
      <c r="E749" s="30"/>
    </row>
    <row r="750" spans="1:36" x14ac:dyDescent="0.25">
      <c r="C750" s="1"/>
      <c r="D750" s="22"/>
      <c r="E750" s="30"/>
    </row>
    <row r="751" spans="1:36" x14ac:dyDescent="0.25">
      <c r="C751" s="1"/>
      <c r="D751" s="22"/>
      <c r="E751" s="30"/>
    </row>
    <row r="752" spans="1:36" x14ac:dyDescent="0.25">
      <c r="C752" s="1"/>
      <c r="D752" s="22"/>
      <c r="E752" s="30"/>
    </row>
    <row r="753" spans="3:5" x14ac:dyDescent="0.25">
      <c r="C753" s="1"/>
      <c r="D753" s="22"/>
      <c r="E753" s="30"/>
    </row>
    <row r="754" spans="3:5" x14ac:dyDescent="0.25">
      <c r="C754" s="1"/>
      <c r="D754" s="22"/>
      <c r="E754" s="30"/>
    </row>
    <row r="755" spans="3:5" x14ac:dyDescent="0.25">
      <c r="C755" s="1"/>
      <c r="D755" s="22"/>
      <c r="E755" s="30"/>
    </row>
    <row r="756" spans="3:5" x14ac:dyDescent="0.25">
      <c r="C756" s="1"/>
      <c r="D756" s="22"/>
      <c r="E756" s="30"/>
    </row>
    <row r="757" spans="3:5" x14ac:dyDescent="0.25">
      <c r="C757" s="1"/>
      <c r="D757" s="22"/>
      <c r="E757" s="30"/>
    </row>
    <row r="758" spans="3:5" x14ac:dyDescent="0.25">
      <c r="C758" s="1"/>
      <c r="D758" s="22"/>
      <c r="E758" s="30"/>
    </row>
    <row r="759" spans="3:5" x14ac:dyDescent="0.25">
      <c r="C759" s="1"/>
      <c r="D759" s="22"/>
      <c r="E759" s="30"/>
    </row>
    <row r="760" spans="3:5" x14ac:dyDescent="0.25">
      <c r="C760" s="1"/>
      <c r="D760" s="22"/>
      <c r="E760" s="30"/>
    </row>
    <row r="761" spans="3:5" x14ac:dyDescent="0.25">
      <c r="C761" s="1"/>
      <c r="D761" s="22"/>
      <c r="E761" s="30"/>
    </row>
    <row r="762" spans="3:5" x14ac:dyDescent="0.25">
      <c r="C762" s="1"/>
      <c r="D762" s="22"/>
      <c r="E762" s="30"/>
    </row>
    <row r="763" spans="3:5" x14ac:dyDescent="0.25">
      <c r="C763" s="1"/>
      <c r="D763" s="22"/>
      <c r="E763" s="30"/>
    </row>
  </sheetData>
  <phoneticPr fontId="5" type="noConversion"/>
  <conditionalFormatting sqref="E739:F1048576">
    <cfRule type="duplicateValues" dxfId="9" priority="152"/>
  </conditionalFormatting>
  <conditionalFormatting sqref="C743:C751 C753:C763">
    <cfRule type="duplicateValues" dxfId="8" priority="3"/>
  </conditionalFormatting>
  <conditionalFormatting sqref="D377:D383">
    <cfRule type="duplicateValues" dxfId="7" priority="1"/>
  </conditionalFormatting>
  <conditionalFormatting sqref="C2:C738">
    <cfRule type="duplicateValues" dxfId="6" priority="168"/>
  </conditionalFormatting>
  <conditionalFormatting sqref="C2:C738">
    <cfRule type="duplicateValues" dxfId="5" priority="169"/>
    <cfRule type="duplicateValues" dxfId="4" priority="170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L1529"/>
  <sheetViews>
    <sheetView workbookViewId="0">
      <selection activeCell="B2" sqref="B2:I2"/>
    </sheetView>
  </sheetViews>
  <sheetFormatPr baseColWidth="10" defaultRowHeight="15" x14ac:dyDescent="0.25"/>
  <cols>
    <col min="1" max="1" width="4" customWidth="1"/>
    <col min="2" max="2" width="24.28515625" bestFit="1" customWidth="1"/>
    <col min="11" max="11" width="25.140625" bestFit="1" customWidth="1"/>
  </cols>
  <sheetData>
    <row r="1" spans="2:11" x14ac:dyDescent="0.25">
      <c r="D1" s="2">
        <v>0.7</v>
      </c>
      <c r="E1" s="2">
        <v>0.1</v>
      </c>
      <c r="F1" s="2">
        <v>0.2</v>
      </c>
    </row>
    <row r="2" spans="2:11" x14ac:dyDescent="0.25">
      <c r="B2" s="20" t="s">
        <v>9</v>
      </c>
      <c r="C2" s="21" t="s">
        <v>22</v>
      </c>
      <c r="D2" s="21" t="s">
        <v>23</v>
      </c>
      <c r="E2" s="21" t="s">
        <v>24</v>
      </c>
      <c r="F2" s="21" t="s">
        <v>25</v>
      </c>
      <c r="G2" s="20" t="s">
        <v>26</v>
      </c>
      <c r="H2" s="20" t="s">
        <v>27</v>
      </c>
      <c r="I2" s="20" t="s">
        <v>28</v>
      </c>
      <c r="K2" t="s">
        <v>36</v>
      </c>
    </row>
    <row r="3" spans="2:11" x14ac:dyDescent="0.25">
      <c r="B3" s="1" t="s">
        <v>10</v>
      </c>
      <c r="C3" s="1">
        <f>COUNTIF(Desgloce!$D$2:$D$738,'Random'!$B3)</f>
        <v>66</v>
      </c>
      <c r="D3" s="1">
        <f t="shared" ref="D3:D22" si="0">ROUND($C3*D$1,0)</f>
        <v>46</v>
      </c>
      <c r="E3" s="1">
        <f t="shared" ref="E3:E22" si="1">ROUND($C3*E$1,0)</f>
        <v>7</v>
      </c>
      <c r="F3" s="1">
        <f>'Random'!$C3-'Random'!$D3-'Random'!$E3</f>
        <v>13</v>
      </c>
      <c r="G3" s="1">
        <f>SUM('Random'!$D3:$F3)</f>
        <v>66</v>
      </c>
      <c r="H3" s="1">
        <v>1</v>
      </c>
      <c r="I3" s="1">
        <f>'Random'!$G3</f>
        <v>66</v>
      </c>
      <c r="K3" s="36" t="s">
        <v>10</v>
      </c>
    </row>
    <row r="4" spans="2:11" x14ac:dyDescent="0.25">
      <c r="B4" s="1" t="s">
        <v>11</v>
      </c>
      <c r="C4" s="1">
        <f>COUNTIF(Desgloce!$D$2:$D$738,'Random'!$B4)</f>
        <v>6</v>
      </c>
      <c r="D4" s="1">
        <f t="shared" si="0"/>
        <v>4</v>
      </c>
      <c r="E4" s="1">
        <f t="shared" si="1"/>
        <v>1</v>
      </c>
      <c r="F4" s="1">
        <f>'Random'!$C4-'Random'!$D4-'Random'!$E4</f>
        <v>1</v>
      </c>
      <c r="G4" s="1">
        <f>SUM('Random'!$D4:$F4)</f>
        <v>6</v>
      </c>
      <c r="H4" s="1">
        <f>I3+1</f>
        <v>67</v>
      </c>
      <c r="I4" s="1">
        <f>'Random'!$H4+'Random'!$C4-1</f>
        <v>72</v>
      </c>
      <c r="K4" s="36" t="s">
        <v>11</v>
      </c>
    </row>
    <row r="5" spans="2:11" x14ac:dyDescent="0.25">
      <c r="B5" s="1" t="s">
        <v>12</v>
      </c>
      <c r="C5" s="1">
        <f>COUNTIF(Desgloce!$D$2:$D$738,'Random'!$B5)</f>
        <v>92</v>
      </c>
      <c r="D5" s="1">
        <f t="shared" si="0"/>
        <v>64</v>
      </c>
      <c r="E5" s="1">
        <f t="shared" si="1"/>
        <v>9</v>
      </c>
      <c r="F5" s="1">
        <f>'Random'!$C5-'Random'!$D5-'Random'!$E5</f>
        <v>19</v>
      </c>
      <c r="G5" s="1">
        <f>SUM('Random'!$D5:$F5)</f>
        <v>92</v>
      </c>
      <c r="H5" s="1">
        <f t="shared" ref="H5:H22" si="2">I4+1</f>
        <v>73</v>
      </c>
      <c r="I5" s="1">
        <f>'Random'!$H5+'Random'!$C5-1</f>
        <v>164</v>
      </c>
      <c r="K5" s="36" t="s">
        <v>12</v>
      </c>
    </row>
    <row r="6" spans="2:11" x14ac:dyDescent="0.25">
      <c r="B6" s="1" t="s">
        <v>13</v>
      </c>
      <c r="C6" s="1">
        <f>COUNTIF(Desgloce!$D$2:$D$738,'Random'!$B6)</f>
        <v>102</v>
      </c>
      <c r="D6" s="1">
        <f t="shared" si="0"/>
        <v>71</v>
      </c>
      <c r="E6" s="1">
        <f t="shared" si="1"/>
        <v>10</v>
      </c>
      <c r="F6" s="1">
        <f>'Random'!$C6-'Random'!$D6-'Random'!$E6</f>
        <v>21</v>
      </c>
      <c r="G6" s="1">
        <f>SUM('Random'!$D6:$F6)</f>
        <v>102</v>
      </c>
      <c r="H6" s="1">
        <f t="shared" si="2"/>
        <v>165</v>
      </c>
      <c r="I6" s="1">
        <f>'Random'!$H6+'Random'!$C6-1</f>
        <v>266</v>
      </c>
      <c r="K6" s="36" t="s">
        <v>13</v>
      </c>
    </row>
    <row r="7" spans="2:11" x14ac:dyDescent="0.25">
      <c r="B7" s="1" t="s">
        <v>1537</v>
      </c>
      <c r="C7" s="1">
        <f>COUNTIF(Desgloce!$D$2:$D$738,'Random'!$B7)</f>
        <v>4</v>
      </c>
      <c r="D7" s="1">
        <f t="shared" si="0"/>
        <v>3</v>
      </c>
      <c r="E7" s="1">
        <f t="shared" si="1"/>
        <v>0</v>
      </c>
      <c r="F7" s="1">
        <f>'Random'!$C7-'Random'!$D7-'Random'!$E7</f>
        <v>1</v>
      </c>
      <c r="G7" s="1">
        <f>SUM('Random'!$D7:$F7)</f>
        <v>4</v>
      </c>
      <c r="H7" s="1">
        <f t="shared" si="2"/>
        <v>267</v>
      </c>
      <c r="I7" s="1">
        <f>'Random'!$H7+'Random'!$C7-1</f>
        <v>270</v>
      </c>
      <c r="K7" s="36" t="s">
        <v>1537</v>
      </c>
    </row>
    <row r="8" spans="2:11" x14ac:dyDescent="0.25">
      <c r="B8" s="14" t="s">
        <v>1932</v>
      </c>
      <c r="C8" s="1">
        <f>COUNTIF(Desgloce!$D$2:$D$738,'Random'!$B8)</f>
        <v>8</v>
      </c>
      <c r="D8" s="1">
        <f t="shared" si="0"/>
        <v>6</v>
      </c>
      <c r="E8" s="1">
        <f t="shared" si="1"/>
        <v>1</v>
      </c>
      <c r="F8" s="1">
        <f>'Random'!$C8-'Random'!$D8-'Random'!$E8</f>
        <v>1</v>
      </c>
      <c r="G8" s="1">
        <f>SUM('Random'!$D8:$F8)</f>
        <v>8</v>
      </c>
      <c r="H8" s="1">
        <f t="shared" si="2"/>
        <v>271</v>
      </c>
      <c r="I8" s="1">
        <f>'Random'!$H8+'Random'!$C8-1</f>
        <v>278</v>
      </c>
      <c r="K8" s="36" t="s">
        <v>1932</v>
      </c>
    </row>
    <row r="9" spans="2:11" x14ac:dyDescent="0.25">
      <c r="B9" s="14" t="s">
        <v>14</v>
      </c>
      <c r="C9" s="1">
        <f>COUNTIF(Desgloce!$D$2:$D$738,'Random'!$B9)</f>
        <v>6</v>
      </c>
      <c r="D9" s="1">
        <f t="shared" si="0"/>
        <v>4</v>
      </c>
      <c r="E9" s="1">
        <f t="shared" si="1"/>
        <v>1</v>
      </c>
      <c r="F9" s="1">
        <f>'Random'!$C9-'Random'!$D9-'Random'!$E9</f>
        <v>1</v>
      </c>
      <c r="G9" s="1">
        <f>SUM('Random'!$D9:$F9)</f>
        <v>6</v>
      </c>
      <c r="H9" s="1">
        <f t="shared" si="2"/>
        <v>279</v>
      </c>
      <c r="I9" s="1">
        <f>'Random'!$H9+'Random'!$C9-1</f>
        <v>284</v>
      </c>
      <c r="K9" s="36" t="s">
        <v>14</v>
      </c>
    </row>
    <row r="10" spans="2:11" x14ac:dyDescent="0.25">
      <c r="B10" s="14" t="s">
        <v>15</v>
      </c>
      <c r="C10" s="1">
        <f>COUNTIF(Desgloce!$D$2:$D$738,'Random'!$B10)</f>
        <v>4</v>
      </c>
      <c r="D10" s="1">
        <f t="shared" si="0"/>
        <v>3</v>
      </c>
      <c r="E10" s="1">
        <f t="shared" si="1"/>
        <v>0</v>
      </c>
      <c r="F10" s="1">
        <f>'Random'!$C10-'Random'!$D10-'Random'!$E10</f>
        <v>1</v>
      </c>
      <c r="G10" s="1">
        <f>SUM('Random'!$D10:$F10)</f>
        <v>4</v>
      </c>
      <c r="H10" s="1">
        <f t="shared" si="2"/>
        <v>285</v>
      </c>
      <c r="I10" s="1">
        <f>'Random'!$H10+'Random'!$C10-1</f>
        <v>288</v>
      </c>
      <c r="K10" s="36" t="s">
        <v>15</v>
      </c>
    </row>
    <row r="11" spans="2:11" x14ac:dyDescent="0.25">
      <c r="B11" s="14" t="s">
        <v>16</v>
      </c>
      <c r="C11" s="1">
        <f>COUNTIF(Desgloce!$D$2:$D$738,'Random'!$B11)</f>
        <v>67</v>
      </c>
      <c r="D11" s="1">
        <f>ROUND($C11*D$1,0)</f>
        <v>47</v>
      </c>
      <c r="E11" s="1">
        <f>ROUND($C11*E$1,0)</f>
        <v>7</v>
      </c>
      <c r="F11" s="1">
        <f>'Random'!$C11-'Random'!$D11-'Random'!$E11</f>
        <v>13</v>
      </c>
      <c r="G11" s="1">
        <f>SUM('Random'!$D11:$F11)</f>
        <v>67</v>
      </c>
      <c r="H11" s="1">
        <f t="shared" si="2"/>
        <v>289</v>
      </c>
      <c r="I11" s="1">
        <f>'Random'!$H11+'Random'!$C11-1</f>
        <v>355</v>
      </c>
      <c r="K11" s="36" t="s">
        <v>16</v>
      </c>
    </row>
    <row r="12" spans="2:11" x14ac:dyDescent="0.25">
      <c r="B12" s="14" t="s">
        <v>17</v>
      </c>
      <c r="C12" s="1">
        <f>COUNTIF(Desgloce!$D$2:$D$738,'Random'!$B12)</f>
        <v>74</v>
      </c>
      <c r="D12" s="1">
        <f t="shared" si="0"/>
        <v>52</v>
      </c>
      <c r="E12" s="1">
        <f t="shared" si="1"/>
        <v>7</v>
      </c>
      <c r="F12" s="1">
        <f>'Random'!$C12-'Random'!$D12-'Random'!$E12</f>
        <v>15</v>
      </c>
      <c r="G12" s="1">
        <f>SUM('Random'!$D12:$F12)</f>
        <v>74</v>
      </c>
      <c r="H12" s="1">
        <f t="shared" si="2"/>
        <v>356</v>
      </c>
      <c r="I12" s="1">
        <f>'Random'!$H12+'Random'!$C12-1</f>
        <v>429</v>
      </c>
      <c r="K12" s="36" t="s">
        <v>17</v>
      </c>
    </row>
    <row r="13" spans="2:11" x14ac:dyDescent="0.25">
      <c r="B13" s="14" t="s">
        <v>1929</v>
      </c>
      <c r="C13" s="1">
        <f>COUNTIF(Desgloce!$D$2:$D$738,'Random'!$B13)</f>
        <v>15</v>
      </c>
      <c r="D13" s="1">
        <f t="shared" si="0"/>
        <v>11</v>
      </c>
      <c r="E13" s="1">
        <f t="shared" si="1"/>
        <v>2</v>
      </c>
      <c r="F13" s="1">
        <f>'Random'!$C13-'Random'!$D13-'Random'!$E13</f>
        <v>2</v>
      </c>
      <c r="G13" s="1">
        <f>SUM('Random'!$D13:$F13)</f>
        <v>15</v>
      </c>
      <c r="H13" s="1">
        <f t="shared" si="2"/>
        <v>430</v>
      </c>
      <c r="I13" s="1">
        <f>'Random'!$H13+'Random'!$C13-1</f>
        <v>444</v>
      </c>
      <c r="K13" s="36" t="s">
        <v>1939</v>
      </c>
    </row>
    <row r="14" spans="2:11" x14ac:dyDescent="0.25">
      <c r="B14" s="1" t="s">
        <v>1930</v>
      </c>
      <c r="C14" s="1">
        <f>COUNTIF(Desgloce!$D$2:$D$738,'Random'!$B14)</f>
        <v>47</v>
      </c>
      <c r="D14" s="1">
        <f t="shared" si="0"/>
        <v>33</v>
      </c>
      <c r="E14" s="1">
        <f t="shared" si="1"/>
        <v>5</v>
      </c>
      <c r="F14" s="1">
        <f>'Random'!$C14-'Random'!$D14-'Random'!$E14</f>
        <v>9</v>
      </c>
      <c r="G14" s="1">
        <f>SUM('Random'!$D14:$F14)</f>
        <v>47</v>
      </c>
      <c r="H14" s="1">
        <f t="shared" si="2"/>
        <v>445</v>
      </c>
      <c r="I14" s="1">
        <f>'Random'!$H14+'Random'!$C14-1</f>
        <v>491</v>
      </c>
      <c r="K14" s="36" t="s">
        <v>1937</v>
      </c>
    </row>
    <row r="15" spans="2:11" x14ac:dyDescent="0.25">
      <c r="B15" s="1" t="s">
        <v>1931</v>
      </c>
      <c r="C15" s="1">
        <f>COUNTIF(Desgloce!$D$2:$D$738,'Random'!$B15)</f>
        <v>15</v>
      </c>
      <c r="D15" s="1">
        <f t="shared" si="0"/>
        <v>11</v>
      </c>
      <c r="E15" s="1">
        <f t="shared" si="1"/>
        <v>2</v>
      </c>
      <c r="F15" s="1">
        <f>'Random'!$C15-'Random'!$D15-'Random'!$E15</f>
        <v>2</v>
      </c>
      <c r="G15" s="1">
        <f>SUM('Random'!$D15:$F15)</f>
        <v>15</v>
      </c>
      <c r="H15" s="1">
        <f t="shared" si="2"/>
        <v>492</v>
      </c>
      <c r="I15" s="1">
        <f>'Random'!$H15+'Random'!$C15-1</f>
        <v>506</v>
      </c>
      <c r="K15" s="36" t="s">
        <v>1938</v>
      </c>
    </row>
    <row r="16" spans="2:11" x14ac:dyDescent="0.25">
      <c r="B16" s="1" t="s">
        <v>18</v>
      </c>
      <c r="C16" s="1">
        <f>COUNTIF(Desgloce!$D$2:$D$738,'Random'!$B16)</f>
        <v>25</v>
      </c>
      <c r="D16" s="1">
        <f t="shared" si="0"/>
        <v>18</v>
      </c>
      <c r="E16" s="1">
        <f t="shared" si="1"/>
        <v>3</v>
      </c>
      <c r="F16" s="1">
        <f>'Random'!$C16-'Random'!$D16-'Random'!$E16</f>
        <v>4</v>
      </c>
      <c r="G16" s="1">
        <f>SUM('Random'!$D16:$F16)</f>
        <v>25</v>
      </c>
      <c r="H16" s="1">
        <f t="shared" si="2"/>
        <v>507</v>
      </c>
      <c r="I16" s="1">
        <f>'Random'!$H16+'Random'!$C16-1</f>
        <v>531</v>
      </c>
      <c r="K16" s="36" t="s">
        <v>18</v>
      </c>
    </row>
    <row r="17" spans="2:12" x14ac:dyDescent="0.25">
      <c r="B17" s="14" t="s">
        <v>1509</v>
      </c>
      <c r="C17" s="1">
        <f>COUNTIF(Desgloce!$D$2:$D$738,'Random'!$B17)</f>
        <v>5</v>
      </c>
      <c r="D17" s="1">
        <f>ROUND($C17*D$1,0)</f>
        <v>4</v>
      </c>
      <c r="E17" s="1">
        <f>ROUND($C17*E$1,0)</f>
        <v>1</v>
      </c>
      <c r="F17" s="1">
        <f>'Random'!$C17-'Random'!$D17-'Random'!$E17</f>
        <v>0</v>
      </c>
      <c r="G17" s="1">
        <f>SUM('Random'!$D17:$F17)</f>
        <v>5</v>
      </c>
      <c r="H17" s="1">
        <f t="shared" si="2"/>
        <v>532</v>
      </c>
      <c r="I17" s="1">
        <f>'Random'!$H17+'Random'!$C17-1</f>
        <v>536</v>
      </c>
      <c r="K17" t="s">
        <v>1509</v>
      </c>
    </row>
    <row r="18" spans="2:12" x14ac:dyDescent="0.25">
      <c r="B18" s="1" t="s">
        <v>19</v>
      </c>
      <c r="C18" s="1">
        <f>COUNTIF(Desgloce!$D$2:$D$738,'Random'!$B18)</f>
        <v>67</v>
      </c>
      <c r="D18" s="1">
        <f t="shared" si="0"/>
        <v>47</v>
      </c>
      <c r="E18" s="1">
        <f t="shared" si="1"/>
        <v>7</v>
      </c>
      <c r="F18" s="1">
        <f>'Random'!$C18-'Random'!$D18-'Random'!$E18</f>
        <v>13</v>
      </c>
      <c r="G18" s="1">
        <f>SUM('Random'!$D18:$F18)</f>
        <v>67</v>
      </c>
      <c r="H18" s="1">
        <f t="shared" si="2"/>
        <v>537</v>
      </c>
      <c r="I18" s="1">
        <f>'Random'!$H18+'Random'!$C18-1</f>
        <v>603</v>
      </c>
      <c r="K18" s="36" t="s">
        <v>19</v>
      </c>
    </row>
    <row r="19" spans="2:12" x14ac:dyDescent="0.25">
      <c r="B19" s="1" t="s">
        <v>20</v>
      </c>
      <c r="C19" s="1">
        <f>COUNTIF(Desgloce!$D$2:$D$738,'Random'!$B19)</f>
        <v>11</v>
      </c>
      <c r="D19" s="1">
        <f t="shared" si="0"/>
        <v>8</v>
      </c>
      <c r="E19" s="1">
        <f t="shared" si="1"/>
        <v>1</v>
      </c>
      <c r="F19" s="1">
        <f>'Random'!$C19-'Random'!$D19-'Random'!$E19</f>
        <v>2</v>
      </c>
      <c r="G19" s="1">
        <f>SUM('Random'!$D19:$F19)</f>
        <v>11</v>
      </c>
      <c r="H19" s="1">
        <f t="shared" si="2"/>
        <v>604</v>
      </c>
      <c r="I19" s="1">
        <f>'Random'!$H19+'Random'!$C19-1</f>
        <v>614</v>
      </c>
      <c r="K19" s="36" t="s">
        <v>20</v>
      </c>
    </row>
    <row r="20" spans="2:12" x14ac:dyDescent="0.25">
      <c r="B20" s="1" t="s">
        <v>595</v>
      </c>
      <c r="C20" s="1">
        <f>COUNTIF(Desgloce!$D$2:$D$738,'Random'!$B20)</f>
        <v>4</v>
      </c>
      <c r="D20" s="1">
        <f t="shared" si="0"/>
        <v>3</v>
      </c>
      <c r="E20" s="1">
        <f t="shared" si="1"/>
        <v>0</v>
      </c>
      <c r="F20" s="1">
        <f>'Random'!$C20-'Random'!$D20-'Random'!$E20</f>
        <v>1</v>
      </c>
      <c r="G20" s="1">
        <f>SUM('Random'!$D20:$F20)</f>
        <v>4</v>
      </c>
      <c r="H20" s="1">
        <f t="shared" si="2"/>
        <v>615</v>
      </c>
      <c r="I20" s="1">
        <f>'Random'!$H20+'Random'!$C20-1</f>
        <v>618</v>
      </c>
      <c r="K20" t="s">
        <v>595</v>
      </c>
    </row>
    <row r="21" spans="2:12" x14ac:dyDescent="0.25">
      <c r="B21" s="1" t="s">
        <v>7</v>
      </c>
      <c r="C21" s="1">
        <f>COUNTIF(Desgloce!$D$2:$D$738,'Random'!$B21)</f>
        <v>41</v>
      </c>
      <c r="D21" s="1">
        <f t="shared" si="0"/>
        <v>29</v>
      </c>
      <c r="E21" s="1">
        <f t="shared" si="1"/>
        <v>4</v>
      </c>
      <c r="F21" s="1">
        <f>'Random'!$C21-'Random'!$D21-'Random'!$E21</f>
        <v>8</v>
      </c>
      <c r="G21" s="1">
        <f>SUM('Random'!$D21:$F21)</f>
        <v>41</v>
      </c>
      <c r="H21" s="1">
        <f t="shared" si="2"/>
        <v>619</v>
      </c>
      <c r="I21" s="1">
        <f>'Random'!$H21+'Random'!$C21-1</f>
        <v>659</v>
      </c>
      <c r="K21" s="36" t="s">
        <v>7</v>
      </c>
    </row>
    <row r="22" spans="2:12" x14ac:dyDescent="0.25">
      <c r="B22" s="1" t="s">
        <v>21</v>
      </c>
      <c r="C22" s="1">
        <f>COUNTIF(Desgloce!$D$2:$D$738,'Random'!$B22)</f>
        <v>78</v>
      </c>
      <c r="D22" s="1">
        <f t="shared" si="0"/>
        <v>55</v>
      </c>
      <c r="E22" s="1">
        <f t="shared" si="1"/>
        <v>8</v>
      </c>
      <c r="F22" s="1">
        <f>'Random'!$C22-'Random'!$D22-'Random'!$E22</f>
        <v>15</v>
      </c>
      <c r="G22" s="1">
        <f>SUM('Random'!$D22:$F22)</f>
        <v>78</v>
      </c>
      <c r="H22" s="1">
        <f t="shared" si="2"/>
        <v>660</v>
      </c>
      <c r="I22" s="1">
        <f>'Random'!$H22+'Random'!$C22-1</f>
        <v>737</v>
      </c>
      <c r="K22" s="36" t="s">
        <v>21</v>
      </c>
    </row>
    <row r="23" spans="2:12" x14ac:dyDescent="0.25">
      <c r="B23" s="18"/>
      <c r="C23" s="19">
        <f>SUM(Selection[Data])</f>
        <v>737</v>
      </c>
      <c r="D23" s="19">
        <f>SUM('Random'!$D$3:$D$22)</f>
        <v>519</v>
      </c>
      <c r="E23" s="19">
        <f>SUM('Random'!$E$3:$E$22)</f>
        <v>76</v>
      </c>
      <c r="F23" s="19">
        <f>SUM('Random'!$F$3:$F$22)</f>
        <v>142</v>
      </c>
      <c r="G23" s="19"/>
      <c r="H23" s="18"/>
      <c r="I23" s="19">
        <f>SUM('Random'!$D$23:$F$23)</f>
        <v>737</v>
      </c>
      <c r="K23" s="25"/>
    </row>
    <row r="24" spans="2:12" x14ac:dyDescent="0.25">
      <c r="B24" s="18"/>
      <c r="C24" s="19"/>
      <c r="D24" s="19"/>
      <c r="E24" s="19"/>
      <c r="F24" s="19"/>
      <c r="G24" s="19"/>
      <c r="H24" s="18"/>
      <c r="I24" s="19"/>
      <c r="K24" s="25"/>
    </row>
    <row r="25" spans="2:12" x14ac:dyDescent="0.25">
      <c r="B25" s="18"/>
      <c r="C25" s="19"/>
      <c r="D25" s="19"/>
      <c r="E25" s="19"/>
      <c r="F25" s="19"/>
      <c r="G25" s="19"/>
      <c r="H25" s="18"/>
      <c r="I25" s="19"/>
      <c r="K25" s="25"/>
    </row>
    <row r="26" spans="2:12" x14ac:dyDescent="0.25">
      <c r="B26" s="18"/>
      <c r="C26" s="19"/>
      <c r="D26" s="19"/>
      <c r="E26" s="19"/>
      <c r="F26" s="19"/>
      <c r="G26" s="19"/>
      <c r="H26" s="18"/>
      <c r="I26" s="19"/>
    </row>
    <row r="27" spans="2:12" x14ac:dyDescent="0.25">
      <c r="B27" t="s">
        <v>30</v>
      </c>
      <c r="C27" t="s">
        <v>31</v>
      </c>
      <c r="I27" s="11"/>
      <c r="K27" s="5"/>
    </row>
    <row r="28" spans="2:12" x14ac:dyDescent="0.25">
      <c r="B28">
        <v>80</v>
      </c>
      <c r="C28" t="s">
        <v>33</v>
      </c>
      <c r="H28" s="5"/>
      <c r="I28" s="6"/>
      <c r="K28" s="6"/>
    </row>
    <row r="29" spans="2:12" x14ac:dyDescent="0.25">
      <c r="B29">
        <v>63</v>
      </c>
      <c r="C29" t="s">
        <v>33</v>
      </c>
      <c r="H29" s="5"/>
      <c r="I29" s="6"/>
      <c r="K29" s="6"/>
    </row>
    <row r="30" spans="2:12" x14ac:dyDescent="0.25">
      <c r="B30">
        <v>51</v>
      </c>
      <c r="C30" t="s">
        <v>33</v>
      </c>
      <c r="H30" s="5"/>
      <c r="I30" s="6"/>
      <c r="J30" s="5"/>
      <c r="K30" s="6"/>
      <c r="L30" s="11"/>
    </row>
    <row r="31" spans="2:12" x14ac:dyDescent="0.25">
      <c r="B31">
        <v>11</v>
      </c>
      <c r="C31" t="s">
        <v>33</v>
      </c>
      <c r="H31" s="5"/>
      <c r="I31" s="6"/>
      <c r="J31" s="5"/>
      <c r="K31" s="6"/>
      <c r="L31" s="6"/>
    </row>
    <row r="32" spans="2:12" x14ac:dyDescent="0.25">
      <c r="B32">
        <v>101</v>
      </c>
      <c r="C32" t="s">
        <v>33</v>
      </c>
      <c r="H32" s="5"/>
      <c r="I32" s="6"/>
      <c r="J32" s="5"/>
      <c r="K32" s="6"/>
      <c r="L32" s="6"/>
    </row>
    <row r="33" spans="2:12" x14ac:dyDescent="0.25">
      <c r="B33">
        <v>107</v>
      </c>
      <c r="C33" t="s">
        <v>33</v>
      </c>
      <c r="H33" s="5"/>
      <c r="I33" s="6"/>
      <c r="J33" s="5"/>
      <c r="K33" s="6"/>
      <c r="L33" s="6"/>
    </row>
    <row r="34" spans="2:12" x14ac:dyDescent="0.25">
      <c r="B34">
        <v>71</v>
      </c>
      <c r="C34" t="s">
        <v>33</v>
      </c>
      <c r="H34" s="5"/>
      <c r="I34" s="6"/>
      <c r="J34" s="5"/>
      <c r="K34" s="6"/>
      <c r="L34" s="6"/>
    </row>
    <row r="35" spans="2:12" x14ac:dyDescent="0.25">
      <c r="B35">
        <v>104</v>
      </c>
      <c r="C35" t="s">
        <v>33</v>
      </c>
      <c r="H35" s="5"/>
      <c r="I35" s="6"/>
      <c r="J35" s="5"/>
      <c r="K35" s="6"/>
      <c r="L35" s="6"/>
    </row>
    <row r="36" spans="2:12" x14ac:dyDescent="0.25">
      <c r="B36">
        <v>24</v>
      </c>
      <c r="C36" t="s">
        <v>33</v>
      </c>
      <c r="H36" s="5"/>
      <c r="I36" s="6"/>
      <c r="J36" s="5"/>
      <c r="K36" s="6"/>
      <c r="L36" s="6"/>
    </row>
    <row r="37" spans="2:12" x14ac:dyDescent="0.25">
      <c r="B37">
        <v>88</v>
      </c>
      <c r="C37" t="s">
        <v>33</v>
      </c>
      <c r="H37" s="5"/>
      <c r="I37" s="6"/>
      <c r="J37" s="5"/>
      <c r="K37" s="6"/>
      <c r="L37" s="6"/>
    </row>
    <row r="38" spans="2:12" x14ac:dyDescent="0.25">
      <c r="B38">
        <v>95</v>
      </c>
      <c r="C38" t="s">
        <v>33</v>
      </c>
      <c r="H38" s="5"/>
      <c r="I38" s="6"/>
      <c r="J38" s="5"/>
      <c r="K38" s="6"/>
      <c r="L38" s="6"/>
    </row>
    <row r="39" spans="2:12" x14ac:dyDescent="0.25">
      <c r="B39">
        <v>42</v>
      </c>
      <c r="C39" t="s">
        <v>33</v>
      </c>
      <c r="H39" s="5"/>
      <c r="I39" s="6"/>
      <c r="J39" s="5"/>
      <c r="K39" s="6"/>
      <c r="L39" s="6"/>
    </row>
    <row r="40" spans="2:12" x14ac:dyDescent="0.25">
      <c r="B40">
        <v>91</v>
      </c>
      <c r="C40" t="s">
        <v>33</v>
      </c>
      <c r="H40" s="5"/>
      <c r="I40" s="6"/>
      <c r="J40" s="5"/>
      <c r="K40" s="6"/>
      <c r="L40" s="6"/>
    </row>
    <row r="41" spans="2:12" x14ac:dyDescent="0.25">
      <c r="B41">
        <v>106</v>
      </c>
      <c r="C41" t="s">
        <v>33</v>
      </c>
      <c r="H41" s="5"/>
      <c r="I41" s="6"/>
      <c r="J41" s="5"/>
      <c r="K41" s="6"/>
      <c r="L41" s="6"/>
    </row>
    <row r="42" spans="2:12" x14ac:dyDescent="0.25">
      <c r="B42">
        <v>18</v>
      </c>
      <c r="C42" t="s">
        <v>33</v>
      </c>
      <c r="H42" s="5"/>
      <c r="I42" s="6"/>
      <c r="J42" s="5"/>
      <c r="K42" s="6"/>
      <c r="L42" s="6"/>
    </row>
    <row r="43" spans="2:12" x14ac:dyDescent="0.25">
      <c r="B43">
        <v>87</v>
      </c>
      <c r="C43" t="s">
        <v>33</v>
      </c>
      <c r="H43" s="5"/>
      <c r="I43" s="6"/>
      <c r="J43" s="5"/>
      <c r="K43" s="6"/>
      <c r="L43" s="6"/>
    </row>
    <row r="44" spans="2:12" x14ac:dyDescent="0.25">
      <c r="B44">
        <v>90</v>
      </c>
      <c r="C44" t="s">
        <v>33</v>
      </c>
      <c r="H44" s="5"/>
      <c r="I44" s="6"/>
      <c r="J44" s="5"/>
      <c r="K44" s="6"/>
      <c r="L44" s="6"/>
    </row>
    <row r="45" spans="2:12" x14ac:dyDescent="0.25">
      <c r="B45">
        <v>57</v>
      </c>
      <c r="C45" t="s">
        <v>33</v>
      </c>
      <c r="H45" s="5"/>
      <c r="I45" s="6"/>
      <c r="J45" s="5"/>
      <c r="K45" s="6"/>
      <c r="L45" s="6"/>
    </row>
    <row r="46" spans="2:12" x14ac:dyDescent="0.25">
      <c r="B46">
        <v>14</v>
      </c>
      <c r="C46" t="s">
        <v>33</v>
      </c>
      <c r="H46" s="5"/>
      <c r="I46" s="6"/>
      <c r="J46" s="5"/>
      <c r="K46" s="6"/>
      <c r="L46" s="6"/>
    </row>
    <row r="47" spans="2:12" x14ac:dyDescent="0.25">
      <c r="B47">
        <v>83</v>
      </c>
      <c r="C47" t="s">
        <v>33</v>
      </c>
      <c r="H47" s="5"/>
      <c r="I47" s="6"/>
      <c r="J47" s="5"/>
      <c r="K47" s="6"/>
      <c r="L47" s="6"/>
    </row>
    <row r="48" spans="2:12" x14ac:dyDescent="0.25">
      <c r="B48">
        <v>69</v>
      </c>
      <c r="C48" t="s">
        <v>33</v>
      </c>
      <c r="H48" s="5"/>
      <c r="I48" s="6"/>
      <c r="J48" s="5"/>
      <c r="K48" s="6"/>
      <c r="L48" s="6"/>
    </row>
    <row r="49" spans="2:12" x14ac:dyDescent="0.25">
      <c r="B49">
        <v>1</v>
      </c>
      <c r="C49" t="s">
        <v>33</v>
      </c>
      <c r="H49" s="5"/>
      <c r="I49" s="6"/>
      <c r="J49" s="5"/>
      <c r="K49" s="6"/>
      <c r="L49" s="6"/>
    </row>
    <row r="50" spans="2:12" x14ac:dyDescent="0.25">
      <c r="B50">
        <v>4</v>
      </c>
      <c r="C50" t="s">
        <v>33</v>
      </c>
      <c r="H50" s="5"/>
      <c r="I50" s="6"/>
      <c r="J50" s="5"/>
      <c r="K50" s="6"/>
      <c r="L50" s="6"/>
    </row>
    <row r="51" spans="2:12" x14ac:dyDescent="0.25">
      <c r="B51">
        <v>78</v>
      </c>
      <c r="C51" t="s">
        <v>33</v>
      </c>
      <c r="H51" s="5"/>
      <c r="I51" s="6"/>
      <c r="J51" s="5"/>
      <c r="K51" s="6"/>
      <c r="L51" s="6"/>
    </row>
    <row r="52" spans="2:12" x14ac:dyDescent="0.25">
      <c r="B52">
        <v>2</v>
      </c>
      <c r="C52" t="s">
        <v>33</v>
      </c>
      <c r="H52" s="5"/>
      <c r="I52" s="6"/>
      <c r="J52" s="5"/>
      <c r="K52" s="6"/>
      <c r="L52" s="6"/>
    </row>
    <row r="53" spans="2:12" x14ac:dyDescent="0.25">
      <c r="B53">
        <v>27</v>
      </c>
      <c r="C53" t="s">
        <v>33</v>
      </c>
      <c r="H53" s="5"/>
      <c r="I53" s="6"/>
      <c r="J53" s="5"/>
      <c r="K53" s="6"/>
      <c r="L53" s="6"/>
    </row>
    <row r="54" spans="2:12" x14ac:dyDescent="0.25">
      <c r="B54">
        <v>96</v>
      </c>
      <c r="C54" t="s">
        <v>33</v>
      </c>
      <c r="H54" s="5"/>
      <c r="I54" s="6"/>
      <c r="J54" s="5"/>
      <c r="K54" s="6"/>
      <c r="L54" s="6"/>
    </row>
    <row r="55" spans="2:12" x14ac:dyDescent="0.25">
      <c r="B55">
        <v>76</v>
      </c>
      <c r="C55" t="s">
        <v>33</v>
      </c>
      <c r="H55" s="5"/>
      <c r="I55" s="6"/>
      <c r="J55" s="5"/>
      <c r="K55" s="6"/>
      <c r="L55" s="6"/>
    </row>
    <row r="56" spans="2:12" x14ac:dyDescent="0.25">
      <c r="B56">
        <v>48</v>
      </c>
      <c r="C56" t="s">
        <v>33</v>
      </c>
      <c r="H56" s="5"/>
      <c r="I56" s="6"/>
      <c r="J56" s="5"/>
      <c r="K56" s="6"/>
      <c r="L56" s="6"/>
    </row>
    <row r="57" spans="2:12" x14ac:dyDescent="0.25">
      <c r="B57">
        <v>28</v>
      </c>
      <c r="C57" t="s">
        <v>33</v>
      </c>
      <c r="H57" s="5"/>
      <c r="I57" s="6"/>
      <c r="J57" s="5"/>
      <c r="K57" s="6"/>
      <c r="L57" s="6"/>
    </row>
    <row r="58" spans="2:12" x14ac:dyDescent="0.25">
      <c r="B58">
        <v>103</v>
      </c>
      <c r="C58" t="s">
        <v>33</v>
      </c>
      <c r="H58" s="5"/>
      <c r="I58" s="6"/>
      <c r="J58" s="5"/>
      <c r="K58" s="6"/>
      <c r="L58" s="6"/>
    </row>
    <row r="59" spans="2:12" x14ac:dyDescent="0.25">
      <c r="B59">
        <v>30</v>
      </c>
      <c r="C59" t="s">
        <v>33</v>
      </c>
      <c r="H59" s="5"/>
      <c r="I59" s="6"/>
      <c r="J59" s="5"/>
      <c r="K59" s="6"/>
      <c r="L59" s="6"/>
    </row>
    <row r="60" spans="2:12" x14ac:dyDescent="0.25">
      <c r="B60">
        <v>53</v>
      </c>
      <c r="C60" t="s">
        <v>33</v>
      </c>
      <c r="H60" s="5"/>
      <c r="I60" s="6"/>
      <c r="J60" s="5"/>
      <c r="K60" s="6"/>
      <c r="L60" s="6"/>
    </row>
    <row r="61" spans="2:12" x14ac:dyDescent="0.25">
      <c r="B61">
        <v>33</v>
      </c>
      <c r="C61" t="s">
        <v>33</v>
      </c>
      <c r="H61" s="5"/>
      <c r="I61" s="6"/>
      <c r="J61" s="5"/>
      <c r="K61" s="6"/>
      <c r="L61" s="6"/>
    </row>
    <row r="62" spans="2:12" x14ac:dyDescent="0.25">
      <c r="B62">
        <v>35</v>
      </c>
      <c r="C62" t="s">
        <v>33</v>
      </c>
      <c r="H62" s="5"/>
      <c r="I62" s="6"/>
      <c r="J62" s="5"/>
      <c r="K62" s="6"/>
      <c r="L62" s="6"/>
    </row>
    <row r="63" spans="2:12" x14ac:dyDescent="0.25">
      <c r="B63">
        <v>92</v>
      </c>
      <c r="C63" t="s">
        <v>33</v>
      </c>
      <c r="H63" s="5"/>
      <c r="I63" s="6"/>
      <c r="J63" s="5"/>
      <c r="K63" s="6"/>
      <c r="L63" s="6"/>
    </row>
    <row r="64" spans="2:12" x14ac:dyDescent="0.25">
      <c r="B64">
        <v>114</v>
      </c>
      <c r="C64" t="s">
        <v>33</v>
      </c>
      <c r="H64" s="5"/>
      <c r="I64" s="6"/>
      <c r="J64" s="5"/>
      <c r="K64" s="6"/>
      <c r="L64" s="6"/>
    </row>
    <row r="65" spans="2:12" x14ac:dyDescent="0.25">
      <c r="B65">
        <v>115</v>
      </c>
      <c r="C65" t="s">
        <v>33</v>
      </c>
      <c r="H65" s="5"/>
      <c r="I65" s="6"/>
      <c r="J65" s="5"/>
      <c r="K65" s="6"/>
      <c r="L65" s="6"/>
    </row>
    <row r="66" spans="2:12" x14ac:dyDescent="0.25">
      <c r="B66">
        <v>54</v>
      </c>
      <c r="C66" t="s">
        <v>33</v>
      </c>
      <c r="H66" s="5"/>
      <c r="I66" s="6"/>
      <c r="J66" s="5"/>
      <c r="K66" s="6"/>
      <c r="L66" s="6"/>
    </row>
    <row r="67" spans="2:12" x14ac:dyDescent="0.25">
      <c r="B67">
        <v>61</v>
      </c>
      <c r="C67" t="s">
        <v>33</v>
      </c>
      <c r="H67" s="5"/>
      <c r="I67" s="6"/>
      <c r="J67" s="5"/>
      <c r="K67" s="6"/>
      <c r="L67" s="6"/>
    </row>
    <row r="68" spans="2:12" x14ac:dyDescent="0.25">
      <c r="B68">
        <v>118</v>
      </c>
      <c r="C68" t="s">
        <v>33</v>
      </c>
      <c r="H68" s="5"/>
      <c r="I68" s="6"/>
      <c r="J68" s="5"/>
      <c r="K68" s="6"/>
      <c r="L68" s="6"/>
    </row>
    <row r="69" spans="2:12" x14ac:dyDescent="0.25">
      <c r="B69">
        <v>105</v>
      </c>
      <c r="C69" t="s">
        <v>33</v>
      </c>
      <c r="H69" s="5"/>
      <c r="I69" s="6"/>
      <c r="J69" s="5"/>
      <c r="K69" s="6"/>
      <c r="L69" s="6"/>
    </row>
    <row r="70" spans="2:12" x14ac:dyDescent="0.25">
      <c r="B70">
        <v>79</v>
      </c>
      <c r="C70" t="s">
        <v>33</v>
      </c>
      <c r="H70" s="5"/>
      <c r="I70" s="6"/>
      <c r="J70" s="5"/>
      <c r="K70" s="6"/>
      <c r="L70" s="6"/>
    </row>
    <row r="71" spans="2:12" x14ac:dyDescent="0.25">
      <c r="B71">
        <v>13</v>
      </c>
      <c r="C71" t="s">
        <v>33</v>
      </c>
      <c r="H71" s="5"/>
      <c r="I71" s="6"/>
      <c r="J71" s="5"/>
      <c r="K71" s="6"/>
      <c r="L71" s="6"/>
    </row>
    <row r="72" spans="2:12" x14ac:dyDescent="0.25">
      <c r="B72">
        <v>10</v>
      </c>
      <c r="C72" t="s">
        <v>33</v>
      </c>
      <c r="H72" s="5"/>
      <c r="I72" s="6"/>
      <c r="J72" s="5"/>
      <c r="K72" s="6"/>
      <c r="L72" s="6"/>
    </row>
    <row r="73" spans="2:12" x14ac:dyDescent="0.25">
      <c r="B73">
        <v>25</v>
      </c>
      <c r="C73" t="s">
        <v>33</v>
      </c>
      <c r="H73" s="5"/>
      <c r="I73" s="6"/>
      <c r="J73" s="5"/>
      <c r="K73" s="6"/>
      <c r="L73" s="6"/>
    </row>
    <row r="74" spans="2:12" x14ac:dyDescent="0.25">
      <c r="B74">
        <v>45</v>
      </c>
      <c r="C74" t="s">
        <v>33</v>
      </c>
      <c r="H74" s="5"/>
      <c r="I74" s="6"/>
      <c r="J74" s="5"/>
      <c r="K74" s="6"/>
      <c r="L74" s="6"/>
    </row>
    <row r="75" spans="2:12" x14ac:dyDescent="0.25">
      <c r="B75">
        <v>98</v>
      </c>
      <c r="C75" t="s">
        <v>33</v>
      </c>
      <c r="H75" s="5"/>
      <c r="I75" s="6"/>
      <c r="J75" s="5"/>
      <c r="K75" s="6"/>
      <c r="L75" s="6"/>
    </row>
    <row r="76" spans="2:12" x14ac:dyDescent="0.25">
      <c r="B76">
        <v>116</v>
      </c>
      <c r="C76" t="s">
        <v>33</v>
      </c>
      <c r="H76" s="5"/>
      <c r="I76" s="6"/>
      <c r="J76" s="5"/>
      <c r="K76" s="6"/>
      <c r="L76" s="6"/>
    </row>
    <row r="77" spans="2:12" x14ac:dyDescent="0.25">
      <c r="B77">
        <v>12</v>
      </c>
      <c r="C77" t="s">
        <v>33</v>
      </c>
      <c r="H77" s="5"/>
      <c r="I77" s="6"/>
      <c r="J77" s="5"/>
      <c r="K77" s="6"/>
      <c r="L77" s="6"/>
    </row>
    <row r="78" spans="2:12" x14ac:dyDescent="0.25">
      <c r="B78">
        <v>84</v>
      </c>
      <c r="C78" t="s">
        <v>33</v>
      </c>
      <c r="H78" s="5"/>
      <c r="I78" s="6"/>
      <c r="J78" s="5"/>
      <c r="K78" s="6"/>
      <c r="L78" s="6"/>
    </row>
    <row r="79" spans="2:12" x14ac:dyDescent="0.25">
      <c r="B79">
        <v>77</v>
      </c>
      <c r="C79" t="s">
        <v>33</v>
      </c>
      <c r="H79" s="5"/>
      <c r="I79" s="6"/>
      <c r="J79" s="5"/>
      <c r="K79" s="6"/>
      <c r="L79" s="6"/>
    </row>
    <row r="80" spans="2:12" x14ac:dyDescent="0.25">
      <c r="B80">
        <v>39</v>
      </c>
      <c r="C80" t="s">
        <v>33</v>
      </c>
      <c r="H80" s="5"/>
      <c r="I80" s="6"/>
      <c r="J80" s="5"/>
      <c r="K80" s="6"/>
      <c r="L80" s="6"/>
    </row>
    <row r="81" spans="2:12" x14ac:dyDescent="0.25">
      <c r="B81">
        <v>58</v>
      </c>
      <c r="C81" t="s">
        <v>33</v>
      </c>
      <c r="H81" s="5"/>
      <c r="I81" s="6"/>
      <c r="J81" s="5"/>
      <c r="K81" s="6"/>
      <c r="L81" s="6"/>
    </row>
    <row r="82" spans="2:12" x14ac:dyDescent="0.25">
      <c r="B82">
        <v>73</v>
      </c>
      <c r="C82" t="s">
        <v>33</v>
      </c>
      <c r="H82" s="5"/>
      <c r="I82" s="6"/>
      <c r="J82" s="5"/>
      <c r="K82" s="6"/>
      <c r="L82" s="6"/>
    </row>
    <row r="83" spans="2:12" x14ac:dyDescent="0.25">
      <c r="B83">
        <v>82</v>
      </c>
      <c r="C83" t="s">
        <v>33</v>
      </c>
      <c r="H83" s="5"/>
      <c r="I83" s="6"/>
      <c r="J83" s="5"/>
      <c r="K83" s="6"/>
      <c r="L83" s="6"/>
    </row>
    <row r="84" spans="2:12" x14ac:dyDescent="0.25">
      <c r="B84">
        <v>72</v>
      </c>
      <c r="C84" t="s">
        <v>33</v>
      </c>
      <c r="H84" s="5"/>
      <c r="I84" s="6"/>
      <c r="J84" s="5"/>
      <c r="K84" s="6"/>
      <c r="L84" s="6"/>
    </row>
    <row r="85" spans="2:12" x14ac:dyDescent="0.25">
      <c r="B85">
        <v>26</v>
      </c>
      <c r="C85" t="s">
        <v>33</v>
      </c>
      <c r="H85" s="5"/>
      <c r="I85" s="6"/>
      <c r="J85" s="5"/>
      <c r="K85" s="6"/>
      <c r="L85" s="6"/>
    </row>
    <row r="86" spans="2:12" x14ac:dyDescent="0.25">
      <c r="B86">
        <v>6</v>
      </c>
      <c r="C86" t="s">
        <v>33</v>
      </c>
      <c r="H86" s="5"/>
      <c r="I86" s="6"/>
      <c r="J86" s="5"/>
      <c r="K86" s="6"/>
      <c r="L86" s="6"/>
    </row>
    <row r="87" spans="2:12" x14ac:dyDescent="0.25">
      <c r="B87">
        <v>21</v>
      </c>
      <c r="C87" t="s">
        <v>33</v>
      </c>
      <c r="H87" s="5"/>
      <c r="I87" s="6"/>
      <c r="J87" s="5"/>
      <c r="K87" s="6"/>
      <c r="L87" s="6"/>
    </row>
    <row r="88" spans="2:12" x14ac:dyDescent="0.25">
      <c r="B88">
        <v>43</v>
      </c>
      <c r="C88" t="s">
        <v>33</v>
      </c>
      <c r="H88" s="5"/>
      <c r="I88" s="6"/>
      <c r="J88" s="5"/>
      <c r="K88" s="6"/>
      <c r="L88" s="6"/>
    </row>
    <row r="89" spans="2:12" x14ac:dyDescent="0.25">
      <c r="B89">
        <v>22</v>
      </c>
      <c r="C89" t="s">
        <v>33</v>
      </c>
      <c r="H89" s="5"/>
      <c r="I89" s="6"/>
      <c r="J89" s="5"/>
      <c r="K89" s="6"/>
      <c r="L89" s="6"/>
    </row>
    <row r="90" spans="2:12" x14ac:dyDescent="0.25">
      <c r="B90">
        <v>15</v>
      </c>
      <c r="C90" t="s">
        <v>33</v>
      </c>
      <c r="H90" s="5"/>
      <c r="I90" s="6"/>
      <c r="J90" s="5"/>
      <c r="K90" s="6"/>
      <c r="L90" s="6"/>
    </row>
    <row r="91" spans="2:12" x14ac:dyDescent="0.25">
      <c r="B91">
        <v>70</v>
      </c>
      <c r="C91" t="s">
        <v>33</v>
      </c>
      <c r="H91" s="5"/>
      <c r="I91" s="6"/>
      <c r="J91" s="5"/>
      <c r="K91" s="6"/>
      <c r="L91" s="6"/>
    </row>
    <row r="92" spans="2:12" x14ac:dyDescent="0.25">
      <c r="B92">
        <v>60</v>
      </c>
      <c r="C92" t="s">
        <v>33</v>
      </c>
      <c r="H92" s="5"/>
      <c r="I92" s="6"/>
      <c r="J92" s="5"/>
      <c r="K92" s="6"/>
      <c r="L92" s="6"/>
    </row>
    <row r="93" spans="2:12" x14ac:dyDescent="0.25">
      <c r="B93">
        <v>113</v>
      </c>
      <c r="C93" t="s">
        <v>33</v>
      </c>
      <c r="H93" s="5"/>
      <c r="I93" s="6"/>
      <c r="J93" s="5"/>
      <c r="K93" s="6"/>
      <c r="L93" s="6"/>
    </row>
    <row r="94" spans="2:12" x14ac:dyDescent="0.25">
      <c r="B94">
        <v>97</v>
      </c>
      <c r="C94" t="s">
        <v>33</v>
      </c>
      <c r="H94" s="5"/>
      <c r="I94" s="6"/>
      <c r="J94" s="5"/>
      <c r="K94" s="6"/>
      <c r="L94" s="6"/>
    </row>
    <row r="95" spans="2:12" x14ac:dyDescent="0.25">
      <c r="B95">
        <v>8</v>
      </c>
      <c r="C95" t="s">
        <v>33</v>
      </c>
      <c r="H95" s="5"/>
      <c r="I95" s="6"/>
      <c r="J95" s="5"/>
      <c r="K95" s="6"/>
      <c r="L95" s="6"/>
    </row>
    <row r="96" spans="2:12" x14ac:dyDescent="0.25">
      <c r="B96">
        <v>44</v>
      </c>
      <c r="C96" t="s">
        <v>33</v>
      </c>
      <c r="H96" s="5"/>
      <c r="I96" s="6"/>
      <c r="J96" s="5"/>
      <c r="K96" s="6"/>
      <c r="L96" s="6"/>
    </row>
    <row r="97" spans="2:12" x14ac:dyDescent="0.25">
      <c r="B97">
        <v>3</v>
      </c>
      <c r="C97" t="s">
        <v>33</v>
      </c>
      <c r="H97" s="5"/>
      <c r="I97" s="6"/>
      <c r="J97" s="5"/>
      <c r="K97" s="6"/>
      <c r="L97" s="6"/>
    </row>
    <row r="98" spans="2:12" x14ac:dyDescent="0.25">
      <c r="B98">
        <v>100</v>
      </c>
      <c r="C98" t="s">
        <v>33</v>
      </c>
      <c r="H98" s="5"/>
      <c r="I98" s="6"/>
      <c r="J98" s="5"/>
      <c r="K98" s="6"/>
      <c r="L98" s="6"/>
    </row>
    <row r="99" spans="2:12" x14ac:dyDescent="0.25">
      <c r="B99">
        <v>31</v>
      </c>
      <c r="C99" t="s">
        <v>33</v>
      </c>
      <c r="H99" s="5"/>
      <c r="I99" s="6"/>
      <c r="J99" s="5"/>
      <c r="K99" s="6"/>
      <c r="L99" s="6"/>
    </row>
    <row r="100" spans="2:12" x14ac:dyDescent="0.25">
      <c r="B100">
        <v>34</v>
      </c>
      <c r="C100" t="s">
        <v>33</v>
      </c>
      <c r="H100" s="5"/>
      <c r="I100" s="6"/>
      <c r="J100" s="5"/>
      <c r="K100" s="6"/>
      <c r="L100" s="6"/>
    </row>
    <row r="101" spans="2:12" x14ac:dyDescent="0.25">
      <c r="B101">
        <v>49</v>
      </c>
      <c r="C101" t="s">
        <v>33</v>
      </c>
      <c r="H101" s="5"/>
      <c r="I101" s="6"/>
      <c r="J101" s="5"/>
      <c r="K101" s="6"/>
      <c r="L101" s="6"/>
    </row>
    <row r="102" spans="2:12" x14ac:dyDescent="0.25">
      <c r="B102">
        <v>93</v>
      </c>
      <c r="C102" t="s">
        <v>33</v>
      </c>
      <c r="H102" s="5"/>
      <c r="I102" s="6"/>
      <c r="J102" s="5"/>
      <c r="K102" s="6"/>
      <c r="L102" s="6"/>
    </row>
    <row r="103" spans="2:12" x14ac:dyDescent="0.25">
      <c r="B103">
        <v>36</v>
      </c>
      <c r="C103" t="s">
        <v>33</v>
      </c>
      <c r="H103" s="5"/>
      <c r="I103" s="6"/>
      <c r="J103" s="5"/>
      <c r="K103" s="6"/>
      <c r="L103" s="6"/>
    </row>
    <row r="104" spans="2:12" x14ac:dyDescent="0.25">
      <c r="B104">
        <v>19</v>
      </c>
      <c r="C104" t="s">
        <v>33</v>
      </c>
      <c r="H104" s="5"/>
      <c r="I104" s="6"/>
      <c r="J104" s="5"/>
      <c r="K104" s="6"/>
      <c r="L104" s="6"/>
    </row>
    <row r="105" spans="2:12" x14ac:dyDescent="0.25">
      <c r="B105">
        <v>32</v>
      </c>
      <c r="C105" t="s">
        <v>33</v>
      </c>
      <c r="H105" s="5"/>
      <c r="I105" s="6"/>
      <c r="J105" s="5"/>
      <c r="K105" s="6"/>
      <c r="L105" s="6"/>
    </row>
    <row r="106" spans="2:12" x14ac:dyDescent="0.25">
      <c r="B106">
        <v>20</v>
      </c>
      <c r="C106" t="s">
        <v>33</v>
      </c>
      <c r="H106" s="5"/>
      <c r="I106" s="6"/>
      <c r="J106" s="5"/>
      <c r="K106" s="6"/>
      <c r="L106" s="6"/>
    </row>
    <row r="107" spans="2:12" x14ac:dyDescent="0.25">
      <c r="B107">
        <v>111</v>
      </c>
      <c r="C107" t="s">
        <v>33</v>
      </c>
      <c r="H107" s="5"/>
      <c r="I107" s="6"/>
      <c r="J107" s="5"/>
      <c r="K107" s="6"/>
      <c r="L107" s="6"/>
    </row>
    <row r="108" spans="2:12" x14ac:dyDescent="0.25">
      <c r="B108">
        <v>23</v>
      </c>
      <c r="C108" t="s">
        <v>33</v>
      </c>
      <c r="H108" s="5"/>
      <c r="I108" s="6"/>
      <c r="J108" s="5"/>
      <c r="K108" s="6"/>
      <c r="L108" s="6"/>
    </row>
    <row r="109" spans="2:12" x14ac:dyDescent="0.25">
      <c r="B109">
        <v>65</v>
      </c>
      <c r="C109" t="s">
        <v>33</v>
      </c>
      <c r="H109" s="5"/>
      <c r="I109" s="6"/>
      <c r="J109" s="5"/>
      <c r="K109" s="6"/>
      <c r="L109" s="6"/>
    </row>
    <row r="110" spans="2:12" x14ac:dyDescent="0.25">
      <c r="B110">
        <v>50</v>
      </c>
      <c r="C110" t="s">
        <v>33</v>
      </c>
      <c r="H110" s="5"/>
      <c r="I110" s="6"/>
      <c r="J110" s="5"/>
      <c r="K110" s="6"/>
      <c r="L110" s="6"/>
    </row>
    <row r="111" spans="2:12" x14ac:dyDescent="0.25">
      <c r="B111">
        <v>47</v>
      </c>
      <c r="C111" t="s">
        <v>34</v>
      </c>
      <c r="H111" s="5"/>
      <c r="I111" s="6"/>
      <c r="J111" s="5"/>
      <c r="K111" s="6"/>
      <c r="L111" s="6"/>
    </row>
    <row r="112" spans="2:12" x14ac:dyDescent="0.25">
      <c r="B112">
        <v>64</v>
      </c>
      <c r="C112" t="s">
        <v>34</v>
      </c>
      <c r="H112" s="5"/>
      <c r="I112" s="6"/>
      <c r="J112" s="5"/>
      <c r="K112" s="6"/>
      <c r="L112" s="6"/>
    </row>
    <row r="113" spans="2:12" x14ac:dyDescent="0.25">
      <c r="B113">
        <v>85</v>
      </c>
      <c r="C113" t="s">
        <v>34</v>
      </c>
      <c r="H113" s="5"/>
      <c r="I113" s="6"/>
      <c r="J113" s="5"/>
      <c r="K113" s="6"/>
      <c r="L113" s="6"/>
    </row>
    <row r="114" spans="2:12" x14ac:dyDescent="0.25">
      <c r="B114">
        <v>112</v>
      </c>
      <c r="C114" t="s">
        <v>34</v>
      </c>
      <c r="H114" s="5"/>
      <c r="I114" s="6"/>
      <c r="J114" s="5"/>
      <c r="K114" s="6"/>
      <c r="L114" s="6"/>
    </row>
    <row r="115" spans="2:12" x14ac:dyDescent="0.25">
      <c r="B115">
        <v>41</v>
      </c>
      <c r="C115" t="s">
        <v>34</v>
      </c>
      <c r="H115" s="5"/>
      <c r="I115" s="6"/>
      <c r="J115" s="5"/>
      <c r="K115" s="6"/>
      <c r="L115" s="6"/>
    </row>
    <row r="116" spans="2:12" x14ac:dyDescent="0.25">
      <c r="B116">
        <v>86</v>
      </c>
      <c r="C116" t="s">
        <v>34</v>
      </c>
      <c r="H116" s="5"/>
      <c r="I116" s="6"/>
      <c r="J116" s="5"/>
      <c r="K116" s="6"/>
      <c r="L116" s="6"/>
    </row>
    <row r="117" spans="2:12" x14ac:dyDescent="0.25">
      <c r="B117">
        <v>16</v>
      </c>
      <c r="C117" t="s">
        <v>34</v>
      </c>
      <c r="H117" s="5"/>
      <c r="I117" s="6"/>
      <c r="J117" s="5"/>
      <c r="K117" s="6"/>
      <c r="L117" s="6"/>
    </row>
    <row r="118" spans="2:12" x14ac:dyDescent="0.25">
      <c r="B118">
        <v>66</v>
      </c>
      <c r="C118" t="s">
        <v>34</v>
      </c>
      <c r="H118" s="5"/>
      <c r="I118" s="6"/>
      <c r="J118" s="5"/>
      <c r="K118" s="6"/>
      <c r="L118" s="6"/>
    </row>
    <row r="119" spans="2:12" x14ac:dyDescent="0.25">
      <c r="B119">
        <v>55</v>
      </c>
      <c r="C119" t="s">
        <v>34</v>
      </c>
      <c r="H119" s="5"/>
      <c r="I119" s="6"/>
      <c r="J119" s="5"/>
      <c r="K119" s="6"/>
      <c r="L119" s="6"/>
    </row>
    <row r="120" spans="2:12" x14ac:dyDescent="0.25">
      <c r="B120">
        <v>7</v>
      </c>
      <c r="C120" t="s">
        <v>34</v>
      </c>
      <c r="H120" s="5"/>
      <c r="I120" s="6"/>
      <c r="J120" s="5"/>
      <c r="K120" s="6"/>
      <c r="L120" s="6"/>
    </row>
    <row r="121" spans="2:12" x14ac:dyDescent="0.25">
      <c r="B121">
        <v>5</v>
      </c>
      <c r="C121" t="s">
        <v>34</v>
      </c>
      <c r="H121" s="5"/>
      <c r="I121" s="6"/>
      <c r="J121" s="5"/>
      <c r="K121" s="6"/>
      <c r="L121" s="6"/>
    </row>
    <row r="122" spans="2:12" x14ac:dyDescent="0.25">
      <c r="B122">
        <v>29</v>
      </c>
      <c r="C122" t="s">
        <v>34</v>
      </c>
      <c r="H122" s="5"/>
      <c r="I122" s="6"/>
      <c r="J122" s="5"/>
      <c r="K122" s="6"/>
      <c r="L122" s="6"/>
    </row>
    <row r="123" spans="2:12" x14ac:dyDescent="0.25">
      <c r="B123">
        <v>40</v>
      </c>
      <c r="C123" t="s">
        <v>25</v>
      </c>
      <c r="H123" s="5"/>
      <c r="I123" s="6"/>
      <c r="J123" s="5"/>
      <c r="K123" s="6"/>
      <c r="L123" s="6"/>
    </row>
    <row r="124" spans="2:12" x14ac:dyDescent="0.25">
      <c r="B124">
        <v>109</v>
      </c>
      <c r="C124" t="s">
        <v>25</v>
      </c>
      <c r="H124" s="5"/>
      <c r="I124" s="6"/>
      <c r="J124" s="5"/>
      <c r="K124" s="6"/>
      <c r="L124" s="6"/>
    </row>
    <row r="125" spans="2:12" x14ac:dyDescent="0.25">
      <c r="B125">
        <v>68</v>
      </c>
      <c r="C125" t="s">
        <v>25</v>
      </c>
      <c r="H125" s="5"/>
      <c r="I125" s="6"/>
      <c r="J125" s="5"/>
      <c r="K125" s="6"/>
      <c r="L125" s="6"/>
    </row>
    <row r="126" spans="2:12" x14ac:dyDescent="0.25">
      <c r="B126">
        <v>110</v>
      </c>
      <c r="C126" t="s">
        <v>25</v>
      </c>
      <c r="H126" s="5"/>
      <c r="I126" s="6"/>
      <c r="J126" s="5"/>
      <c r="K126" s="6"/>
      <c r="L126" s="6"/>
    </row>
    <row r="127" spans="2:12" x14ac:dyDescent="0.25">
      <c r="B127">
        <v>74</v>
      </c>
      <c r="C127" t="s">
        <v>25</v>
      </c>
      <c r="H127" s="5"/>
      <c r="I127" s="6"/>
      <c r="J127" s="5"/>
      <c r="K127" s="6"/>
      <c r="L127" s="6"/>
    </row>
    <row r="128" spans="2:12" x14ac:dyDescent="0.25">
      <c r="B128">
        <v>17</v>
      </c>
      <c r="C128" t="s">
        <v>25</v>
      </c>
      <c r="H128" s="5"/>
      <c r="I128" s="6"/>
      <c r="J128" s="5"/>
      <c r="K128" s="6"/>
      <c r="L128" s="6"/>
    </row>
    <row r="129" spans="2:12" x14ac:dyDescent="0.25">
      <c r="B129">
        <v>75</v>
      </c>
      <c r="C129" t="s">
        <v>25</v>
      </c>
      <c r="H129" s="5"/>
      <c r="I129" s="6"/>
      <c r="J129" s="5"/>
      <c r="K129" s="6"/>
      <c r="L129" s="6"/>
    </row>
    <row r="130" spans="2:12" x14ac:dyDescent="0.25">
      <c r="B130">
        <v>9</v>
      </c>
      <c r="C130" t="s">
        <v>25</v>
      </c>
      <c r="H130" s="5"/>
      <c r="I130" s="6"/>
      <c r="J130" s="5"/>
      <c r="K130" s="6"/>
      <c r="L130" s="6"/>
    </row>
    <row r="131" spans="2:12" x14ac:dyDescent="0.25">
      <c r="B131">
        <v>94</v>
      </c>
      <c r="C131" t="s">
        <v>25</v>
      </c>
      <c r="H131" s="5"/>
      <c r="I131" s="6"/>
      <c r="J131" s="5"/>
      <c r="K131" s="6"/>
      <c r="L131" s="6"/>
    </row>
    <row r="132" spans="2:12" x14ac:dyDescent="0.25">
      <c r="B132">
        <v>37</v>
      </c>
      <c r="C132" t="s">
        <v>25</v>
      </c>
      <c r="H132" s="5"/>
      <c r="I132" s="6"/>
      <c r="J132" s="5"/>
      <c r="K132" s="6"/>
      <c r="L132" s="6"/>
    </row>
    <row r="133" spans="2:12" x14ac:dyDescent="0.25">
      <c r="B133">
        <v>99</v>
      </c>
      <c r="C133" t="s">
        <v>25</v>
      </c>
      <c r="H133" s="5"/>
      <c r="I133" s="6"/>
      <c r="J133" s="5"/>
      <c r="K133" s="6"/>
      <c r="L133" s="6"/>
    </row>
    <row r="134" spans="2:12" x14ac:dyDescent="0.25">
      <c r="B134">
        <v>56</v>
      </c>
      <c r="C134" t="s">
        <v>25</v>
      </c>
      <c r="H134" s="5"/>
      <c r="I134" s="6"/>
      <c r="J134" s="5"/>
      <c r="K134" s="6"/>
      <c r="L134" s="6"/>
    </row>
    <row r="135" spans="2:12" x14ac:dyDescent="0.25">
      <c r="B135">
        <v>102</v>
      </c>
      <c r="C135" t="s">
        <v>25</v>
      </c>
      <c r="H135" s="5"/>
      <c r="I135" s="6"/>
      <c r="J135" s="5"/>
      <c r="K135" s="6"/>
      <c r="L135" s="6"/>
    </row>
    <row r="136" spans="2:12" x14ac:dyDescent="0.25">
      <c r="B136">
        <v>67</v>
      </c>
      <c r="C136" t="s">
        <v>25</v>
      </c>
      <c r="H136" s="5"/>
      <c r="I136" s="6"/>
      <c r="J136" s="5"/>
      <c r="K136" s="6"/>
      <c r="L136" s="6"/>
    </row>
    <row r="137" spans="2:12" x14ac:dyDescent="0.25">
      <c r="B137">
        <v>81</v>
      </c>
      <c r="C137" t="s">
        <v>25</v>
      </c>
      <c r="H137" s="5"/>
      <c r="I137" s="6"/>
      <c r="J137" s="5"/>
      <c r="K137" s="6"/>
      <c r="L137" s="6"/>
    </row>
    <row r="138" spans="2:12" x14ac:dyDescent="0.25">
      <c r="B138">
        <v>38</v>
      </c>
      <c r="C138" t="s">
        <v>25</v>
      </c>
      <c r="H138" s="5"/>
      <c r="I138" s="6"/>
      <c r="J138" s="5"/>
      <c r="K138" s="6"/>
      <c r="L138" s="6"/>
    </row>
    <row r="139" spans="2:12" x14ac:dyDescent="0.25">
      <c r="B139">
        <v>108</v>
      </c>
      <c r="C139" t="s">
        <v>25</v>
      </c>
      <c r="H139" s="5"/>
      <c r="I139" s="6"/>
      <c r="J139" s="5"/>
      <c r="K139" s="6"/>
      <c r="L139" s="6"/>
    </row>
    <row r="140" spans="2:12" x14ac:dyDescent="0.25">
      <c r="B140">
        <v>59</v>
      </c>
      <c r="C140" t="s">
        <v>25</v>
      </c>
      <c r="H140" s="5"/>
      <c r="I140" s="6"/>
      <c r="J140" s="5"/>
      <c r="K140" s="6"/>
      <c r="L140" s="6"/>
    </row>
    <row r="141" spans="2:12" x14ac:dyDescent="0.25">
      <c r="B141">
        <v>46</v>
      </c>
      <c r="C141" t="s">
        <v>25</v>
      </c>
      <c r="H141" s="5"/>
      <c r="I141" s="6"/>
      <c r="J141" s="5"/>
      <c r="K141" s="6"/>
      <c r="L141" s="6"/>
    </row>
    <row r="142" spans="2:12" x14ac:dyDescent="0.25">
      <c r="B142">
        <v>52</v>
      </c>
      <c r="C142" t="s">
        <v>25</v>
      </c>
      <c r="H142" s="5"/>
      <c r="I142" s="6"/>
      <c r="J142" s="5"/>
      <c r="K142" s="6"/>
      <c r="L142" s="6"/>
    </row>
    <row r="143" spans="2:12" x14ac:dyDescent="0.25">
      <c r="B143">
        <v>117</v>
      </c>
      <c r="C143" t="s">
        <v>25</v>
      </c>
      <c r="H143" s="5"/>
      <c r="I143" s="6"/>
      <c r="J143" s="5"/>
      <c r="K143" s="6"/>
      <c r="L143" s="6"/>
    </row>
    <row r="144" spans="2:12" x14ac:dyDescent="0.25">
      <c r="B144">
        <v>119</v>
      </c>
      <c r="C144" t="s">
        <v>25</v>
      </c>
      <c r="H144" s="5"/>
      <c r="I144" s="6"/>
      <c r="J144" s="5"/>
      <c r="K144" s="6"/>
      <c r="L144" s="6"/>
    </row>
    <row r="145" spans="2:12" x14ac:dyDescent="0.25">
      <c r="B145">
        <v>62</v>
      </c>
      <c r="C145" t="s">
        <v>25</v>
      </c>
      <c r="H145" s="5"/>
      <c r="I145" s="6"/>
      <c r="J145" s="5"/>
      <c r="K145" s="6"/>
      <c r="L145" s="6"/>
    </row>
    <row r="146" spans="2:12" x14ac:dyDescent="0.25">
      <c r="B146">
        <v>89</v>
      </c>
      <c r="C146" t="s">
        <v>25</v>
      </c>
      <c r="H146" s="5"/>
      <c r="I146" s="6"/>
      <c r="J146" s="5"/>
      <c r="K146" s="6"/>
      <c r="L146" s="6"/>
    </row>
    <row r="147" spans="2:12" x14ac:dyDescent="0.25">
      <c r="B147">
        <v>140</v>
      </c>
      <c r="C147" t="s">
        <v>33</v>
      </c>
      <c r="H147" s="5"/>
      <c r="I147" s="6"/>
      <c r="J147" s="5"/>
      <c r="K147" s="6"/>
      <c r="L147" s="6"/>
    </row>
    <row r="148" spans="2:12" x14ac:dyDescent="0.25">
      <c r="B148">
        <v>121</v>
      </c>
      <c r="C148" t="s">
        <v>33</v>
      </c>
      <c r="H148" s="5"/>
      <c r="I148" s="6"/>
      <c r="J148" s="5"/>
      <c r="K148" s="6"/>
      <c r="L148" s="6"/>
    </row>
    <row r="149" spans="2:12" x14ac:dyDescent="0.25">
      <c r="B149">
        <v>139</v>
      </c>
      <c r="C149" t="s">
        <v>33</v>
      </c>
      <c r="H149" s="5"/>
      <c r="I149" s="6"/>
      <c r="J149" s="5"/>
      <c r="K149" s="6"/>
      <c r="L149" s="6"/>
    </row>
    <row r="150" spans="2:12" x14ac:dyDescent="0.25">
      <c r="B150">
        <v>128</v>
      </c>
      <c r="C150" t="s">
        <v>33</v>
      </c>
      <c r="H150" s="5"/>
      <c r="I150" s="6"/>
      <c r="J150" s="5"/>
      <c r="K150" s="6"/>
      <c r="L150" s="6"/>
    </row>
    <row r="151" spans="2:12" x14ac:dyDescent="0.25">
      <c r="B151">
        <v>134</v>
      </c>
      <c r="C151" t="s">
        <v>33</v>
      </c>
      <c r="H151" s="5"/>
      <c r="I151" s="6"/>
      <c r="J151" s="5"/>
      <c r="K151" s="6"/>
      <c r="L151" s="6"/>
    </row>
    <row r="152" spans="2:12" x14ac:dyDescent="0.25">
      <c r="B152">
        <v>131</v>
      </c>
      <c r="C152" t="s">
        <v>33</v>
      </c>
      <c r="H152" s="5"/>
      <c r="I152" s="6"/>
      <c r="J152" s="5"/>
      <c r="K152" s="6"/>
      <c r="L152" s="6"/>
    </row>
    <row r="153" spans="2:12" x14ac:dyDescent="0.25">
      <c r="B153">
        <v>142</v>
      </c>
      <c r="C153" t="s">
        <v>33</v>
      </c>
      <c r="H153" s="5"/>
      <c r="I153" s="6"/>
      <c r="J153" s="5"/>
      <c r="K153" s="6"/>
      <c r="L153" s="6"/>
    </row>
    <row r="154" spans="2:12" x14ac:dyDescent="0.25">
      <c r="B154">
        <v>135</v>
      </c>
      <c r="C154" t="s">
        <v>33</v>
      </c>
      <c r="H154" s="5"/>
      <c r="I154" s="6"/>
      <c r="J154" s="5"/>
      <c r="K154" s="6"/>
      <c r="L154" s="6"/>
    </row>
    <row r="155" spans="2:12" x14ac:dyDescent="0.25">
      <c r="B155">
        <v>132</v>
      </c>
      <c r="C155" t="s">
        <v>33</v>
      </c>
      <c r="H155" s="5"/>
      <c r="I155" s="6"/>
      <c r="J155" s="5"/>
      <c r="K155" s="6"/>
      <c r="L155" s="6"/>
    </row>
    <row r="156" spans="2:12" x14ac:dyDescent="0.25">
      <c r="B156">
        <v>120</v>
      </c>
      <c r="C156" t="s">
        <v>33</v>
      </c>
      <c r="H156" s="5"/>
      <c r="I156" s="6"/>
      <c r="J156" s="5"/>
      <c r="K156" s="6"/>
      <c r="L156" s="6"/>
    </row>
    <row r="157" spans="2:12" x14ac:dyDescent="0.25">
      <c r="B157">
        <v>141</v>
      </c>
      <c r="C157" t="s">
        <v>33</v>
      </c>
      <c r="H157" s="5"/>
      <c r="I157" s="6"/>
      <c r="J157" s="5"/>
      <c r="K157" s="6"/>
      <c r="L157" s="6"/>
    </row>
    <row r="158" spans="2:12" x14ac:dyDescent="0.25">
      <c r="B158">
        <v>129</v>
      </c>
      <c r="C158" t="s">
        <v>33</v>
      </c>
      <c r="H158" s="5"/>
      <c r="I158" s="6"/>
      <c r="J158" s="5"/>
      <c r="K158" s="6"/>
      <c r="L158" s="6"/>
    </row>
    <row r="159" spans="2:12" x14ac:dyDescent="0.25">
      <c r="B159">
        <v>127</v>
      </c>
      <c r="C159" t="s">
        <v>33</v>
      </c>
      <c r="H159" s="5"/>
      <c r="I159" s="6"/>
      <c r="J159" s="5"/>
      <c r="K159" s="6"/>
      <c r="L159" s="6"/>
    </row>
    <row r="160" spans="2:12" x14ac:dyDescent="0.25">
      <c r="B160">
        <v>136</v>
      </c>
      <c r="C160" t="s">
        <v>33</v>
      </c>
      <c r="H160" s="5"/>
      <c r="I160" s="6"/>
      <c r="J160" s="5"/>
      <c r="K160" s="6"/>
      <c r="L160" s="6"/>
    </row>
    <row r="161" spans="2:12" x14ac:dyDescent="0.25">
      <c r="B161">
        <v>137</v>
      </c>
      <c r="C161" t="s">
        <v>33</v>
      </c>
      <c r="H161" s="5"/>
      <c r="I161" s="6"/>
      <c r="J161" s="5"/>
      <c r="K161" s="6"/>
      <c r="L161" s="6"/>
    </row>
    <row r="162" spans="2:12" x14ac:dyDescent="0.25">
      <c r="B162">
        <v>122</v>
      </c>
      <c r="C162" t="s">
        <v>33</v>
      </c>
      <c r="H162" s="5"/>
      <c r="I162" s="6"/>
      <c r="J162" s="5"/>
      <c r="K162" s="6"/>
      <c r="L162" s="6"/>
    </row>
    <row r="163" spans="2:12" x14ac:dyDescent="0.25">
      <c r="B163">
        <v>133</v>
      </c>
      <c r="C163" t="s">
        <v>34</v>
      </c>
      <c r="H163" s="5"/>
      <c r="I163" s="6"/>
      <c r="J163" s="5"/>
      <c r="K163" s="6"/>
      <c r="L163" s="6"/>
    </row>
    <row r="164" spans="2:12" x14ac:dyDescent="0.25">
      <c r="B164">
        <v>126</v>
      </c>
      <c r="C164" t="s">
        <v>34</v>
      </c>
      <c r="H164" s="5"/>
      <c r="I164" s="6"/>
      <c r="J164" s="5"/>
      <c r="K164" s="6"/>
      <c r="L164" s="6"/>
    </row>
    <row r="165" spans="2:12" x14ac:dyDescent="0.25">
      <c r="B165">
        <v>138</v>
      </c>
      <c r="C165" t="s">
        <v>25</v>
      </c>
      <c r="H165" s="5"/>
      <c r="I165" s="6"/>
      <c r="J165" s="5"/>
      <c r="K165" s="6"/>
      <c r="L165" s="6"/>
    </row>
    <row r="166" spans="2:12" x14ac:dyDescent="0.25">
      <c r="B166">
        <v>124</v>
      </c>
      <c r="C166" t="s">
        <v>25</v>
      </c>
      <c r="H166" s="5"/>
      <c r="I166" s="6"/>
      <c r="J166" s="5"/>
      <c r="K166" s="6"/>
      <c r="L166" s="6"/>
    </row>
    <row r="167" spans="2:12" x14ac:dyDescent="0.25">
      <c r="B167">
        <v>125</v>
      </c>
      <c r="C167" t="s">
        <v>25</v>
      </c>
      <c r="H167" s="5"/>
      <c r="I167" s="6"/>
      <c r="J167" s="5"/>
      <c r="K167" s="6"/>
      <c r="L167" s="6"/>
    </row>
    <row r="168" spans="2:12" x14ac:dyDescent="0.25">
      <c r="B168">
        <v>130</v>
      </c>
      <c r="C168" t="s">
        <v>25</v>
      </c>
      <c r="H168" s="5"/>
      <c r="I168" s="6"/>
      <c r="J168" s="5"/>
      <c r="K168" s="6"/>
      <c r="L168" s="6"/>
    </row>
    <row r="169" spans="2:12" x14ac:dyDescent="0.25">
      <c r="B169">
        <v>123</v>
      </c>
      <c r="C169" t="s">
        <v>25</v>
      </c>
      <c r="H169" s="5"/>
      <c r="I169" s="6"/>
      <c r="J169" s="5"/>
      <c r="K169" s="6"/>
      <c r="L169" s="6"/>
    </row>
    <row r="170" spans="2:12" x14ac:dyDescent="0.25">
      <c r="B170">
        <v>321</v>
      </c>
      <c r="C170" t="s">
        <v>33</v>
      </c>
      <c r="H170" s="5"/>
      <c r="I170" s="6"/>
      <c r="J170" s="5"/>
      <c r="K170" s="6"/>
      <c r="L170" s="6"/>
    </row>
    <row r="171" spans="2:12" x14ac:dyDescent="0.25">
      <c r="B171">
        <v>216</v>
      </c>
      <c r="C171" t="s">
        <v>33</v>
      </c>
      <c r="H171" s="5"/>
      <c r="I171" s="6"/>
      <c r="J171" s="5"/>
      <c r="K171" s="6"/>
      <c r="L171" s="6"/>
    </row>
    <row r="172" spans="2:12" x14ac:dyDescent="0.25">
      <c r="B172">
        <v>155</v>
      </c>
      <c r="C172" t="s">
        <v>33</v>
      </c>
      <c r="H172" s="5"/>
      <c r="I172" s="6"/>
      <c r="J172" s="5"/>
      <c r="K172" s="6"/>
      <c r="L172" s="6"/>
    </row>
    <row r="173" spans="2:12" x14ac:dyDescent="0.25">
      <c r="B173">
        <v>267</v>
      </c>
      <c r="C173" t="s">
        <v>33</v>
      </c>
      <c r="H173" s="5"/>
      <c r="I173" s="6"/>
      <c r="J173" s="5"/>
      <c r="K173" s="6"/>
      <c r="L173" s="6"/>
    </row>
    <row r="174" spans="2:12" x14ac:dyDescent="0.25">
      <c r="B174">
        <v>239</v>
      </c>
      <c r="C174" t="s">
        <v>33</v>
      </c>
      <c r="H174" s="5"/>
      <c r="I174" s="6"/>
      <c r="J174" s="5"/>
      <c r="K174" s="6"/>
      <c r="L174" s="6"/>
    </row>
    <row r="175" spans="2:12" x14ac:dyDescent="0.25">
      <c r="B175">
        <v>323</v>
      </c>
      <c r="C175" t="s">
        <v>33</v>
      </c>
      <c r="H175" s="5"/>
      <c r="I175" s="6"/>
      <c r="J175" s="5"/>
      <c r="K175" s="6"/>
      <c r="L175" s="6"/>
    </row>
    <row r="176" spans="2:12" x14ac:dyDescent="0.25">
      <c r="B176">
        <v>300</v>
      </c>
      <c r="C176" t="s">
        <v>33</v>
      </c>
      <c r="H176" s="5"/>
      <c r="I176" s="6"/>
      <c r="J176" s="5"/>
      <c r="K176" s="6"/>
      <c r="L176" s="6"/>
    </row>
    <row r="177" spans="2:12" x14ac:dyDescent="0.25">
      <c r="B177">
        <v>327</v>
      </c>
      <c r="C177" t="s">
        <v>33</v>
      </c>
      <c r="H177" s="5"/>
      <c r="I177" s="6"/>
      <c r="J177" s="5"/>
      <c r="K177" s="6"/>
      <c r="L177" s="6"/>
    </row>
    <row r="178" spans="2:12" x14ac:dyDescent="0.25">
      <c r="B178">
        <v>190</v>
      </c>
      <c r="C178" t="s">
        <v>33</v>
      </c>
      <c r="H178" s="5"/>
      <c r="I178" s="6"/>
      <c r="J178" s="5"/>
      <c r="K178" s="6"/>
      <c r="L178" s="6"/>
    </row>
    <row r="179" spans="2:12" x14ac:dyDescent="0.25">
      <c r="B179">
        <v>213</v>
      </c>
      <c r="C179" t="s">
        <v>33</v>
      </c>
      <c r="H179" s="5"/>
      <c r="I179" s="6"/>
      <c r="J179" s="5"/>
      <c r="K179" s="6"/>
      <c r="L179" s="6"/>
    </row>
    <row r="180" spans="2:12" x14ac:dyDescent="0.25">
      <c r="B180">
        <v>179</v>
      </c>
      <c r="C180" t="s">
        <v>33</v>
      </c>
      <c r="H180" s="5"/>
      <c r="I180" s="6"/>
      <c r="J180" s="5"/>
      <c r="K180" s="6"/>
      <c r="L180" s="6"/>
    </row>
    <row r="181" spans="2:12" x14ac:dyDescent="0.25">
      <c r="B181">
        <v>144</v>
      </c>
      <c r="C181" t="s">
        <v>33</v>
      </c>
      <c r="H181" s="5"/>
      <c r="I181" s="6"/>
      <c r="J181" s="5"/>
      <c r="K181" s="6"/>
      <c r="L181" s="6"/>
    </row>
    <row r="182" spans="2:12" x14ac:dyDescent="0.25">
      <c r="B182">
        <v>237</v>
      </c>
      <c r="C182" t="s">
        <v>33</v>
      </c>
      <c r="H182" s="5"/>
      <c r="I182" s="6"/>
      <c r="J182" s="5"/>
      <c r="K182" s="6"/>
      <c r="L182" s="6"/>
    </row>
    <row r="183" spans="2:12" x14ac:dyDescent="0.25">
      <c r="B183">
        <v>241</v>
      </c>
      <c r="C183" t="s">
        <v>33</v>
      </c>
      <c r="H183" s="5"/>
      <c r="I183" s="6"/>
      <c r="J183" s="5"/>
      <c r="K183" s="6"/>
      <c r="L183" s="6"/>
    </row>
    <row r="184" spans="2:12" x14ac:dyDescent="0.25">
      <c r="B184">
        <v>232</v>
      </c>
      <c r="C184" t="s">
        <v>33</v>
      </c>
      <c r="H184" s="5"/>
      <c r="I184" s="6"/>
      <c r="J184" s="5"/>
      <c r="K184" s="6"/>
      <c r="L184" s="6"/>
    </row>
    <row r="185" spans="2:12" x14ac:dyDescent="0.25">
      <c r="B185">
        <v>316</v>
      </c>
      <c r="C185" t="s">
        <v>33</v>
      </c>
      <c r="H185" s="5"/>
      <c r="I185" s="6"/>
      <c r="J185" s="5"/>
      <c r="K185" s="6"/>
      <c r="L185" s="6"/>
    </row>
    <row r="186" spans="2:12" x14ac:dyDescent="0.25">
      <c r="B186">
        <v>181</v>
      </c>
      <c r="C186" t="s">
        <v>33</v>
      </c>
      <c r="H186" s="5"/>
      <c r="I186" s="6"/>
      <c r="J186" s="5"/>
      <c r="K186" s="6"/>
      <c r="L186" s="6"/>
    </row>
    <row r="187" spans="2:12" x14ac:dyDescent="0.25">
      <c r="B187">
        <v>270</v>
      </c>
      <c r="C187" t="s">
        <v>33</v>
      </c>
      <c r="H187" s="5"/>
      <c r="I187" s="6"/>
      <c r="J187" s="5"/>
      <c r="K187" s="6"/>
      <c r="L187" s="6"/>
    </row>
    <row r="188" spans="2:12" x14ac:dyDescent="0.25">
      <c r="B188">
        <v>211</v>
      </c>
      <c r="C188" t="s">
        <v>33</v>
      </c>
      <c r="H188" s="5"/>
      <c r="I188" s="6"/>
      <c r="J188" s="5"/>
      <c r="K188" s="6"/>
      <c r="L188" s="6"/>
    </row>
    <row r="189" spans="2:12" x14ac:dyDescent="0.25">
      <c r="B189">
        <v>158</v>
      </c>
      <c r="C189" t="s">
        <v>33</v>
      </c>
      <c r="H189" s="5"/>
      <c r="I189" s="6"/>
      <c r="J189" s="5"/>
      <c r="K189" s="6"/>
      <c r="L189" s="6"/>
    </row>
    <row r="190" spans="2:12" x14ac:dyDescent="0.25">
      <c r="B190">
        <v>295</v>
      </c>
      <c r="C190" t="s">
        <v>33</v>
      </c>
      <c r="H190" s="5"/>
      <c r="I190" s="6"/>
      <c r="J190" s="5"/>
      <c r="K190" s="6"/>
      <c r="L190" s="6"/>
    </row>
    <row r="191" spans="2:12" x14ac:dyDescent="0.25">
      <c r="B191">
        <v>192</v>
      </c>
      <c r="C191" t="s">
        <v>33</v>
      </c>
      <c r="H191" s="5"/>
      <c r="I191" s="6"/>
      <c r="J191" s="5"/>
      <c r="K191" s="6"/>
      <c r="L191" s="6"/>
    </row>
    <row r="192" spans="2:12" x14ac:dyDescent="0.25">
      <c r="B192">
        <v>171</v>
      </c>
      <c r="C192" t="s">
        <v>33</v>
      </c>
      <c r="H192" s="5"/>
      <c r="I192" s="6"/>
      <c r="J192" s="5"/>
      <c r="K192" s="6"/>
      <c r="L192" s="6"/>
    </row>
    <row r="193" spans="2:12" x14ac:dyDescent="0.25">
      <c r="B193">
        <v>163</v>
      </c>
      <c r="C193" t="s">
        <v>33</v>
      </c>
      <c r="H193" s="5"/>
      <c r="I193" s="6"/>
      <c r="J193" s="5"/>
      <c r="K193" s="6"/>
      <c r="L193" s="6"/>
    </row>
    <row r="194" spans="2:12" x14ac:dyDescent="0.25">
      <c r="B194">
        <v>290</v>
      </c>
      <c r="C194" t="s">
        <v>33</v>
      </c>
      <c r="H194" s="5"/>
      <c r="I194" s="6"/>
      <c r="J194" s="5"/>
      <c r="K194" s="6"/>
      <c r="L194" s="6"/>
    </row>
    <row r="195" spans="2:12" x14ac:dyDescent="0.25">
      <c r="B195">
        <v>247</v>
      </c>
      <c r="C195" t="s">
        <v>33</v>
      </c>
      <c r="H195" s="5"/>
      <c r="I195" s="6"/>
      <c r="J195" s="5"/>
      <c r="K195" s="6"/>
      <c r="L195" s="6"/>
    </row>
    <row r="196" spans="2:12" x14ac:dyDescent="0.25">
      <c r="B196">
        <v>148</v>
      </c>
      <c r="C196" t="s">
        <v>33</v>
      </c>
      <c r="H196" s="5"/>
      <c r="I196" s="6"/>
      <c r="J196" s="5"/>
      <c r="K196" s="6"/>
      <c r="L196" s="6"/>
    </row>
    <row r="197" spans="2:12" x14ac:dyDescent="0.25">
      <c r="B197">
        <v>206</v>
      </c>
      <c r="C197" t="s">
        <v>33</v>
      </c>
      <c r="H197" s="5"/>
      <c r="I197" s="6"/>
      <c r="J197" s="5"/>
      <c r="K197" s="6"/>
      <c r="L197" s="6"/>
    </row>
    <row r="198" spans="2:12" x14ac:dyDescent="0.25">
      <c r="B198">
        <v>289</v>
      </c>
      <c r="C198" t="s">
        <v>33</v>
      </c>
      <c r="H198" s="5"/>
      <c r="I198" s="6"/>
      <c r="J198" s="5"/>
      <c r="K198" s="6"/>
      <c r="L198" s="6"/>
    </row>
    <row r="199" spans="2:12" x14ac:dyDescent="0.25">
      <c r="B199">
        <v>254</v>
      </c>
      <c r="C199" t="s">
        <v>33</v>
      </c>
      <c r="H199" s="5"/>
      <c r="I199" s="6"/>
      <c r="J199" s="5"/>
      <c r="K199" s="6"/>
      <c r="L199" s="6"/>
    </row>
    <row r="200" spans="2:12" x14ac:dyDescent="0.25">
      <c r="B200">
        <v>299</v>
      </c>
      <c r="C200" t="s">
        <v>33</v>
      </c>
      <c r="H200" s="5"/>
      <c r="I200" s="6"/>
      <c r="J200" s="5"/>
      <c r="K200" s="6"/>
      <c r="L200" s="6"/>
    </row>
    <row r="201" spans="2:12" x14ac:dyDescent="0.25">
      <c r="B201">
        <v>278</v>
      </c>
      <c r="C201" t="s">
        <v>33</v>
      </c>
      <c r="H201" s="5"/>
      <c r="I201" s="6"/>
      <c r="J201" s="5"/>
      <c r="K201" s="6"/>
      <c r="L201" s="6"/>
    </row>
    <row r="202" spans="2:12" x14ac:dyDescent="0.25">
      <c r="B202">
        <v>284</v>
      </c>
      <c r="C202" t="s">
        <v>33</v>
      </c>
      <c r="H202" s="5"/>
      <c r="I202" s="6"/>
      <c r="J202" s="5"/>
      <c r="K202" s="6"/>
      <c r="L202" s="6"/>
    </row>
    <row r="203" spans="2:12" x14ac:dyDescent="0.25">
      <c r="B203">
        <v>231</v>
      </c>
      <c r="C203" t="s">
        <v>33</v>
      </c>
      <c r="H203" s="5"/>
      <c r="I203" s="6"/>
      <c r="J203" s="5"/>
      <c r="K203" s="6"/>
      <c r="L203" s="6"/>
    </row>
    <row r="204" spans="2:12" x14ac:dyDescent="0.25">
      <c r="B204">
        <v>317</v>
      </c>
      <c r="C204" t="s">
        <v>33</v>
      </c>
      <c r="H204" s="5"/>
      <c r="I204" s="6"/>
      <c r="J204" s="5"/>
      <c r="K204" s="6"/>
      <c r="L204" s="6"/>
    </row>
    <row r="205" spans="2:12" x14ac:dyDescent="0.25">
      <c r="B205">
        <v>268</v>
      </c>
      <c r="C205" t="s">
        <v>33</v>
      </c>
      <c r="H205" s="5"/>
      <c r="I205" s="6"/>
      <c r="J205" s="5"/>
      <c r="K205" s="6"/>
      <c r="L205" s="6"/>
    </row>
    <row r="206" spans="2:12" x14ac:dyDescent="0.25">
      <c r="B206">
        <v>202</v>
      </c>
      <c r="C206" t="s">
        <v>33</v>
      </c>
      <c r="H206" s="5"/>
      <c r="I206" s="6"/>
      <c r="J206" s="5"/>
      <c r="K206" s="6"/>
      <c r="L206" s="6"/>
    </row>
    <row r="207" spans="2:12" x14ac:dyDescent="0.25">
      <c r="B207">
        <v>165</v>
      </c>
      <c r="C207" t="s">
        <v>33</v>
      </c>
      <c r="H207" s="5"/>
      <c r="I207" s="6"/>
      <c r="J207" s="5"/>
      <c r="K207" s="6"/>
      <c r="L207" s="6"/>
    </row>
    <row r="208" spans="2:12" x14ac:dyDescent="0.25">
      <c r="B208">
        <v>304</v>
      </c>
      <c r="C208" t="s">
        <v>33</v>
      </c>
      <c r="H208" s="5"/>
      <c r="I208" s="6"/>
      <c r="J208" s="5"/>
      <c r="K208" s="6"/>
      <c r="L208" s="6"/>
    </row>
    <row r="209" spans="2:12" x14ac:dyDescent="0.25">
      <c r="B209">
        <v>164</v>
      </c>
      <c r="C209" t="s">
        <v>33</v>
      </c>
      <c r="H209" s="5"/>
      <c r="I209" s="6"/>
      <c r="J209" s="5"/>
      <c r="K209" s="6"/>
      <c r="L209" s="6"/>
    </row>
    <row r="210" spans="2:12" x14ac:dyDescent="0.25">
      <c r="B210">
        <v>292</v>
      </c>
      <c r="C210" t="s">
        <v>33</v>
      </c>
      <c r="H210" s="5"/>
      <c r="I210" s="6"/>
      <c r="J210" s="5"/>
      <c r="K210" s="6"/>
      <c r="L210" s="6"/>
    </row>
    <row r="211" spans="2:12" x14ac:dyDescent="0.25">
      <c r="B211">
        <v>324</v>
      </c>
      <c r="C211" t="s">
        <v>33</v>
      </c>
      <c r="H211" s="5"/>
      <c r="I211" s="6"/>
      <c r="J211" s="5"/>
      <c r="K211" s="6"/>
      <c r="L211" s="6"/>
    </row>
    <row r="212" spans="2:12" x14ac:dyDescent="0.25">
      <c r="B212">
        <v>293</v>
      </c>
      <c r="C212" t="s">
        <v>33</v>
      </c>
      <c r="H212" s="5"/>
      <c r="I212" s="6"/>
      <c r="J212" s="5"/>
      <c r="K212" s="6"/>
      <c r="L212" s="6"/>
    </row>
    <row r="213" spans="2:12" x14ac:dyDescent="0.25">
      <c r="B213">
        <v>258</v>
      </c>
      <c r="C213" t="s">
        <v>33</v>
      </c>
      <c r="H213" s="5"/>
      <c r="I213" s="6"/>
      <c r="J213" s="5"/>
      <c r="K213" s="6"/>
      <c r="L213" s="6"/>
    </row>
    <row r="214" spans="2:12" x14ac:dyDescent="0.25">
      <c r="B214">
        <v>262</v>
      </c>
      <c r="C214" t="s">
        <v>33</v>
      </c>
      <c r="H214" s="5"/>
      <c r="I214" s="6"/>
      <c r="J214" s="5"/>
      <c r="K214" s="6"/>
      <c r="L214" s="6"/>
    </row>
    <row r="215" spans="2:12" x14ac:dyDescent="0.25">
      <c r="B215">
        <v>197</v>
      </c>
      <c r="C215" t="s">
        <v>33</v>
      </c>
      <c r="H215" s="5"/>
      <c r="I215" s="6"/>
      <c r="J215" s="5"/>
      <c r="K215" s="6"/>
      <c r="L215" s="6"/>
    </row>
    <row r="216" spans="2:12" x14ac:dyDescent="0.25">
      <c r="B216">
        <v>195</v>
      </c>
      <c r="C216" t="s">
        <v>33</v>
      </c>
      <c r="H216" s="5"/>
      <c r="I216" s="6"/>
      <c r="J216" s="5"/>
      <c r="K216" s="6"/>
      <c r="L216" s="6"/>
    </row>
    <row r="217" spans="2:12" x14ac:dyDescent="0.25">
      <c r="B217">
        <v>218</v>
      </c>
      <c r="C217" t="s">
        <v>33</v>
      </c>
      <c r="H217" s="5"/>
      <c r="I217" s="6"/>
      <c r="J217" s="5"/>
      <c r="K217" s="6"/>
      <c r="L217" s="6"/>
    </row>
    <row r="218" spans="2:12" x14ac:dyDescent="0.25">
      <c r="B218">
        <v>243</v>
      </c>
      <c r="C218" t="s">
        <v>33</v>
      </c>
      <c r="H218" s="5"/>
      <c r="I218" s="6"/>
      <c r="J218" s="5"/>
      <c r="K218" s="6"/>
      <c r="L218" s="6"/>
    </row>
    <row r="219" spans="2:12" x14ac:dyDescent="0.25">
      <c r="B219">
        <v>223</v>
      </c>
      <c r="C219" t="s">
        <v>33</v>
      </c>
      <c r="H219" s="5"/>
      <c r="I219" s="6"/>
      <c r="J219" s="5"/>
      <c r="K219" s="6"/>
      <c r="L219" s="6"/>
    </row>
    <row r="220" spans="2:12" x14ac:dyDescent="0.25">
      <c r="B220">
        <v>266</v>
      </c>
      <c r="C220" t="s">
        <v>33</v>
      </c>
      <c r="H220" s="5"/>
      <c r="I220" s="6"/>
      <c r="J220" s="5"/>
      <c r="K220" s="6"/>
      <c r="L220" s="6"/>
    </row>
    <row r="221" spans="2:12" x14ac:dyDescent="0.25">
      <c r="B221">
        <v>220</v>
      </c>
      <c r="C221" t="s">
        <v>33</v>
      </c>
      <c r="H221" s="5"/>
      <c r="I221" s="6"/>
      <c r="J221" s="5"/>
      <c r="K221" s="6"/>
      <c r="L221" s="6"/>
    </row>
    <row r="222" spans="2:12" x14ac:dyDescent="0.25">
      <c r="B222">
        <v>212</v>
      </c>
      <c r="C222" t="s">
        <v>33</v>
      </c>
      <c r="H222" s="5"/>
      <c r="I222" s="6"/>
      <c r="J222" s="5"/>
      <c r="K222" s="6"/>
      <c r="L222" s="6"/>
    </row>
    <row r="223" spans="2:12" x14ac:dyDescent="0.25">
      <c r="B223">
        <v>271</v>
      </c>
      <c r="C223" t="s">
        <v>33</v>
      </c>
      <c r="H223" s="5"/>
      <c r="I223" s="6"/>
      <c r="J223" s="5"/>
      <c r="K223" s="6"/>
      <c r="L223" s="6"/>
    </row>
    <row r="224" spans="2:12" x14ac:dyDescent="0.25">
      <c r="B224">
        <v>207</v>
      </c>
      <c r="C224" t="s">
        <v>33</v>
      </c>
      <c r="H224" s="5"/>
      <c r="I224" s="6"/>
      <c r="J224" s="5"/>
      <c r="K224" s="6"/>
      <c r="L224" s="6"/>
    </row>
    <row r="225" spans="2:12" x14ac:dyDescent="0.25">
      <c r="B225">
        <v>228</v>
      </c>
      <c r="C225" t="s">
        <v>33</v>
      </c>
      <c r="H225" s="5"/>
      <c r="I225" s="6"/>
      <c r="J225" s="5"/>
      <c r="K225" s="6"/>
      <c r="L225" s="6"/>
    </row>
    <row r="226" spans="2:12" x14ac:dyDescent="0.25">
      <c r="B226">
        <v>251</v>
      </c>
      <c r="C226" t="s">
        <v>33</v>
      </c>
      <c r="H226" s="5"/>
      <c r="I226" s="6"/>
      <c r="J226" s="5"/>
      <c r="K226" s="6"/>
      <c r="L226" s="6"/>
    </row>
    <row r="227" spans="2:12" x14ac:dyDescent="0.25">
      <c r="B227">
        <v>196</v>
      </c>
      <c r="C227" t="s">
        <v>33</v>
      </c>
      <c r="H227" s="5"/>
      <c r="I227" s="6"/>
      <c r="J227" s="5"/>
      <c r="K227" s="6"/>
      <c r="L227" s="6"/>
    </row>
    <row r="228" spans="2:12" x14ac:dyDescent="0.25">
      <c r="B228">
        <v>210</v>
      </c>
      <c r="C228" t="s">
        <v>33</v>
      </c>
      <c r="H228" s="5"/>
      <c r="I228" s="6"/>
      <c r="J228" s="5"/>
      <c r="K228" s="6"/>
      <c r="L228" s="6"/>
    </row>
    <row r="229" spans="2:12" x14ac:dyDescent="0.25">
      <c r="B229">
        <v>242</v>
      </c>
      <c r="C229" t="s">
        <v>33</v>
      </c>
      <c r="H229" s="5"/>
      <c r="I229" s="6"/>
      <c r="J229" s="5"/>
      <c r="K229" s="6"/>
      <c r="L229" s="6"/>
    </row>
    <row r="230" spans="2:12" x14ac:dyDescent="0.25">
      <c r="B230">
        <v>209</v>
      </c>
      <c r="C230" t="s">
        <v>33</v>
      </c>
      <c r="H230" s="5"/>
      <c r="I230" s="6"/>
      <c r="J230" s="5"/>
      <c r="K230" s="6"/>
      <c r="L230" s="6"/>
    </row>
    <row r="231" spans="2:12" x14ac:dyDescent="0.25">
      <c r="B231">
        <v>303</v>
      </c>
      <c r="C231" t="s">
        <v>33</v>
      </c>
      <c r="H231" s="5"/>
      <c r="I231" s="6"/>
      <c r="J231" s="5"/>
      <c r="K231" s="6"/>
      <c r="L231" s="6"/>
    </row>
    <row r="232" spans="2:12" x14ac:dyDescent="0.25">
      <c r="B232">
        <v>322</v>
      </c>
      <c r="C232" t="s">
        <v>33</v>
      </c>
      <c r="H232" s="5"/>
      <c r="I232" s="6"/>
      <c r="J232" s="5"/>
      <c r="K232" s="6"/>
      <c r="L232" s="6"/>
    </row>
    <row r="233" spans="2:12" x14ac:dyDescent="0.25">
      <c r="B233">
        <v>221</v>
      </c>
      <c r="C233" t="s">
        <v>33</v>
      </c>
      <c r="H233" s="5"/>
      <c r="I233" s="6"/>
      <c r="J233" s="5"/>
      <c r="K233" s="6"/>
      <c r="L233" s="6"/>
    </row>
    <row r="234" spans="2:12" x14ac:dyDescent="0.25">
      <c r="B234">
        <v>214</v>
      </c>
      <c r="C234" t="s">
        <v>33</v>
      </c>
      <c r="H234" s="5"/>
      <c r="I234" s="6"/>
      <c r="J234" s="5"/>
      <c r="K234" s="6"/>
      <c r="L234" s="6"/>
    </row>
    <row r="235" spans="2:12" x14ac:dyDescent="0.25">
      <c r="B235">
        <v>172</v>
      </c>
      <c r="C235" t="s">
        <v>33</v>
      </c>
      <c r="H235" s="5"/>
      <c r="I235" s="6"/>
      <c r="J235" s="5"/>
      <c r="K235" s="6"/>
      <c r="L235" s="6"/>
    </row>
    <row r="236" spans="2:12" x14ac:dyDescent="0.25">
      <c r="B236">
        <v>182</v>
      </c>
      <c r="C236" t="s">
        <v>33</v>
      </c>
      <c r="H236" s="5"/>
      <c r="I236" s="6"/>
      <c r="J236" s="5"/>
      <c r="K236" s="6"/>
      <c r="L236" s="6"/>
    </row>
    <row r="237" spans="2:12" x14ac:dyDescent="0.25">
      <c r="B237">
        <v>225</v>
      </c>
      <c r="C237" t="s">
        <v>33</v>
      </c>
      <c r="H237" s="5"/>
      <c r="I237" s="6"/>
      <c r="J237" s="5"/>
      <c r="K237" s="6"/>
      <c r="L237" s="6"/>
    </row>
    <row r="238" spans="2:12" x14ac:dyDescent="0.25">
      <c r="B238">
        <v>285</v>
      </c>
      <c r="C238" t="s">
        <v>33</v>
      </c>
      <c r="H238" s="5"/>
      <c r="I238" s="6"/>
      <c r="J238" s="5"/>
      <c r="K238" s="6"/>
      <c r="L238" s="6"/>
    </row>
    <row r="239" spans="2:12" x14ac:dyDescent="0.25">
      <c r="B239">
        <v>252</v>
      </c>
      <c r="C239" t="s">
        <v>33</v>
      </c>
      <c r="H239" s="5"/>
      <c r="I239" s="6"/>
      <c r="J239" s="5"/>
      <c r="K239" s="6"/>
      <c r="L239" s="6"/>
    </row>
    <row r="240" spans="2:12" x14ac:dyDescent="0.25">
      <c r="B240">
        <v>234</v>
      </c>
      <c r="C240" t="s">
        <v>33</v>
      </c>
      <c r="H240" s="5"/>
      <c r="I240" s="6"/>
      <c r="J240" s="5"/>
      <c r="K240" s="6"/>
      <c r="L240" s="6"/>
    </row>
    <row r="241" spans="2:12" x14ac:dyDescent="0.25">
      <c r="B241">
        <v>286</v>
      </c>
      <c r="C241" t="s">
        <v>33</v>
      </c>
      <c r="H241" s="5"/>
      <c r="I241" s="6"/>
      <c r="J241" s="5"/>
      <c r="K241" s="6"/>
      <c r="L241" s="6"/>
    </row>
    <row r="242" spans="2:12" x14ac:dyDescent="0.25">
      <c r="B242">
        <v>314</v>
      </c>
      <c r="C242" t="s">
        <v>33</v>
      </c>
      <c r="H242" s="5"/>
      <c r="I242" s="6"/>
      <c r="J242" s="5"/>
      <c r="K242" s="6"/>
      <c r="L242" s="6"/>
    </row>
    <row r="243" spans="2:12" x14ac:dyDescent="0.25">
      <c r="B243">
        <v>193</v>
      </c>
      <c r="C243" t="s">
        <v>33</v>
      </c>
      <c r="H243" s="5"/>
      <c r="I243" s="6"/>
      <c r="J243" s="5"/>
      <c r="K243" s="6"/>
      <c r="L243" s="6"/>
    </row>
    <row r="244" spans="2:12" x14ac:dyDescent="0.25">
      <c r="B244">
        <v>160</v>
      </c>
      <c r="C244" t="s">
        <v>33</v>
      </c>
      <c r="H244" s="5"/>
      <c r="I244" s="6"/>
      <c r="J244" s="5"/>
      <c r="K244" s="6"/>
      <c r="L244" s="6"/>
    </row>
    <row r="245" spans="2:12" x14ac:dyDescent="0.25">
      <c r="B245">
        <v>175</v>
      </c>
      <c r="C245" t="s">
        <v>33</v>
      </c>
      <c r="H245" s="5"/>
      <c r="I245" s="6"/>
      <c r="J245" s="5"/>
      <c r="K245" s="6"/>
      <c r="L245" s="6"/>
    </row>
    <row r="246" spans="2:12" x14ac:dyDescent="0.25">
      <c r="B246">
        <v>147</v>
      </c>
      <c r="C246" t="s">
        <v>33</v>
      </c>
      <c r="H246" s="5"/>
      <c r="I246" s="6"/>
      <c r="J246" s="5"/>
      <c r="K246" s="6"/>
      <c r="L246" s="6"/>
    </row>
    <row r="247" spans="2:12" x14ac:dyDescent="0.25">
      <c r="B247">
        <v>319</v>
      </c>
      <c r="C247" t="s">
        <v>33</v>
      </c>
      <c r="H247" s="5"/>
      <c r="I247" s="6"/>
      <c r="J247" s="5"/>
      <c r="K247" s="6"/>
      <c r="L247" s="6"/>
    </row>
    <row r="248" spans="2:12" x14ac:dyDescent="0.25">
      <c r="B248">
        <v>219</v>
      </c>
      <c r="C248" t="s">
        <v>33</v>
      </c>
      <c r="H248" s="5"/>
      <c r="I248" s="6"/>
      <c r="J248" s="5"/>
      <c r="K248" s="6"/>
      <c r="L248" s="6"/>
    </row>
    <row r="249" spans="2:12" x14ac:dyDescent="0.25">
      <c r="B249">
        <v>264</v>
      </c>
      <c r="C249" t="s">
        <v>33</v>
      </c>
      <c r="H249" s="5"/>
      <c r="I249" s="6"/>
      <c r="J249" s="5"/>
      <c r="K249" s="6"/>
      <c r="L249" s="6"/>
    </row>
    <row r="250" spans="2:12" x14ac:dyDescent="0.25">
      <c r="B250">
        <v>169</v>
      </c>
      <c r="C250" t="s">
        <v>33</v>
      </c>
      <c r="H250" s="5"/>
      <c r="I250" s="6"/>
      <c r="J250" s="5"/>
      <c r="K250" s="6"/>
      <c r="L250" s="6"/>
    </row>
    <row r="251" spans="2:12" x14ac:dyDescent="0.25">
      <c r="B251">
        <v>183</v>
      </c>
      <c r="C251" t="s">
        <v>33</v>
      </c>
      <c r="H251" s="5"/>
      <c r="I251" s="6"/>
      <c r="J251" s="5"/>
      <c r="K251" s="6"/>
      <c r="L251" s="6"/>
    </row>
    <row r="252" spans="2:12" x14ac:dyDescent="0.25">
      <c r="B252">
        <v>215</v>
      </c>
      <c r="C252" t="s">
        <v>33</v>
      </c>
      <c r="H252" s="5"/>
      <c r="I252" s="6"/>
      <c r="J252" s="5"/>
      <c r="K252" s="6"/>
      <c r="L252" s="6"/>
    </row>
    <row r="253" spans="2:12" x14ac:dyDescent="0.25">
      <c r="B253">
        <v>233</v>
      </c>
      <c r="C253" t="s">
        <v>33</v>
      </c>
      <c r="H253" s="5"/>
      <c r="I253" s="6"/>
      <c r="J253" s="5"/>
      <c r="K253" s="6"/>
      <c r="L253" s="6"/>
    </row>
    <row r="254" spans="2:12" x14ac:dyDescent="0.25">
      <c r="B254">
        <v>205</v>
      </c>
      <c r="C254" t="s">
        <v>33</v>
      </c>
      <c r="H254" s="5"/>
      <c r="I254" s="6"/>
      <c r="J254" s="5"/>
      <c r="K254" s="6"/>
      <c r="L254" s="6"/>
    </row>
    <row r="255" spans="2:12" x14ac:dyDescent="0.25">
      <c r="B255">
        <v>185</v>
      </c>
      <c r="C255" t="s">
        <v>33</v>
      </c>
      <c r="H255" s="5"/>
      <c r="I255" s="6"/>
      <c r="J255" s="5"/>
      <c r="K255" s="6"/>
      <c r="L255" s="6"/>
    </row>
    <row r="256" spans="2:12" x14ac:dyDescent="0.25">
      <c r="B256">
        <v>294</v>
      </c>
      <c r="C256" t="s">
        <v>33</v>
      </c>
      <c r="H256" s="5"/>
      <c r="I256" s="6"/>
      <c r="J256" s="5"/>
      <c r="K256" s="6"/>
      <c r="L256" s="6"/>
    </row>
    <row r="257" spans="2:12" x14ac:dyDescent="0.25">
      <c r="B257">
        <v>150</v>
      </c>
      <c r="C257" t="s">
        <v>33</v>
      </c>
      <c r="H257" s="5"/>
      <c r="I257" s="6"/>
      <c r="J257" s="5"/>
      <c r="K257" s="6"/>
      <c r="L257" s="6"/>
    </row>
    <row r="258" spans="2:12" x14ac:dyDescent="0.25">
      <c r="B258">
        <v>236</v>
      </c>
      <c r="C258" t="s">
        <v>33</v>
      </c>
      <c r="H258" s="5"/>
      <c r="I258" s="6"/>
      <c r="J258" s="5"/>
      <c r="K258" s="6"/>
      <c r="L258" s="6"/>
    </row>
    <row r="259" spans="2:12" x14ac:dyDescent="0.25">
      <c r="B259">
        <v>230</v>
      </c>
      <c r="C259" t="s">
        <v>33</v>
      </c>
      <c r="H259" s="5"/>
      <c r="I259" s="6"/>
      <c r="J259" s="5"/>
      <c r="K259" s="6"/>
      <c r="L259" s="6"/>
    </row>
    <row r="260" spans="2:12" x14ac:dyDescent="0.25">
      <c r="B260">
        <v>203</v>
      </c>
      <c r="C260" t="s">
        <v>33</v>
      </c>
      <c r="H260" s="5"/>
      <c r="I260" s="6"/>
      <c r="J260" s="5"/>
      <c r="K260" s="6"/>
      <c r="L260" s="6"/>
    </row>
    <row r="261" spans="2:12" x14ac:dyDescent="0.25">
      <c r="B261">
        <v>283</v>
      </c>
      <c r="C261" t="s">
        <v>33</v>
      </c>
      <c r="H261" s="5"/>
      <c r="I261" s="6"/>
      <c r="J261" s="5"/>
      <c r="K261" s="6"/>
      <c r="L261" s="6"/>
    </row>
    <row r="262" spans="2:12" x14ac:dyDescent="0.25">
      <c r="B262">
        <v>161</v>
      </c>
      <c r="C262" t="s">
        <v>33</v>
      </c>
      <c r="H262" s="5"/>
      <c r="I262" s="6"/>
      <c r="J262" s="5"/>
      <c r="K262" s="6"/>
      <c r="L262" s="6"/>
    </row>
    <row r="263" spans="2:12" x14ac:dyDescent="0.25">
      <c r="B263">
        <v>222</v>
      </c>
      <c r="C263" t="s">
        <v>33</v>
      </c>
      <c r="H263" s="5"/>
      <c r="I263" s="6"/>
      <c r="J263" s="5"/>
      <c r="K263" s="6"/>
      <c r="L263" s="6"/>
    </row>
    <row r="264" spans="2:12" x14ac:dyDescent="0.25">
      <c r="B264">
        <v>145</v>
      </c>
      <c r="C264" t="s">
        <v>33</v>
      </c>
      <c r="H264" s="5"/>
      <c r="I264" s="6"/>
      <c r="J264" s="5"/>
      <c r="K264" s="6"/>
      <c r="L264" s="6"/>
    </row>
    <row r="265" spans="2:12" x14ac:dyDescent="0.25">
      <c r="B265">
        <v>328</v>
      </c>
      <c r="C265" t="s">
        <v>33</v>
      </c>
      <c r="H265" s="5"/>
      <c r="I265" s="6"/>
      <c r="J265" s="5"/>
      <c r="K265" s="6"/>
      <c r="L265" s="6"/>
    </row>
    <row r="266" spans="2:12" x14ac:dyDescent="0.25">
      <c r="B266">
        <v>307</v>
      </c>
      <c r="C266" t="s">
        <v>33</v>
      </c>
      <c r="H266" s="5"/>
      <c r="I266" s="6"/>
      <c r="J266" s="5"/>
      <c r="K266" s="6"/>
      <c r="L266" s="6"/>
    </row>
    <row r="267" spans="2:12" x14ac:dyDescent="0.25">
      <c r="B267">
        <v>201</v>
      </c>
      <c r="C267" t="s">
        <v>33</v>
      </c>
      <c r="H267" s="5"/>
      <c r="I267" s="6"/>
      <c r="J267" s="5"/>
      <c r="K267" s="6"/>
      <c r="L267" s="6"/>
    </row>
    <row r="268" spans="2:12" x14ac:dyDescent="0.25">
      <c r="B268">
        <v>297</v>
      </c>
      <c r="C268" t="s">
        <v>33</v>
      </c>
      <c r="H268" s="5"/>
      <c r="I268" s="6"/>
      <c r="J268" s="5"/>
      <c r="K268" s="6"/>
      <c r="L268" s="6"/>
    </row>
    <row r="269" spans="2:12" x14ac:dyDescent="0.25">
      <c r="B269">
        <v>259</v>
      </c>
      <c r="C269" t="s">
        <v>33</v>
      </c>
      <c r="H269" s="5"/>
      <c r="I269" s="6"/>
      <c r="J269" s="5"/>
      <c r="K269" s="6"/>
      <c r="L269" s="6"/>
    </row>
    <row r="270" spans="2:12" x14ac:dyDescent="0.25">
      <c r="B270">
        <v>153</v>
      </c>
      <c r="C270" t="s">
        <v>33</v>
      </c>
      <c r="H270" s="5"/>
      <c r="I270" s="6"/>
      <c r="J270" s="5"/>
      <c r="K270" s="6"/>
      <c r="L270" s="6"/>
    </row>
    <row r="271" spans="2:12" x14ac:dyDescent="0.25">
      <c r="B271">
        <v>143</v>
      </c>
      <c r="C271" t="s">
        <v>33</v>
      </c>
      <c r="H271" s="5"/>
      <c r="I271" s="6"/>
      <c r="J271" s="5"/>
      <c r="K271" s="6"/>
      <c r="L271" s="6"/>
    </row>
    <row r="272" spans="2:12" x14ac:dyDescent="0.25">
      <c r="B272">
        <v>246</v>
      </c>
      <c r="C272" t="s">
        <v>33</v>
      </c>
      <c r="H272" s="5"/>
      <c r="I272" s="6"/>
      <c r="J272" s="5"/>
      <c r="K272" s="6"/>
      <c r="L272" s="6"/>
    </row>
    <row r="273" spans="2:12" x14ac:dyDescent="0.25">
      <c r="B273">
        <v>280</v>
      </c>
      <c r="C273" t="s">
        <v>33</v>
      </c>
      <c r="H273" s="5"/>
      <c r="I273" s="6"/>
      <c r="J273" s="5"/>
      <c r="K273" s="6"/>
      <c r="L273" s="6"/>
    </row>
    <row r="274" spans="2:12" x14ac:dyDescent="0.25">
      <c r="B274">
        <v>191</v>
      </c>
      <c r="C274" t="s">
        <v>33</v>
      </c>
      <c r="H274" s="5"/>
      <c r="I274" s="6"/>
      <c r="J274" s="5"/>
      <c r="K274" s="6"/>
      <c r="L274" s="6"/>
    </row>
    <row r="275" spans="2:12" x14ac:dyDescent="0.25">
      <c r="B275">
        <v>273</v>
      </c>
      <c r="C275" t="s">
        <v>33</v>
      </c>
      <c r="H275" s="5"/>
      <c r="I275" s="6"/>
      <c r="J275" s="5"/>
      <c r="K275" s="6"/>
      <c r="L275" s="6"/>
    </row>
    <row r="276" spans="2:12" x14ac:dyDescent="0.25">
      <c r="B276">
        <v>274</v>
      </c>
      <c r="C276" t="s">
        <v>33</v>
      </c>
      <c r="H276" s="5"/>
      <c r="I276" s="6"/>
      <c r="J276" s="5"/>
      <c r="K276" s="6"/>
      <c r="L276" s="6"/>
    </row>
    <row r="277" spans="2:12" x14ac:dyDescent="0.25">
      <c r="B277">
        <v>329</v>
      </c>
      <c r="C277" t="s">
        <v>33</v>
      </c>
      <c r="H277" s="5"/>
      <c r="I277" s="6"/>
      <c r="J277" s="5"/>
      <c r="K277" s="6"/>
      <c r="L277" s="6"/>
    </row>
    <row r="278" spans="2:12" x14ac:dyDescent="0.25">
      <c r="B278">
        <v>199</v>
      </c>
      <c r="C278" t="s">
        <v>33</v>
      </c>
      <c r="H278" s="5"/>
      <c r="I278" s="6"/>
      <c r="J278" s="5"/>
      <c r="K278" s="6"/>
      <c r="L278" s="6"/>
    </row>
    <row r="279" spans="2:12" x14ac:dyDescent="0.25">
      <c r="B279">
        <v>305</v>
      </c>
      <c r="C279" t="s">
        <v>33</v>
      </c>
      <c r="H279" s="5"/>
      <c r="I279" s="6"/>
      <c r="J279" s="5"/>
      <c r="K279" s="6"/>
      <c r="L279" s="6"/>
    </row>
    <row r="280" spans="2:12" x14ac:dyDescent="0.25">
      <c r="B280">
        <v>275</v>
      </c>
      <c r="C280" t="s">
        <v>33</v>
      </c>
      <c r="H280" s="5"/>
      <c r="I280" s="6"/>
      <c r="J280" s="5"/>
      <c r="K280" s="6"/>
      <c r="L280" s="6"/>
    </row>
    <row r="281" spans="2:12" x14ac:dyDescent="0.25">
      <c r="B281">
        <v>296</v>
      </c>
      <c r="C281" t="s">
        <v>33</v>
      </c>
      <c r="H281" s="5"/>
      <c r="I281" s="6"/>
      <c r="J281" s="5"/>
      <c r="K281" s="6"/>
      <c r="L281" s="6"/>
    </row>
    <row r="282" spans="2:12" x14ac:dyDescent="0.25">
      <c r="B282">
        <v>263</v>
      </c>
      <c r="C282" t="s">
        <v>33</v>
      </c>
      <c r="H282" s="5"/>
      <c r="I282" s="6"/>
      <c r="J282" s="5"/>
      <c r="K282" s="6"/>
      <c r="L282" s="6"/>
    </row>
    <row r="283" spans="2:12" x14ac:dyDescent="0.25">
      <c r="B283">
        <v>308</v>
      </c>
      <c r="C283" t="s">
        <v>33</v>
      </c>
      <c r="H283" s="5"/>
      <c r="I283" s="6"/>
      <c r="J283" s="5"/>
      <c r="K283" s="6"/>
      <c r="L283" s="6"/>
    </row>
    <row r="284" spans="2:12" x14ac:dyDescent="0.25">
      <c r="B284">
        <v>249</v>
      </c>
      <c r="C284" t="s">
        <v>33</v>
      </c>
      <c r="H284" s="5"/>
      <c r="I284" s="6"/>
      <c r="J284" s="5"/>
      <c r="K284" s="6"/>
      <c r="L284" s="6"/>
    </row>
    <row r="285" spans="2:12" x14ac:dyDescent="0.25">
      <c r="B285">
        <v>272</v>
      </c>
      <c r="C285" t="s">
        <v>33</v>
      </c>
      <c r="H285" s="5"/>
      <c r="I285" s="6"/>
      <c r="J285" s="5"/>
      <c r="K285" s="6"/>
      <c r="L285" s="6"/>
    </row>
    <row r="286" spans="2:12" x14ac:dyDescent="0.25">
      <c r="B286">
        <v>235</v>
      </c>
      <c r="C286" t="s">
        <v>33</v>
      </c>
      <c r="H286" s="5"/>
      <c r="I286" s="6"/>
      <c r="J286" s="5"/>
      <c r="K286" s="6"/>
      <c r="L286" s="6"/>
    </row>
    <row r="287" spans="2:12" x14ac:dyDescent="0.25">
      <c r="B287">
        <v>194</v>
      </c>
      <c r="C287" t="s">
        <v>33</v>
      </c>
      <c r="H287" s="5"/>
      <c r="J287" s="5"/>
      <c r="L287" s="6"/>
    </row>
    <row r="288" spans="2:12" x14ac:dyDescent="0.25">
      <c r="B288">
        <v>156</v>
      </c>
      <c r="C288" t="s">
        <v>33</v>
      </c>
      <c r="H288" s="5"/>
      <c r="J288" s="5"/>
      <c r="L288" s="6"/>
    </row>
    <row r="289" spans="2:12" x14ac:dyDescent="0.25">
      <c r="B289">
        <v>248</v>
      </c>
      <c r="C289" t="s">
        <v>33</v>
      </c>
      <c r="H289" s="5"/>
      <c r="J289" s="5"/>
      <c r="L289" s="6"/>
    </row>
    <row r="290" spans="2:12" x14ac:dyDescent="0.25">
      <c r="B290">
        <v>282</v>
      </c>
      <c r="C290" t="s">
        <v>33</v>
      </c>
      <c r="H290" s="5"/>
    </row>
    <row r="291" spans="2:12" x14ac:dyDescent="0.25">
      <c r="B291">
        <v>189</v>
      </c>
      <c r="C291" t="s">
        <v>33</v>
      </c>
      <c r="H291" s="5"/>
    </row>
    <row r="292" spans="2:12" x14ac:dyDescent="0.25">
      <c r="B292">
        <v>167</v>
      </c>
      <c r="C292" t="s">
        <v>33</v>
      </c>
      <c r="H292" s="5"/>
    </row>
    <row r="293" spans="2:12" x14ac:dyDescent="0.25">
      <c r="B293">
        <v>287</v>
      </c>
      <c r="C293" t="s">
        <v>33</v>
      </c>
      <c r="H293" s="5"/>
    </row>
    <row r="294" spans="2:12" x14ac:dyDescent="0.25">
      <c r="B294">
        <v>204</v>
      </c>
      <c r="C294" t="s">
        <v>33</v>
      </c>
      <c r="H294" s="5"/>
    </row>
    <row r="295" spans="2:12" x14ac:dyDescent="0.25">
      <c r="B295">
        <v>168</v>
      </c>
      <c r="C295" t="s">
        <v>33</v>
      </c>
      <c r="H295" s="5"/>
    </row>
    <row r="296" spans="2:12" x14ac:dyDescent="0.25">
      <c r="B296">
        <v>277</v>
      </c>
      <c r="C296" t="s">
        <v>33</v>
      </c>
      <c r="H296" s="5"/>
    </row>
    <row r="297" spans="2:12" x14ac:dyDescent="0.25">
      <c r="B297">
        <v>309</v>
      </c>
      <c r="C297" t="s">
        <v>33</v>
      </c>
      <c r="H297" s="5"/>
    </row>
    <row r="298" spans="2:12" x14ac:dyDescent="0.25">
      <c r="B298">
        <v>306</v>
      </c>
      <c r="C298" t="s">
        <v>33</v>
      </c>
      <c r="H298" s="5"/>
    </row>
    <row r="299" spans="2:12" x14ac:dyDescent="0.25">
      <c r="B299">
        <v>244</v>
      </c>
      <c r="C299" t="s">
        <v>33</v>
      </c>
      <c r="H299" s="5"/>
    </row>
    <row r="300" spans="2:12" x14ac:dyDescent="0.25">
      <c r="B300">
        <v>245</v>
      </c>
      <c r="C300" t="s">
        <v>33</v>
      </c>
      <c r="H300" s="5"/>
    </row>
    <row r="301" spans="2:12" x14ac:dyDescent="0.25">
      <c r="B301">
        <v>170</v>
      </c>
      <c r="C301" t="s">
        <v>34</v>
      </c>
      <c r="H301" s="5"/>
    </row>
    <row r="302" spans="2:12" x14ac:dyDescent="0.25">
      <c r="B302">
        <v>229</v>
      </c>
      <c r="C302" t="s">
        <v>34</v>
      </c>
      <c r="H302" s="5"/>
    </row>
    <row r="303" spans="2:12" x14ac:dyDescent="0.25">
      <c r="B303">
        <v>302</v>
      </c>
      <c r="C303" t="s">
        <v>34</v>
      </c>
      <c r="H303" s="5"/>
    </row>
    <row r="304" spans="2:12" x14ac:dyDescent="0.25">
      <c r="B304">
        <v>180</v>
      </c>
      <c r="C304" t="s">
        <v>34</v>
      </c>
      <c r="H304" s="5"/>
    </row>
    <row r="305" spans="2:8" x14ac:dyDescent="0.25">
      <c r="B305">
        <v>250</v>
      </c>
      <c r="C305" t="s">
        <v>34</v>
      </c>
      <c r="H305" s="5"/>
    </row>
    <row r="306" spans="2:8" x14ac:dyDescent="0.25">
      <c r="B306">
        <v>154</v>
      </c>
      <c r="C306" t="s">
        <v>34</v>
      </c>
      <c r="H306" s="5"/>
    </row>
    <row r="307" spans="2:8" x14ac:dyDescent="0.25">
      <c r="B307">
        <v>312</v>
      </c>
      <c r="C307" t="s">
        <v>34</v>
      </c>
      <c r="H307" s="5"/>
    </row>
    <row r="308" spans="2:8" x14ac:dyDescent="0.25">
      <c r="B308">
        <v>177</v>
      </c>
      <c r="C308" t="s">
        <v>34</v>
      </c>
      <c r="H308" s="5"/>
    </row>
    <row r="309" spans="2:8" x14ac:dyDescent="0.25">
      <c r="B309">
        <v>176</v>
      </c>
      <c r="C309" t="s">
        <v>34</v>
      </c>
      <c r="H309" s="5"/>
    </row>
    <row r="310" spans="2:8" x14ac:dyDescent="0.25">
      <c r="B310">
        <v>166</v>
      </c>
      <c r="C310" t="s">
        <v>34</v>
      </c>
      <c r="H310" s="5"/>
    </row>
    <row r="311" spans="2:8" x14ac:dyDescent="0.25">
      <c r="B311">
        <v>269</v>
      </c>
      <c r="C311" t="s">
        <v>34</v>
      </c>
      <c r="H311" s="5"/>
    </row>
    <row r="312" spans="2:8" x14ac:dyDescent="0.25">
      <c r="B312">
        <v>226</v>
      </c>
      <c r="C312" t="s">
        <v>34</v>
      </c>
      <c r="H312" s="5"/>
    </row>
    <row r="313" spans="2:8" x14ac:dyDescent="0.25">
      <c r="B313">
        <v>208</v>
      </c>
      <c r="C313" t="s">
        <v>34</v>
      </c>
      <c r="H313" s="5"/>
    </row>
    <row r="314" spans="2:8" x14ac:dyDescent="0.25">
      <c r="B314">
        <v>200</v>
      </c>
      <c r="C314" t="s">
        <v>34</v>
      </c>
      <c r="H314" s="5"/>
    </row>
    <row r="315" spans="2:8" x14ac:dyDescent="0.25">
      <c r="B315">
        <v>313</v>
      </c>
      <c r="C315" t="s">
        <v>34</v>
      </c>
      <c r="H315" s="5"/>
    </row>
    <row r="316" spans="2:8" x14ac:dyDescent="0.25">
      <c r="B316">
        <v>288</v>
      </c>
      <c r="C316" t="s">
        <v>34</v>
      </c>
      <c r="H316" s="5"/>
    </row>
    <row r="317" spans="2:8" x14ac:dyDescent="0.25">
      <c r="B317">
        <v>178</v>
      </c>
      <c r="C317" t="s">
        <v>34</v>
      </c>
      <c r="H317" s="5"/>
    </row>
    <row r="318" spans="2:8" x14ac:dyDescent="0.25">
      <c r="B318">
        <v>173</v>
      </c>
      <c r="C318" t="s">
        <v>34</v>
      </c>
      <c r="H318" s="5"/>
    </row>
    <row r="319" spans="2:8" x14ac:dyDescent="0.25">
      <c r="B319">
        <v>238</v>
      </c>
      <c r="C319" t="s">
        <v>34</v>
      </c>
      <c r="H319" s="5"/>
    </row>
    <row r="320" spans="2:8" x14ac:dyDescent="0.25">
      <c r="B320">
        <v>255</v>
      </c>
      <c r="C320" t="s">
        <v>25</v>
      </c>
      <c r="H320" s="5"/>
    </row>
    <row r="321" spans="2:8" x14ac:dyDescent="0.25">
      <c r="B321">
        <v>149</v>
      </c>
      <c r="C321" t="s">
        <v>25</v>
      </c>
      <c r="H321" s="5"/>
    </row>
    <row r="322" spans="2:8" x14ac:dyDescent="0.25">
      <c r="B322">
        <v>260</v>
      </c>
      <c r="C322" t="s">
        <v>25</v>
      </c>
      <c r="H322" s="5"/>
    </row>
    <row r="323" spans="2:8" x14ac:dyDescent="0.25">
      <c r="B323">
        <v>157</v>
      </c>
      <c r="C323" t="s">
        <v>25</v>
      </c>
      <c r="H323" s="5"/>
    </row>
    <row r="324" spans="2:8" x14ac:dyDescent="0.25">
      <c r="B324">
        <v>325</v>
      </c>
      <c r="C324" t="s">
        <v>25</v>
      </c>
      <c r="H324" s="5"/>
    </row>
    <row r="325" spans="2:8" x14ac:dyDescent="0.25">
      <c r="B325">
        <v>240</v>
      </c>
      <c r="C325" t="s">
        <v>25</v>
      </c>
      <c r="H325" s="5"/>
    </row>
    <row r="326" spans="2:8" x14ac:dyDescent="0.25">
      <c r="B326">
        <v>315</v>
      </c>
      <c r="C326" t="s">
        <v>25</v>
      </c>
      <c r="H326" s="5"/>
    </row>
    <row r="327" spans="2:8" x14ac:dyDescent="0.25">
      <c r="B327">
        <v>276</v>
      </c>
      <c r="C327" t="s">
        <v>25</v>
      </c>
      <c r="H327" s="5"/>
    </row>
    <row r="328" spans="2:8" x14ac:dyDescent="0.25">
      <c r="B328">
        <v>311</v>
      </c>
      <c r="C328" t="s">
        <v>25</v>
      </c>
      <c r="H328" s="5"/>
    </row>
    <row r="329" spans="2:8" x14ac:dyDescent="0.25">
      <c r="B329">
        <v>184</v>
      </c>
      <c r="C329" t="s">
        <v>25</v>
      </c>
      <c r="H329" s="5"/>
    </row>
    <row r="330" spans="2:8" x14ac:dyDescent="0.25">
      <c r="B330">
        <v>291</v>
      </c>
      <c r="C330" t="s">
        <v>25</v>
      </c>
      <c r="H330" s="5"/>
    </row>
    <row r="331" spans="2:8" x14ac:dyDescent="0.25">
      <c r="B331">
        <v>298</v>
      </c>
      <c r="C331" t="s">
        <v>25</v>
      </c>
      <c r="H331" s="5"/>
    </row>
    <row r="332" spans="2:8" x14ac:dyDescent="0.25">
      <c r="B332">
        <v>227</v>
      </c>
      <c r="C332" t="s">
        <v>25</v>
      </c>
      <c r="H332" s="5"/>
    </row>
    <row r="333" spans="2:8" x14ac:dyDescent="0.25">
      <c r="B333">
        <v>301</v>
      </c>
      <c r="C333" t="s">
        <v>25</v>
      </c>
      <c r="H333" s="5"/>
    </row>
    <row r="334" spans="2:8" x14ac:dyDescent="0.25">
      <c r="B334">
        <v>224</v>
      </c>
      <c r="C334" t="s">
        <v>25</v>
      </c>
      <c r="H334" s="5"/>
    </row>
    <row r="335" spans="2:8" x14ac:dyDescent="0.25">
      <c r="B335">
        <v>257</v>
      </c>
      <c r="C335" t="s">
        <v>25</v>
      </c>
      <c r="H335" s="5"/>
    </row>
    <row r="336" spans="2:8" x14ac:dyDescent="0.25">
      <c r="B336">
        <v>261</v>
      </c>
      <c r="C336" t="s">
        <v>25</v>
      </c>
      <c r="H336" s="5"/>
    </row>
    <row r="337" spans="2:8" x14ac:dyDescent="0.25">
      <c r="B337">
        <v>146</v>
      </c>
      <c r="C337" t="s">
        <v>25</v>
      </c>
      <c r="H337" s="5"/>
    </row>
    <row r="338" spans="2:8" x14ac:dyDescent="0.25">
      <c r="B338">
        <v>198</v>
      </c>
      <c r="C338" t="s">
        <v>25</v>
      </c>
      <c r="H338" s="5"/>
    </row>
    <row r="339" spans="2:8" x14ac:dyDescent="0.25">
      <c r="B339">
        <v>265</v>
      </c>
      <c r="C339" t="s">
        <v>25</v>
      </c>
      <c r="H339" s="5"/>
    </row>
    <row r="340" spans="2:8" x14ac:dyDescent="0.25">
      <c r="B340">
        <v>310</v>
      </c>
      <c r="C340" t="s">
        <v>25</v>
      </c>
      <c r="H340" s="5"/>
    </row>
    <row r="341" spans="2:8" x14ac:dyDescent="0.25">
      <c r="B341">
        <v>253</v>
      </c>
      <c r="C341" t="s">
        <v>25</v>
      </c>
      <c r="H341" s="5"/>
    </row>
    <row r="342" spans="2:8" x14ac:dyDescent="0.25">
      <c r="B342">
        <v>318</v>
      </c>
      <c r="C342" t="s">
        <v>25</v>
      </c>
      <c r="H342" s="5"/>
    </row>
    <row r="343" spans="2:8" x14ac:dyDescent="0.25">
      <c r="B343">
        <v>320</v>
      </c>
      <c r="C343" t="s">
        <v>25</v>
      </c>
      <c r="H343" s="5"/>
    </row>
    <row r="344" spans="2:8" x14ac:dyDescent="0.25">
      <c r="B344">
        <v>151</v>
      </c>
      <c r="C344" t="s">
        <v>25</v>
      </c>
      <c r="H344" s="5"/>
    </row>
    <row r="345" spans="2:8" x14ac:dyDescent="0.25">
      <c r="B345">
        <v>152</v>
      </c>
      <c r="C345" t="s">
        <v>25</v>
      </c>
      <c r="H345" s="5"/>
    </row>
    <row r="346" spans="2:8" x14ac:dyDescent="0.25">
      <c r="B346">
        <v>279</v>
      </c>
      <c r="C346" t="s">
        <v>25</v>
      </c>
      <c r="H346" s="5"/>
    </row>
    <row r="347" spans="2:8" x14ac:dyDescent="0.25">
      <c r="B347">
        <v>186</v>
      </c>
      <c r="C347" t="s">
        <v>25</v>
      </c>
      <c r="H347" s="5"/>
    </row>
    <row r="348" spans="2:8" x14ac:dyDescent="0.25">
      <c r="B348">
        <v>188</v>
      </c>
      <c r="C348" t="s">
        <v>25</v>
      </c>
      <c r="H348" s="5"/>
    </row>
    <row r="349" spans="2:8" x14ac:dyDescent="0.25">
      <c r="B349">
        <v>159</v>
      </c>
      <c r="C349" t="s">
        <v>25</v>
      </c>
      <c r="H349" s="5"/>
    </row>
    <row r="350" spans="2:8" x14ac:dyDescent="0.25">
      <c r="B350">
        <v>174</v>
      </c>
      <c r="C350" t="s">
        <v>25</v>
      </c>
      <c r="H350" s="5"/>
    </row>
    <row r="351" spans="2:8" x14ac:dyDescent="0.25">
      <c r="B351">
        <v>187</v>
      </c>
      <c r="C351" t="s">
        <v>25</v>
      </c>
      <c r="H351" s="5"/>
    </row>
    <row r="352" spans="2:8" x14ac:dyDescent="0.25">
      <c r="B352">
        <v>217</v>
      </c>
      <c r="C352" t="s">
        <v>25</v>
      </c>
      <c r="H352" s="5"/>
    </row>
    <row r="353" spans="2:8" x14ac:dyDescent="0.25">
      <c r="B353">
        <v>326</v>
      </c>
      <c r="C353" t="s">
        <v>25</v>
      </c>
      <c r="H353" s="5"/>
    </row>
    <row r="354" spans="2:8" x14ac:dyDescent="0.25">
      <c r="B354">
        <v>162</v>
      </c>
      <c r="C354" t="s">
        <v>25</v>
      </c>
      <c r="H354" s="5"/>
    </row>
    <row r="355" spans="2:8" x14ac:dyDescent="0.25">
      <c r="B355">
        <v>256</v>
      </c>
      <c r="C355" t="s">
        <v>25</v>
      </c>
      <c r="H355" s="5"/>
    </row>
    <row r="356" spans="2:8" x14ac:dyDescent="0.25">
      <c r="B356">
        <v>281</v>
      </c>
      <c r="C356" t="s">
        <v>25</v>
      </c>
      <c r="H356" s="5"/>
    </row>
    <row r="357" spans="2:8" x14ac:dyDescent="0.25">
      <c r="B357">
        <v>374</v>
      </c>
      <c r="C357" t="s">
        <v>33</v>
      </c>
      <c r="H357" s="5"/>
    </row>
    <row r="358" spans="2:8" x14ac:dyDescent="0.25">
      <c r="B358">
        <v>333</v>
      </c>
      <c r="C358" t="s">
        <v>33</v>
      </c>
      <c r="H358" s="5"/>
    </row>
    <row r="359" spans="2:8" x14ac:dyDescent="0.25">
      <c r="B359">
        <v>592</v>
      </c>
      <c r="C359" t="s">
        <v>33</v>
      </c>
      <c r="H359" s="5"/>
    </row>
    <row r="360" spans="2:8" x14ac:dyDescent="0.25">
      <c r="B360">
        <v>587</v>
      </c>
      <c r="C360" t="s">
        <v>33</v>
      </c>
      <c r="H360" s="5"/>
    </row>
    <row r="361" spans="2:8" x14ac:dyDescent="0.25">
      <c r="B361">
        <v>342</v>
      </c>
      <c r="C361" t="s">
        <v>33</v>
      </c>
      <c r="H361" s="5"/>
    </row>
    <row r="362" spans="2:8" x14ac:dyDescent="0.25">
      <c r="B362">
        <v>398</v>
      </c>
      <c r="C362" t="s">
        <v>33</v>
      </c>
      <c r="H362" s="5"/>
    </row>
    <row r="363" spans="2:8" x14ac:dyDescent="0.25">
      <c r="B363">
        <v>595</v>
      </c>
      <c r="C363" t="s">
        <v>33</v>
      </c>
      <c r="H363" s="5"/>
    </row>
    <row r="364" spans="2:8" x14ac:dyDescent="0.25">
      <c r="B364">
        <v>421</v>
      </c>
      <c r="C364" t="s">
        <v>33</v>
      </c>
      <c r="H364" s="5"/>
    </row>
    <row r="365" spans="2:8" x14ac:dyDescent="0.25">
      <c r="B365">
        <v>339</v>
      </c>
      <c r="C365" t="s">
        <v>33</v>
      </c>
      <c r="H365" s="5"/>
    </row>
    <row r="366" spans="2:8" x14ac:dyDescent="0.25">
      <c r="B366">
        <v>484</v>
      </c>
      <c r="C366" t="s">
        <v>33</v>
      </c>
      <c r="H366" s="5"/>
    </row>
    <row r="367" spans="2:8" x14ac:dyDescent="0.25">
      <c r="B367">
        <v>454</v>
      </c>
      <c r="C367" t="s">
        <v>33</v>
      </c>
      <c r="H367" s="5"/>
    </row>
    <row r="368" spans="2:8" x14ac:dyDescent="0.25">
      <c r="B368">
        <v>390</v>
      </c>
      <c r="C368" t="s">
        <v>33</v>
      </c>
      <c r="H368" s="5"/>
    </row>
    <row r="369" spans="2:8" x14ac:dyDescent="0.25">
      <c r="B369">
        <v>526</v>
      </c>
      <c r="C369" t="s">
        <v>33</v>
      </c>
      <c r="H369" s="5"/>
    </row>
    <row r="370" spans="2:8" x14ac:dyDescent="0.25">
      <c r="B370">
        <v>395</v>
      </c>
      <c r="C370" t="s">
        <v>33</v>
      </c>
      <c r="H370" s="5"/>
    </row>
    <row r="371" spans="2:8" x14ac:dyDescent="0.25">
      <c r="B371">
        <v>340</v>
      </c>
      <c r="C371" t="s">
        <v>33</v>
      </c>
      <c r="H371" s="5"/>
    </row>
    <row r="372" spans="2:8" x14ac:dyDescent="0.25">
      <c r="B372">
        <v>504</v>
      </c>
      <c r="C372" t="s">
        <v>33</v>
      </c>
      <c r="H372" s="5"/>
    </row>
    <row r="373" spans="2:8" x14ac:dyDescent="0.25">
      <c r="B373">
        <v>425</v>
      </c>
      <c r="C373" t="s">
        <v>33</v>
      </c>
      <c r="H373" s="5"/>
    </row>
    <row r="374" spans="2:8" x14ac:dyDescent="0.25">
      <c r="B374">
        <v>434</v>
      </c>
      <c r="C374" t="s">
        <v>33</v>
      </c>
      <c r="H374" s="5"/>
    </row>
    <row r="375" spans="2:8" x14ac:dyDescent="0.25">
      <c r="B375">
        <v>521</v>
      </c>
      <c r="C375" t="s">
        <v>33</v>
      </c>
      <c r="H375" s="5"/>
    </row>
    <row r="376" spans="2:8" x14ac:dyDescent="0.25">
      <c r="B376">
        <v>477</v>
      </c>
      <c r="C376" t="s">
        <v>33</v>
      </c>
      <c r="H376" s="5"/>
    </row>
    <row r="377" spans="2:8" x14ac:dyDescent="0.25">
      <c r="B377">
        <v>364</v>
      </c>
      <c r="C377" t="s">
        <v>33</v>
      </c>
      <c r="H377" s="5"/>
    </row>
    <row r="378" spans="2:8" x14ac:dyDescent="0.25">
      <c r="B378">
        <v>572</v>
      </c>
      <c r="C378" t="s">
        <v>33</v>
      </c>
      <c r="H378" s="5"/>
    </row>
    <row r="379" spans="2:8" x14ac:dyDescent="0.25">
      <c r="B379">
        <v>543</v>
      </c>
      <c r="C379" t="s">
        <v>33</v>
      </c>
      <c r="H379" s="5"/>
    </row>
    <row r="380" spans="2:8" x14ac:dyDescent="0.25">
      <c r="B380">
        <v>539</v>
      </c>
      <c r="C380" t="s">
        <v>33</v>
      </c>
      <c r="H380" s="5"/>
    </row>
    <row r="381" spans="2:8" x14ac:dyDescent="0.25">
      <c r="B381">
        <v>542</v>
      </c>
      <c r="C381" t="s">
        <v>33</v>
      </c>
      <c r="H381" s="5"/>
    </row>
    <row r="382" spans="2:8" x14ac:dyDescent="0.25">
      <c r="B382">
        <v>469</v>
      </c>
      <c r="C382" t="s">
        <v>33</v>
      </c>
      <c r="H382" s="5"/>
    </row>
    <row r="383" spans="2:8" x14ac:dyDescent="0.25">
      <c r="B383">
        <v>382</v>
      </c>
      <c r="C383" t="s">
        <v>33</v>
      </c>
      <c r="H383" s="5"/>
    </row>
    <row r="384" spans="2:8" x14ac:dyDescent="0.25">
      <c r="B384">
        <v>351</v>
      </c>
      <c r="C384" t="s">
        <v>33</v>
      </c>
      <c r="H384" s="5"/>
    </row>
    <row r="385" spans="2:8" x14ac:dyDescent="0.25">
      <c r="B385">
        <v>489</v>
      </c>
      <c r="C385" t="s">
        <v>33</v>
      </c>
      <c r="H385" s="5"/>
    </row>
    <row r="386" spans="2:8" x14ac:dyDescent="0.25">
      <c r="B386">
        <v>358</v>
      </c>
      <c r="C386" t="s">
        <v>33</v>
      </c>
      <c r="H386" s="5"/>
    </row>
    <row r="387" spans="2:8" x14ac:dyDescent="0.25">
      <c r="B387">
        <v>370</v>
      </c>
      <c r="C387" t="s">
        <v>33</v>
      </c>
    </row>
    <row r="388" spans="2:8" x14ac:dyDescent="0.25">
      <c r="B388">
        <v>343</v>
      </c>
      <c r="C388" t="s">
        <v>33</v>
      </c>
    </row>
    <row r="389" spans="2:8" x14ac:dyDescent="0.25">
      <c r="B389">
        <v>488</v>
      </c>
      <c r="C389" t="s">
        <v>33</v>
      </c>
    </row>
    <row r="390" spans="2:8" x14ac:dyDescent="0.25">
      <c r="B390">
        <v>417</v>
      </c>
      <c r="C390" t="s">
        <v>33</v>
      </c>
    </row>
    <row r="391" spans="2:8" x14ac:dyDescent="0.25">
      <c r="B391">
        <v>387</v>
      </c>
      <c r="C391" t="s">
        <v>33</v>
      </c>
    </row>
    <row r="392" spans="2:8" x14ac:dyDescent="0.25">
      <c r="B392">
        <v>534</v>
      </c>
      <c r="C392" t="s">
        <v>33</v>
      </c>
    </row>
    <row r="393" spans="2:8" x14ac:dyDescent="0.25">
      <c r="B393">
        <v>523</v>
      </c>
      <c r="C393" t="s">
        <v>33</v>
      </c>
    </row>
    <row r="394" spans="2:8" x14ac:dyDescent="0.25">
      <c r="B394">
        <v>372</v>
      </c>
      <c r="C394" t="s">
        <v>33</v>
      </c>
    </row>
    <row r="395" spans="2:8" x14ac:dyDescent="0.25">
      <c r="B395">
        <v>439</v>
      </c>
      <c r="C395" t="s">
        <v>33</v>
      </c>
    </row>
    <row r="396" spans="2:8" x14ac:dyDescent="0.25">
      <c r="B396">
        <v>576</v>
      </c>
      <c r="C396" t="s">
        <v>33</v>
      </c>
    </row>
    <row r="397" spans="2:8" x14ac:dyDescent="0.25">
      <c r="B397">
        <v>552</v>
      </c>
      <c r="C397" t="s">
        <v>33</v>
      </c>
    </row>
    <row r="398" spans="2:8" x14ac:dyDescent="0.25">
      <c r="B398">
        <v>494</v>
      </c>
      <c r="C398" t="s">
        <v>33</v>
      </c>
    </row>
    <row r="399" spans="2:8" x14ac:dyDescent="0.25">
      <c r="B399">
        <v>411</v>
      </c>
      <c r="C399" t="s">
        <v>33</v>
      </c>
    </row>
    <row r="400" spans="2:8" x14ac:dyDescent="0.25">
      <c r="B400">
        <v>391</v>
      </c>
      <c r="C400" t="s">
        <v>33</v>
      </c>
    </row>
    <row r="401" spans="2:3" x14ac:dyDescent="0.25">
      <c r="B401">
        <v>437</v>
      </c>
      <c r="C401" t="s">
        <v>33</v>
      </c>
    </row>
    <row r="402" spans="2:3" x14ac:dyDescent="0.25">
      <c r="B402">
        <v>538</v>
      </c>
      <c r="C402" t="s">
        <v>33</v>
      </c>
    </row>
    <row r="403" spans="2:3" x14ac:dyDescent="0.25">
      <c r="B403">
        <v>406</v>
      </c>
      <c r="C403" t="s">
        <v>33</v>
      </c>
    </row>
    <row r="404" spans="2:3" x14ac:dyDescent="0.25">
      <c r="B404">
        <v>571</v>
      </c>
      <c r="C404" t="s">
        <v>33</v>
      </c>
    </row>
    <row r="405" spans="2:3" x14ac:dyDescent="0.25">
      <c r="B405">
        <v>550</v>
      </c>
      <c r="C405" t="s">
        <v>33</v>
      </c>
    </row>
    <row r="406" spans="2:3" x14ac:dyDescent="0.25">
      <c r="B406">
        <v>464</v>
      </c>
      <c r="C406" t="s">
        <v>33</v>
      </c>
    </row>
    <row r="407" spans="2:3" x14ac:dyDescent="0.25">
      <c r="B407">
        <v>529</v>
      </c>
      <c r="C407" t="s">
        <v>33</v>
      </c>
    </row>
    <row r="408" spans="2:3" x14ac:dyDescent="0.25">
      <c r="B408">
        <v>344</v>
      </c>
      <c r="C408" t="s">
        <v>33</v>
      </c>
    </row>
    <row r="409" spans="2:3" x14ac:dyDescent="0.25">
      <c r="B409">
        <v>363</v>
      </c>
      <c r="C409" t="s">
        <v>33</v>
      </c>
    </row>
    <row r="410" spans="2:3" x14ac:dyDescent="0.25">
      <c r="B410">
        <v>330</v>
      </c>
      <c r="C410" t="s">
        <v>33</v>
      </c>
    </row>
    <row r="411" spans="2:3" x14ac:dyDescent="0.25">
      <c r="B411">
        <v>471</v>
      </c>
      <c r="C411" t="s">
        <v>33</v>
      </c>
    </row>
    <row r="412" spans="2:3" x14ac:dyDescent="0.25">
      <c r="B412">
        <v>479</v>
      </c>
      <c r="C412" t="s">
        <v>33</v>
      </c>
    </row>
    <row r="413" spans="2:3" x14ac:dyDescent="0.25">
      <c r="B413">
        <v>438</v>
      </c>
      <c r="C413" t="s">
        <v>33</v>
      </c>
    </row>
    <row r="414" spans="2:3" x14ac:dyDescent="0.25">
      <c r="B414">
        <v>561</v>
      </c>
      <c r="C414" t="s">
        <v>33</v>
      </c>
    </row>
    <row r="415" spans="2:3" x14ac:dyDescent="0.25">
      <c r="B415">
        <v>368</v>
      </c>
      <c r="C415" t="s">
        <v>33</v>
      </c>
    </row>
    <row r="416" spans="2:3" x14ac:dyDescent="0.25">
      <c r="B416">
        <v>360</v>
      </c>
      <c r="C416" t="s">
        <v>33</v>
      </c>
    </row>
    <row r="417" spans="2:3" x14ac:dyDescent="0.25">
      <c r="B417">
        <v>346</v>
      </c>
      <c r="C417" t="s">
        <v>33</v>
      </c>
    </row>
    <row r="418" spans="2:3" x14ac:dyDescent="0.25">
      <c r="B418">
        <v>465</v>
      </c>
      <c r="C418" t="s">
        <v>33</v>
      </c>
    </row>
    <row r="419" spans="2:3" x14ac:dyDescent="0.25">
      <c r="B419">
        <v>407</v>
      </c>
      <c r="C419" t="s">
        <v>33</v>
      </c>
    </row>
    <row r="420" spans="2:3" x14ac:dyDescent="0.25">
      <c r="B420">
        <v>359</v>
      </c>
      <c r="C420" t="s">
        <v>33</v>
      </c>
    </row>
    <row r="421" spans="2:3" x14ac:dyDescent="0.25">
      <c r="B421">
        <v>568</v>
      </c>
      <c r="C421" t="s">
        <v>33</v>
      </c>
    </row>
    <row r="422" spans="2:3" x14ac:dyDescent="0.25">
      <c r="B422">
        <v>599</v>
      </c>
      <c r="C422" t="s">
        <v>33</v>
      </c>
    </row>
    <row r="423" spans="2:3" x14ac:dyDescent="0.25">
      <c r="B423">
        <v>435</v>
      </c>
      <c r="C423" t="s">
        <v>33</v>
      </c>
    </row>
    <row r="424" spans="2:3" x14ac:dyDescent="0.25">
      <c r="B424">
        <v>509</v>
      </c>
      <c r="C424" t="s">
        <v>33</v>
      </c>
    </row>
    <row r="425" spans="2:3" x14ac:dyDescent="0.25">
      <c r="B425">
        <v>468</v>
      </c>
      <c r="C425" t="s">
        <v>33</v>
      </c>
    </row>
    <row r="426" spans="2:3" x14ac:dyDescent="0.25">
      <c r="B426">
        <v>378</v>
      </c>
      <c r="C426" t="s">
        <v>33</v>
      </c>
    </row>
    <row r="427" spans="2:3" x14ac:dyDescent="0.25">
      <c r="B427">
        <v>559</v>
      </c>
      <c r="C427" t="s">
        <v>33</v>
      </c>
    </row>
    <row r="428" spans="2:3" x14ac:dyDescent="0.25">
      <c r="B428">
        <v>560</v>
      </c>
      <c r="C428" t="s">
        <v>33</v>
      </c>
    </row>
    <row r="429" spans="2:3" x14ac:dyDescent="0.25">
      <c r="B429">
        <v>423</v>
      </c>
      <c r="C429" t="s">
        <v>33</v>
      </c>
    </row>
    <row r="430" spans="2:3" x14ac:dyDescent="0.25">
      <c r="B430">
        <v>393</v>
      </c>
      <c r="C430" t="s">
        <v>33</v>
      </c>
    </row>
    <row r="431" spans="2:3" x14ac:dyDescent="0.25">
      <c r="B431">
        <v>381</v>
      </c>
      <c r="C431" t="s">
        <v>33</v>
      </c>
    </row>
    <row r="432" spans="2:3" x14ac:dyDescent="0.25">
      <c r="B432">
        <v>397</v>
      </c>
      <c r="C432" t="s">
        <v>33</v>
      </c>
    </row>
    <row r="433" spans="2:3" x14ac:dyDescent="0.25">
      <c r="B433">
        <v>349</v>
      </c>
      <c r="C433" t="s">
        <v>33</v>
      </c>
    </row>
    <row r="434" spans="2:3" x14ac:dyDescent="0.25">
      <c r="B434">
        <v>485</v>
      </c>
      <c r="C434" t="s">
        <v>33</v>
      </c>
    </row>
    <row r="435" spans="2:3" x14ac:dyDescent="0.25">
      <c r="B435">
        <v>585</v>
      </c>
      <c r="C435" t="s">
        <v>33</v>
      </c>
    </row>
    <row r="436" spans="2:3" x14ac:dyDescent="0.25">
      <c r="B436">
        <v>376</v>
      </c>
      <c r="C436" t="s">
        <v>33</v>
      </c>
    </row>
    <row r="437" spans="2:3" x14ac:dyDescent="0.25">
      <c r="B437">
        <v>503</v>
      </c>
      <c r="C437" t="s">
        <v>33</v>
      </c>
    </row>
    <row r="438" spans="2:3" x14ac:dyDescent="0.25">
      <c r="B438">
        <v>544</v>
      </c>
      <c r="C438" t="s">
        <v>33</v>
      </c>
    </row>
    <row r="439" spans="2:3" x14ac:dyDescent="0.25">
      <c r="B439">
        <v>413</v>
      </c>
      <c r="C439" t="s">
        <v>33</v>
      </c>
    </row>
    <row r="440" spans="2:3" x14ac:dyDescent="0.25">
      <c r="B440">
        <v>519</v>
      </c>
      <c r="C440" t="s">
        <v>33</v>
      </c>
    </row>
    <row r="441" spans="2:3" x14ac:dyDescent="0.25">
      <c r="B441">
        <v>460</v>
      </c>
      <c r="C441" t="s">
        <v>33</v>
      </c>
    </row>
    <row r="442" spans="2:3" x14ac:dyDescent="0.25">
      <c r="B442">
        <v>564</v>
      </c>
      <c r="C442" t="s">
        <v>33</v>
      </c>
    </row>
    <row r="443" spans="2:3" x14ac:dyDescent="0.25">
      <c r="B443">
        <v>345</v>
      </c>
      <c r="C443" t="s">
        <v>33</v>
      </c>
    </row>
    <row r="444" spans="2:3" x14ac:dyDescent="0.25">
      <c r="B444">
        <v>495</v>
      </c>
      <c r="C444" t="s">
        <v>33</v>
      </c>
    </row>
    <row r="445" spans="2:3" x14ac:dyDescent="0.25">
      <c r="B445">
        <v>505</v>
      </c>
      <c r="C445" t="s">
        <v>33</v>
      </c>
    </row>
    <row r="446" spans="2:3" x14ac:dyDescent="0.25">
      <c r="B446">
        <v>566</v>
      </c>
      <c r="C446" t="s">
        <v>33</v>
      </c>
    </row>
    <row r="447" spans="2:3" x14ac:dyDescent="0.25">
      <c r="B447">
        <v>548</v>
      </c>
      <c r="C447" t="s">
        <v>33</v>
      </c>
    </row>
    <row r="448" spans="2:3" x14ac:dyDescent="0.25">
      <c r="B448">
        <v>332</v>
      </c>
      <c r="C448" t="s">
        <v>33</v>
      </c>
    </row>
    <row r="449" spans="2:3" x14ac:dyDescent="0.25">
      <c r="B449">
        <v>589</v>
      </c>
      <c r="C449" t="s">
        <v>33</v>
      </c>
    </row>
    <row r="450" spans="2:3" x14ac:dyDescent="0.25">
      <c r="B450">
        <v>365</v>
      </c>
      <c r="C450" t="s">
        <v>33</v>
      </c>
    </row>
    <row r="451" spans="2:3" x14ac:dyDescent="0.25">
      <c r="B451">
        <v>593</v>
      </c>
      <c r="C451" t="s">
        <v>33</v>
      </c>
    </row>
    <row r="452" spans="2:3" x14ac:dyDescent="0.25">
      <c r="B452">
        <v>513</v>
      </c>
      <c r="C452" t="s">
        <v>33</v>
      </c>
    </row>
    <row r="453" spans="2:3" x14ac:dyDescent="0.25">
      <c r="B453">
        <v>565</v>
      </c>
      <c r="C453" t="s">
        <v>33</v>
      </c>
    </row>
    <row r="454" spans="2:3" x14ac:dyDescent="0.25">
      <c r="B454">
        <v>459</v>
      </c>
      <c r="C454" t="s">
        <v>33</v>
      </c>
    </row>
    <row r="455" spans="2:3" x14ac:dyDescent="0.25">
      <c r="B455">
        <v>581</v>
      </c>
      <c r="C455" t="s">
        <v>33</v>
      </c>
    </row>
    <row r="456" spans="2:3" x14ac:dyDescent="0.25">
      <c r="B456">
        <v>601</v>
      </c>
      <c r="C456" t="s">
        <v>33</v>
      </c>
    </row>
    <row r="457" spans="2:3" x14ac:dyDescent="0.25">
      <c r="B457">
        <v>528</v>
      </c>
      <c r="C457" t="s">
        <v>33</v>
      </c>
    </row>
    <row r="458" spans="2:3" x14ac:dyDescent="0.25">
      <c r="B458">
        <v>586</v>
      </c>
      <c r="C458" t="s">
        <v>33</v>
      </c>
    </row>
    <row r="459" spans="2:3" x14ac:dyDescent="0.25">
      <c r="B459">
        <v>496</v>
      </c>
      <c r="C459" t="s">
        <v>33</v>
      </c>
    </row>
    <row r="460" spans="2:3" x14ac:dyDescent="0.25">
      <c r="B460">
        <v>563</v>
      </c>
      <c r="C460" t="s">
        <v>33</v>
      </c>
    </row>
    <row r="461" spans="2:3" x14ac:dyDescent="0.25">
      <c r="B461">
        <v>458</v>
      </c>
      <c r="C461" t="s">
        <v>33</v>
      </c>
    </row>
    <row r="462" spans="2:3" x14ac:dyDescent="0.25">
      <c r="B462">
        <v>427</v>
      </c>
      <c r="C462" t="s">
        <v>33</v>
      </c>
    </row>
    <row r="463" spans="2:3" x14ac:dyDescent="0.25">
      <c r="B463">
        <v>414</v>
      </c>
      <c r="C463" t="s">
        <v>33</v>
      </c>
    </row>
    <row r="464" spans="2:3" x14ac:dyDescent="0.25">
      <c r="B464">
        <v>524</v>
      </c>
      <c r="C464" t="s">
        <v>33</v>
      </c>
    </row>
    <row r="465" spans="2:3" x14ac:dyDescent="0.25">
      <c r="B465">
        <v>436</v>
      </c>
      <c r="C465" t="s">
        <v>33</v>
      </c>
    </row>
    <row r="466" spans="2:3" x14ac:dyDescent="0.25">
      <c r="B466">
        <v>418</v>
      </c>
      <c r="C466" t="s">
        <v>33</v>
      </c>
    </row>
    <row r="467" spans="2:3" x14ac:dyDescent="0.25">
      <c r="B467">
        <v>551</v>
      </c>
      <c r="C467" t="s">
        <v>33</v>
      </c>
    </row>
    <row r="468" spans="2:3" x14ac:dyDescent="0.25">
      <c r="B468">
        <v>583</v>
      </c>
      <c r="C468" t="s">
        <v>33</v>
      </c>
    </row>
    <row r="469" spans="2:3" x14ac:dyDescent="0.25">
      <c r="B469">
        <v>476</v>
      </c>
      <c r="C469" t="s">
        <v>33</v>
      </c>
    </row>
    <row r="470" spans="2:3" x14ac:dyDescent="0.25">
      <c r="B470">
        <v>347</v>
      </c>
      <c r="C470" t="s">
        <v>33</v>
      </c>
    </row>
    <row r="471" spans="2:3" x14ac:dyDescent="0.25">
      <c r="B471">
        <v>408</v>
      </c>
      <c r="C471" t="s">
        <v>33</v>
      </c>
    </row>
    <row r="472" spans="2:3" x14ac:dyDescent="0.25">
      <c r="B472">
        <v>433</v>
      </c>
      <c r="C472" t="s">
        <v>33</v>
      </c>
    </row>
    <row r="473" spans="2:3" x14ac:dyDescent="0.25">
      <c r="B473">
        <v>451</v>
      </c>
      <c r="C473" t="s">
        <v>33</v>
      </c>
    </row>
    <row r="474" spans="2:3" x14ac:dyDescent="0.25">
      <c r="B474">
        <v>594</v>
      </c>
      <c r="C474" t="s">
        <v>33</v>
      </c>
    </row>
    <row r="475" spans="2:3" x14ac:dyDescent="0.25">
      <c r="B475">
        <v>386</v>
      </c>
      <c r="C475" t="s">
        <v>33</v>
      </c>
    </row>
    <row r="476" spans="2:3" x14ac:dyDescent="0.25">
      <c r="B476">
        <v>514</v>
      </c>
      <c r="C476" t="s">
        <v>33</v>
      </c>
    </row>
    <row r="477" spans="2:3" x14ac:dyDescent="0.25">
      <c r="B477">
        <v>362</v>
      </c>
      <c r="C477" t="s">
        <v>33</v>
      </c>
    </row>
    <row r="478" spans="2:3" x14ac:dyDescent="0.25">
      <c r="B478">
        <v>549</v>
      </c>
      <c r="C478" t="s">
        <v>33</v>
      </c>
    </row>
    <row r="479" spans="2:3" x14ac:dyDescent="0.25">
      <c r="B479">
        <v>498</v>
      </c>
      <c r="C479" t="s">
        <v>33</v>
      </c>
    </row>
    <row r="480" spans="2:3" x14ac:dyDescent="0.25">
      <c r="B480">
        <v>450</v>
      </c>
      <c r="C480" t="s">
        <v>33</v>
      </c>
    </row>
    <row r="481" spans="2:3" x14ac:dyDescent="0.25">
      <c r="B481">
        <v>405</v>
      </c>
      <c r="C481" t="s">
        <v>33</v>
      </c>
    </row>
    <row r="482" spans="2:3" x14ac:dyDescent="0.25">
      <c r="B482">
        <v>573</v>
      </c>
      <c r="C482" t="s">
        <v>33</v>
      </c>
    </row>
    <row r="483" spans="2:3" x14ac:dyDescent="0.25">
      <c r="B483">
        <v>384</v>
      </c>
      <c r="C483" t="s">
        <v>33</v>
      </c>
    </row>
    <row r="484" spans="2:3" x14ac:dyDescent="0.25">
      <c r="B484">
        <v>574</v>
      </c>
      <c r="C484" t="s">
        <v>33</v>
      </c>
    </row>
    <row r="485" spans="2:3" x14ac:dyDescent="0.25">
      <c r="B485">
        <v>457</v>
      </c>
      <c r="C485" t="s">
        <v>33</v>
      </c>
    </row>
    <row r="486" spans="2:3" x14ac:dyDescent="0.25">
      <c r="B486">
        <v>582</v>
      </c>
      <c r="C486" t="s">
        <v>33</v>
      </c>
    </row>
    <row r="487" spans="2:3" x14ac:dyDescent="0.25">
      <c r="B487">
        <v>449</v>
      </c>
      <c r="C487" t="s">
        <v>33</v>
      </c>
    </row>
    <row r="488" spans="2:3" x14ac:dyDescent="0.25">
      <c r="B488">
        <v>399</v>
      </c>
      <c r="C488" t="s">
        <v>33</v>
      </c>
    </row>
    <row r="489" spans="2:3" x14ac:dyDescent="0.25">
      <c r="B489">
        <v>338</v>
      </c>
      <c r="C489" t="s">
        <v>33</v>
      </c>
    </row>
    <row r="490" spans="2:3" x14ac:dyDescent="0.25">
      <c r="B490">
        <v>335</v>
      </c>
      <c r="C490" t="s">
        <v>33</v>
      </c>
    </row>
    <row r="491" spans="2:3" x14ac:dyDescent="0.25">
      <c r="B491">
        <v>554</v>
      </c>
      <c r="C491" t="s">
        <v>33</v>
      </c>
    </row>
    <row r="492" spans="2:3" x14ac:dyDescent="0.25">
      <c r="B492">
        <v>446</v>
      </c>
      <c r="C492" t="s">
        <v>33</v>
      </c>
    </row>
    <row r="493" spans="2:3" x14ac:dyDescent="0.25">
      <c r="B493">
        <v>331</v>
      </c>
      <c r="C493" t="s">
        <v>33</v>
      </c>
    </row>
    <row r="494" spans="2:3" x14ac:dyDescent="0.25">
      <c r="B494">
        <v>491</v>
      </c>
      <c r="C494" t="s">
        <v>33</v>
      </c>
    </row>
    <row r="495" spans="2:3" x14ac:dyDescent="0.25">
      <c r="B495">
        <v>452</v>
      </c>
      <c r="C495" t="s">
        <v>33</v>
      </c>
    </row>
    <row r="496" spans="2:3" x14ac:dyDescent="0.25">
      <c r="B496">
        <v>440</v>
      </c>
      <c r="C496" t="s">
        <v>33</v>
      </c>
    </row>
    <row r="497" spans="2:3" x14ac:dyDescent="0.25">
      <c r="B497">
        <v>356</v>
      </c>
      <c r="C497" t="s">
        <v>33</v>
      </c>
    </row>
    <row r="498" spans="2:3" x14ac:dyDescent="0.25">
      <c r="B498">
        <v>353</v>
      </c>
      <c r="C498" t="s">
        <v>33</v>
      </c>
    </row>
    <row r="499" spans="2:3" x14ac:dyDescent="0.25">
      <c r="B499">
        <v>354</v>
      </c>
      <c r="C499" t="s">
        <v>33</v>
      </c>
    </row>
    <row r="500" spans="2:3" x14ac:dyDescent="0.25">
      <c r="B500">
        <v>602</v>
      </c>
      <c r="C500" t="s">
        <v>33</v>
      </c>
    </row>
    <row r="501" spans="2:3" x14ac:dyDescent="0.25">
      <c r="B501">
        <v>567</v>
      </c>
      <c r="C501" t="s">
        <v>33</v>
      </c>
    </row>
    <row r="502" spans="2:3" x14ac:dyDescent="0.25">
      <c r="B502">
        <v>447</v>
      </c>
      <c r="C502" t="s">
        <v>33</v>
      </c>
    </row>
    <row r="503" spans="2:3" x14ac:dyDescent="0.25">
      <c r="B503">
        <v>422</v>
      </c>
      <c r="C503" t="s">
        <v>33</v>
      </c>
    </row>
    <row r="504" spans="2:3" x14ac:dyDescent="0.25">
      <c r="B504">
        <v>545</v>
      </c>
      <c r="C504" t="s">
        <v>33</v>
      </c>
    </row>
    <row r="505" spans="2:3" x14ac:dyDescent="0.25">
      <c r="B505">
        <v>570</v>
      </c>
      <c r="C505" t="s">
        <v>33</v>
      </c>
    </row>
    <row r="506" spans="2:3" x14ac:dyDescent="0.25">
      <c r="B506">
        <v>369</v>
      </c>
      <c r="C506" t="s">
        <v>33</v>
      </c>
    </row>
    <row r="507" spans="2:3" x14ac:dyDescent="0.25">
      <c r="B507">
        <v>341</v>
      </c>
      <c r="C507" t="s">
        <v>33</v>
      </c>
    </row>
    <row r="508" spans="2:3" x14ac:dyDescent="0.25">
      <c r="B508">
        <v>383</v>
      </c>
      <c r="C508" t="s">
        <v>33</v>
      </c>
    </row>
    <row r="509" spans="2:3" x14ac:dyDescent="0.25">
      <c r="B509">
        <v>490</v>
      </c>
      <c r="C509" t="s">
        <v>33</v>
      </c>
    </row>
    <row r="510" spans="2:3" x14ac:dyDescent="0.25">
      <c r="B510">
        <v>520</v>
      </c>
      <c r="C510" t="s">
        <v>33</v>
      </c>
    </row>
    <row r="511" spans="2:3" x14ac:dyDescent="0.25">
      <c r="B511">
        <v>553</v>
      </c>
      <c r="C511" t="s">
        <v>33</v>
      </c>
    </row>
    <row r="512" spans="2:3" x14ac:dyDescent="0.25">
      <c r="B512">
        <v>575</v>
      </c>
      <c r="C512" t="s">
        <v>33</v>
      </c>
    </row>
    <row r="513" spans="2:3" x14ac:dyDescent="0.25">
      <c r="B513">
        <v>456</v>
      </c>
      <c r="C513" t="s">
        <v>33</v>
      </c>
    </row>
    <row r="514" spans="2:3" x14ac:dyDescent="0.25">
      <c r="B514">
        <v>487</v>
      </c>
      <c r="C514" t="s">
        <v>33</v>
      </c>
    </row>
    <row r="515" spans="2:3" x14ac:dyDescent="0.25">
      <c r="B515">
        <v>442</v>
      </c>
      <c r="C515" t="s">
        <v>33</v>
      </c>
    </row>
    <row r="516" spans="2:3" x14ac:dyDescent="0.25">
      <c r="B516">
        <v>535</v>
      </c>
      <c r="C516" t="s">
        <v>33</v>
      </c>
    </row>
    <row r="517" spans="2:3" x14ac:dyDescent="0.25">
      <c r="B517">
        <v>444</v>
      </c>
      <c r="C517" t="s">
        <v>33</v>
      </c>
    </row>
    <row r="518" spans="2:3" x14ac:dyDescent="0.25">
      <c r="B518">
        <v>432</v>
      </c>
      <c r="C518" t="s">
        <v>33</v>
      </c>
    </row>
    <row r="519" spans="2:3" x14ac:dyDescent="0.25">
      <c r="B519">
        <v>483</v>
      </c>
      <c r="C519" t="s">
        <v>33</v>
      </c>
    </row>
    <row r="520" spans="2:3" x14ac:dyDescent="0.25">
      <c r="B520">
        <v>502</v>
      </c>
      <c r="C520" t="s">
        <v>33</v>
      </c>
    </row>
    <row r="521" spans="2:3" x14ac:dyDescent="0.25">
      <c r="B521">
        <v>596</v>
      </c>
      <c r="C521" t="s">
        <v>33</v>
      </c>
    </row>
    <row r="522" spans="2:3" x14ac:dyDescent="0.25">
      <c r="B522">
        <v>396</v>
      </c>
      <c r="C522" t="s">
        <v>33</v>
      </c>
    </row>
    <row r="523" spans="2:3" x14ac:dyDescent="0.25">
      <c r="B523">
        <v>598</v>
      </c>
      <c r="C523" t="s">
        <v>33</v>
      </c>
    </row>
    <row r="524" spans="2:3" x14ac:dyDescent="0.25">
      <c r="B524">
        <v>527</v>
      </c>
      <c r="C524" t="s">
        <v>33</v>
      </c>
    </row>
    <row r="525" spans="2:3" x14ac:dyDescent="0.25">
      <c r="B525">
        <v>401</v>
      </c>
      <c r="C525" t="s">
        <v>33</v>
      </c>
    </row>
    <row r="526" spans="2:3" x14ac:dyDescent="0.25">
      <c r="B526">
        <v>473</v>
      </c>
      <c r="C526" t="s">
        <v>33</v>
      </c>
    </row>
    <row r="527" spans="2:3" x14ac:dyDescent="0.25">
      <c r="B527">
        <v>412</v>
      </c>
      <c r="C527" t="s">
        <v>33</v>
      </c>
    </row>
    <row r="528" spans="2:3" x14ac:dyDescent="0.25">
      <c r="B528">
        <v>577</v>
      </c>
      <c r="C528" t="s">
        <v>33</v>
      </c>
    </row>
    <row r="529" spans="2:3" x14ac:dyDescent="0.25">
      <c r="B529">
        <v>516</v>
      </c>
      <c r="C529" t="s">
        <v>33</v>
      </c>
    </row>
    <row r="530" spans="2:3" x14ac:dyDescent="0.25">
      <c r="B530">
        <v>424</v>
      </c>
      <c r="C530" t="s">
        <v>33</v>
      </c>
    </row>
    <row r="531" spans="2:3" x14ac:dyDescent="0.25">
      <c r="B531">
        <v>377</v>
      </c>
      <c r="C531" t="s">
        <v>33</v>
      </c>
    </row>
    <row r="532" spans="2:3" x14ac:dyDescent="0.25">
      <c r="B532">
        <v>453</v>
      </c>
      <c r="C532" t="s">
        <v>33</v>
      </c>
    </row>
    <row r="533" spans="2:3" x14ac:dyDescent="0.25">
      <c r="B533">
        <v>591</v>
      </c>
      <c r="C533" t="s">
        <v>33</v>
      </c>
    </row>
    <row r="534" spans="2:3" x14ac:dyDescent="0.25">
      <c r="B534">
        <v>336</v>
      </c>
      <c r="C534" t="s">
        <v>33</v>
      </c>
    </row>
    <row r="535" spans="2:3" x14ac:dyDescent="0.25">
      <c r="B535">
        <v>402</v>
      </c>
      <c r="C535" t="s">
        <v>33</v>
      </c>
    </row>
    <row r="536" spans="2:3" x14ac:dyDescent="0.25">
      <c r="B536">
        <v>394</v>
      </c>
      <c r="C536" t="s">
        <v>33</v>
      </c>
    </row>
    <row r="537" spans="2:3" x14ac:dyDescent="0.25">
      <c r="B537">
        <v>462</v>
      </c>
      <c r="C537" t="s">
        <v>33</v>
      </c>
    </row>
    <row r="538" spans="2:3" x14ac:dyDescent="0.25">
      <c r="B538">
        <v>463</v>
      </c>
      <c r="C538" t="s">
        <v>33</v>
      </c>
    </row>
    <row r="539" spans="2:3" x14ac:dyDescent="0.25">
      <c r="B539">
        <v>466</v>
      </c>
      <c r="C539" t="s">
        <v>33</v>
      </c>
    </row>
    <row r="540" spans="2:3" x14ac:dyDescent="0.25">
      <c r="B540">
        <v>537</v>
      </c>
      <c r="C540" t="s">
        <v>33</v>
      </c>
    </row>
    <row r="541" spans="2:3" x14ac:dyDescent="0.25">
      <c r="B541">
        <v>379</v>
      </c>
      <c r="C541" t="s">
        <v>33</v>
      </c>
    </row>
    <row r="542" spans="2:3" x14ac:dyDescent="0.25">
      <c r="B542">
        <v>430</v>
      </c>
      <c r="C542" t="s">
        <v>33</v>
      </c>
    </row>
    <row r="543" spans="2:3" x14ac:dyDescent="0.25">
      <c r="B543">
        <v>555</v>
      </c>
      <c r="C543" t="s">
        <v>33</v>
      </c>
    </row>
    <row r="544" spans="2:3" x14ac:dyDescent="0.25">
      <c r="B544">
        <v>426</v>
      </c>
      <c r="C544" t="s">
        <v>33</v>
      </c>
    </row>
    <row r="545" spans="2:3" x14ac:dyDescent="0.25">
      <c r="B545">
        <v>600</v>
      </c>
      <c r="C545" t="s">
        <v>33</v>
      </c>
    </row>
    <row r="546" spans="2:3" x14ac:dyDescent="0.25">
      <c r="B546">
        <v>361</v>
      </c>
      <c r="C546" t="s">
        <v>33</v>
      </c>
    </row>
    <row r="547" spans="2:3" x14ac:dyDescent="0.25">
      <c r="B547">
        <v>512</v>
      </c>
      <c r="C547" t="s">
        <v>33</v>
      </c>
    </row>
    <row r="548" spans="2:3" x14ac:dyDescent="0.25">
      <c r="B548">
        <v>530</v>
      </c>
      <c r="C548" t="s">
        <v>33</v>
      </c>
    </row>
    <row r="549" spans="2:3" x14ac:dyDescent="0.25">
      <c r="B549">
        <v>558</v>
      </c>
      <c r="C549" t="s">
        <v>34</v>
      </c>
    </row>
    <row r="550" spans="2:3" x14ac:dyDescent="0.25">
      <c r="B550">
        <v>375</v>
      </c>
      <c r="C550" t="s">
        <v>34</v>
      </c>
    </row>
    <row r="551" spans="2:3" x14ac:dyDescent="0.25">
      <c r="B551">
        <v>400</v>
      </c>
      <c r="C551" t="s">
        <v>34</v>
      </c>
    </row>
    <row r="552" spans="2:3" x14ac:dyDescent="0.25">
      <c r="B552">
        <v>366</v>
      </c>
      <c r="C552" t="s">
        <v>34</v>
      </c>
    </row>
    <row r="553" spans="2:3" x14ac:dyDescent="0.25">
      <c r="B553">
        <v>536</v>
      </c>
      <c r="C553" t="s">
        <v>34</v>
      </c>
    </row>
    <row r="554" spans="2:3" x14ac:dyDescent="0.25">
      <c r="B554">
        <v>482</v>
      </c>
      <c r="C554" t="s">
        <v>34</v>
      </c>
    </row>
    <row r="555" spans="2:3" x14ac:dyDescent="0.25">
      <c r="B555">
        <v>350</v>
      </c>
      <c r="C555" t="s">
        <v>34</v>
      </c>
    </row>
    <row r="556" spans="2:3" x14ac:dyDescent="0.25">
      <c r="B556">
        <v>579</v>
      </c>
      <c r="C556" t="s">
        <v>34</v>
      </c>
    </row>
    <row r="557" spans="2:3" x14ac:dyDescent="0.25">
      <c r="B557">
        <v>380</v>
      </c>
      <c r="C557" t="s">
        <v>34</v>
      </c>
    </row>
    <row r="558" spans="2:3" x14ac:dyDescent="0.25">
      <c r="B558">
        <v>525</v>
      </c>
      <c r="C558" t="s">
        <v>34</v>
      </c>
    </row>
    <row r="559" spans="2:3" x14ac:dyDescent="0.25">
      <c r="B559">
        <v>409</v>
      </c>
      <c r="C559" t="s">
        <v>34</v>
      </c>
    </row>
    <row r="560" spans="2:3" x14ac:dyDescent="0.25">
      <c r="B560">
        <v>371</v>
      </c>
      <c r="C560" t="s">
        <v>34</v>
      </c>
    </row>
    <row r="561" spans="2:3" x14ac:dyDescent="0.25">
      <c r="B561">
        <v>517</v>
      </c>
      <c r="C561" t="s">
        <v>34</v>
      </c>
    </row>
    <row r="562" spans="2:3" x14ac:dyDescent="0.25">
      <c r="B562">
        <v>511</v>
      </c>
      <c r="C562" t="s">
        <v>34</v>
      </c>
    </row>
    <row r="563" spans="2:3" x14ac:dyDescent="0.25">
      <c r="B563">
        <v>455</v>
      </c>
      <c r="C563" t="s">
        <v>34</v>
      </c>
    </row>
    <row r="564" spans="2:3" x14ac:dyDescent="0.25">
      <c r="B564">
        <v>580</v>
      </c>
      <c r="C564" t="s">
        <v>34</v>
      </c>
    </row>
    <row r="565" spans="2:3" x14ac:dyDescent="0.25">
      <c r="B565">
        <v>500</v>
      </c>
      <c r="C565" t="s">
        <v>34</v>
      </c>
    </row>
    <row r="566" spans="2:3" x14ac:dyDescent="0.25">
      <c r="B566">
        <v>429</v>
      </c>
      <c r="C566" t="s">
        <v>34</v>
      </c>
    </row>
    <row r="567" spans="2:3" x14ac:dyDescent="0.25">
      <c r="B567">
        <v>404</v>
      </c>
      <c r="C567" t="s">
        <v>34</v>
      </c>
    </row>
    <row r="568" spans="2:3" x14ac:dyDescent="0.25">
      <c r="B568">
        <v>546</v>
      </c>
      <c r="C568" t="s">
        <v>34</v>
      </c>
    </row>
    <row r="569" spans="2:3" x14ac:dyDescent="0.25">
      <c r="B569">
        <v>445</v>
      </c>
      <c r="C569" t="s">
        <v>34</v>
      </c>
    </row>
    <row r="570" spans="2:3" x14ac:dyDescent="0.25">
      <c r="B570">
        <v>431</v>
      </c>
      <c r="C570" t="s">
        <v>34</v>
      </c>
    </row>
    <row r="571" spans="2:3" x14ac:dyDescent="0.25">
      <c r="B571">
        <v>522</v>
      </c>
      <c r="C571" t="s">
        <v>34</v>
      </c>
    </row>
    <row r="572" spans="2:3" x14ac:dyDescent="0.25">
      <c r="B572">
        <v>419</v>
      </c>
      <c r="C572" t="s">
        <v>34</v>
      </c>
    </row>
    <row r="573" spans="2:3" x14ac:dyDescent="0.25">
      <c r="B573">
        <v>518</v>
      </c>
      <c r="C573" t="s">
        <v>34</v>
      </c>
    </row>
    <row r="574" spans="2:3" x14ac:dyDescent="0.25">
      <c r="B574">
        <v>385</v>
      </c>
      <c r="C574" t="s">
        <v>34</v>
      </c>
    </row>
    <row r="575" spans="2:3" x14ac:dyDescent="0.25">
      <c r="B575">
        <v>475</v>
      </c>
      <c r="C575" t="s">
        <v>34</v>
      </c>
    </row>
    <row r="576" spans="2:3" x14ac:dyDescent="0.25">
      <c r="B576">
        <v>492</v>
      </c>
      <c r="C576" t="s">
        <v>25</v>
      </c>
    </row>
    <row r="577" spans="2:3" x14ac:dyDescent="0.25">
      <c r="B577">
        <v>467</v>
      </c>
      <c r="C577" t="s">
        <v>25</v>
      </c>
    </row>
    <row r="578" spans="2:3" x14ac:dyDescent="0.25">
      <c r="B578">
        <v>532</v>
      </c>
      <c r="C578" t="s">
        <v>25</v>
      </c>
    </row>
    <row r="579" spans="2:3" x14ac:dyDescent="0.25">
      <c r="B579">
        <v>472</v>
      </c>
      <c r="C579" t="s">
        <v>25</v>
      </c>
    </row>
    <row r="580" spans="2:3" x14ac:dyDescent="0.25">
      <c r="B580">
        <v>541</v>
      </c>
      <c r="C580" t="s">
        <v>25</v>
      </c>
    </row>
    <row r="581" spans="2:3" x14ac:dyDescent="0.25">
      <c r="B581">
        <v>515</v>
      </c>
      <c r="C581" t="s">
        <v>25</v>
      </c>
    </row>
    <row r="582" spans="2:3" x14ac:dyDescent="0.25">
      <c r="B582">
        <v>531</v>
      </c>
      <c r="C582" t="s">
        <v>25</v>
      </c>
    </row>
    <row r="583" spans="2:3" x14ac:dyDescent="0.25">
      <c r="B583">
        <v>441</v>
      </c>
      <c r="C583" t="s">
        <v>25</v>
      </c>
    </row>
    <row r="584" spans="2:3" x14ac:dyDescent="0.25">
      <c r="B584">
        <v>507</v>
      </c>
      <c r="C584" t="s">
        <v>25</v>
      </c>
    </row>
    <row r="585" spans="2:3" x14ac:dyDescent="0.25">
      <c r="B585">
        <v>497</v>
      </c>
      <c r="C585" t="s">
        <v>25</v>
      </c>
    </row>
    <row r="586" spans="2:3" x14ac:dyDescent="0.25">
      <c r="B586">
        <v>443</v>
      </c>
      <c r="C586" t="s">
        <v>25</v>
      </c>
    </row>
    <row r="587" spans="2:3" x14ac:dyDescent="0.25">
      <c r="B587">
        <v>510</v>
      </c>
      <c r="C587" t="s">
        <v>25</v>
      </c>
    </row>
    <row r="588" spans="2:3" x14ac:dyDescent="0.25">
      <c r="B588">
        <v>590</v>
      </c>
      <c r="C588" t="s">
        <v>25</v>
      </c>
    </row>
    <row r="589" spans="2:3" x14ac:dyDescent="0.25">
      <c r="B589">
        <v>547</v>
      </c>
      <c r="C589" t="s">
        <v>25</v>
      </c>
    </row>
    <row r="590" spans="2:3" x14ac:dyDescent="0.25">
      <c r="B590">
        <v>480</v>
      </c>
      <c r="C590" t="s">
        <v>25</v>
      </c>
    </row>
    <row r="591" spans="2:3" x14ac:dyDescent="0.25">
      <c r="B591">
        <v>556</v>
      </c>
      <c r="C591" t="s">
        <v>25</v>
      </c>
    </row>
    <row r="592" spans="2:3" x14ac:dyDescent="0.25">
      <c r="B592">
        <v>357</v>
      </c>
      <c r="C592" t="s">
        <v>25</v>
      </c>
    </row>
    <row r="593" spans="2:3" x14ac:dyDescent="0.25">
      <c r="B593">
        <v>506</v>
      </c>
      <c r="C593" t="s">
        <v>25</v>
      </c>
    </row>
    <row r="594" spans="2:3" x14ac:dyDescent="0.25">
      <c r="B594">
        <v>486</v>
      </c>
      <c r="C594" t="s">
        <v>25</v>
      </c>
    </row>
    <row r="595" spans="2:3" x14ac:dyDescent="0.25">
      <c r="B595">
        <v>499</v>
      </c>
      <c r="C595" t="s">
        <v>25</v>
      </c>
    </row>
    <row r="596" spans="2:3" x14ac:dyDescent="0.25">
      <c r="B596">
        <v>337</v>
      </c>
      <c r="C596" t="s">
        <v>25</v>
      </c>
    </row>
    <row r="597" spans="2:3" x14ac:dyDescent="0.25">
      <c r="B597">
        <v>403</v>
      </c>
      <c r="C597" t="s">
        <v>25</v>
      </c>
    </row>
    <row r="598" spans="2:3" x14ac:dyDescent="0.25">
      <c r="B598">
        <v>501</v>
      </c>
      <c r="C598" t="s">
        <v>25</v>
      </c>
    </row>
    <row r="599" spans="2:3" x14ac:dyDescent="0.25">
      <c r="B599">
        <v>597</v>
      </c>
      <c r="C599" t="s">
        <v>25</v>
      </c>
    </row>
    <row r="600" spans="2:3" x14ac:dyDescent="0.25">
      <c r="B600">
        <v>348</v>
      </c>
      <c r="C600" t="s">
        <v>25</v>
      </c>
    </row>
    <row r="601" spans="2:3" x14ac:dyDescent="0.25">
      <c r="B601">
        <v>461</v>
      </c>
      <c r="C601" t="s">
        <v>25</v>
      </c>
    </row>
    <row r="602" spans="2:3" x14ac:dyDescent="0.25">
      <c r="B602">
        <v>392</v>
      </c>
      <c r="C602" t="s">
        <v>25</v>
      </c>
    </row>
    <row r="603" spans="2:3" x14ac:dyDescent="0.25">
      <c r="B603">
        <v>355</v>
      </c>
      <c r="C603" t="s">
        <v>25</v>
      </c>
    </row>
    <row r="604" spans="2:3" x14ac:dyDescent="0.25">
      <c r="B604">
        <v>562</v>
      </c>
      <c r="C604" t="s">
        <v>25</v>
      </c>
    </row>
    <row r="605" spans="2:3" x14ac:dyDescent="0.25">
      <c r="B605">
        <v>388</v>
      </c>
      <c r="C605" t="s">
        <v>25</v>
      </c>
    </row>
    <row r="606" spans="2:3" x14ac:dyDescent="0.25">
      <c r="B606">
        <v>533</v>
      </c>
      <c r="C606" t="s">
        <v>25</v>
      </c>
    </row>
    <row r="607" spans="2:3" x14ac:dyDescent="0.25">
      <c r="B607">
        <v>389</v>
      </c>
      <c r="C607" t="s">
        <v>25</v>
      </c>
    </row>
    <row r="608" spans="2:3" x14ac:dyDescent="0.25">
      <c r="B608">
        <v>493</v>
      </c>
      <c r="C608" t="s">
        <v>25</v>
      </c>
    </row>
    <row r="609" spans="2:3" x14ac:dyDescent="0.25">
      <c r="B609">
        <v>373</v>
      </c>
      <c r="C609" t="s">
        <v>25</v>
      </c>
    </row>
    <row r="610" spans="2:3" x14ac:dyDescent="0.25">
      <c r="B610">
        <v>416</v>
      </c>
      <c r="C610" t="s">
        <v>25</v>
      </c>
    </row>
    <row r="611" spans="2:3" x14ac:dyDescent="0.25">
      <c r="B611">
        <v>470</v>
      </c>
      <c r="C611" t="s">
        <v>25</v>
      </c>
    </row>
    <row r="612" spans="2:3" x14ac:dyDescent="0.25">
      <c r="B612">
        <v>578</v>
      </c>
      <c r="C612" t="s">
        <v>25</v>
      </c>
    </row>
    <row r="613" spans="2:3" x14ac:dyDescent="0.25">
      <c r="B613">
        <v>367</v>
      </c>
      <c r="C613" t="s">
        <v>25</v>
      </c>
    </row>
    <row r="614" spans="2:3" x14ac:dyDescent="0.25">
      <c r="B614">
        <v>540</v>
      </c>
      <c r="C614" t="s">
        <v>25</v>
      </c>
    </row>
    <row r="615" spans="2:3" x14ac:dyDescent="0.25">
      <c r="B615">
        <v>474</v>
      </c>
      <c r="C615" t="s">
        <v>25</v>
      </c>
    </row>
    <row r="616" spans="2:3" x14ac:dyDescent="0.25">
      <c r="B616">
        <v>428</v>
      </c>
      <c r="C616" t="s">
        <v>25</v>
      </c>
    </row>
    <row r="617" spans="2:3" x14ac:dyDescent="0.25">
      <c r="B617">
        <v>481</v>
      </c>
      <c r="C617" t="s">
        <v>25</v>
      </c>
    </row>
    <row r="618" spans="2:3" x14ac:dyDescent="0.25">
      <c r="B618">
        <v>420</v>
      </c>
      <c r="C618" t="s">
        <v>25</v>
      </c>
    </row>
    <row r="619" spans="2:3" x14ac:dyDescent="0.25">
      <c r="B619">
        <v>352</v>
      </c>
      <c r="C619" t="s">
        <v>25</v>
      </c>
    </row>
    <row r="620" spans="2:3" x14ac:dyDescent="0.25">
      <c r="B620">
        <v>448</v>
      </c>
      <c r="C620" t="s">
        <v>25</v>
      </c>
    </row>
    <row r="621" spans="2:3" x14ac:dyDescent="0.25">
      <c r="B621">
        <v>584</v>
      </c>
      <c r="C621" t="s">
        <v>25</v>
      </c>
    </row>
    <row r="622" spans="2:3" x14ac:dyDescent="0.25">
      <c r="B622">
        <v>415</v>
      </c>
      <c r="C622" t="s">
        <v>25</v>
      </c>
    </row>
    <row r="623" spans="2:3" x14ac:dyDescent="0.25">
      <c r="B623">
        <v>588</v>
      </c>
      <c r="C623" t="s">
        <v>25</v>
      </c>
    </row>
    <row r="624" spans="2:3" x14ac:dyDescent="0.25">
      <c r="B624">
        <v>569</v>
      </c>
      <c r="C624" t="s">
        <v>25</v>
      </c>
    </row>
    <row r="625" spans="2:3" x14ac:dyDescent="0.25">
      <c r="B625">
        <v>508</v>
      </c>
      <c r="C625" t="s">
        <v>25</v>
      </c>
    </row>
    <row r="626" spans="2:3" x14ac:dyDescent="0.25">
      <c r="B626">
        <v>557</v>
      </c>
      <c r="C626" t="s">
        <v>25</v>
      </c>
    </row>
    <row r="627" spans="2:3" x14ac:dyDescent="0.25">
      <c r="B627">
        <v>603</v>
      </c>
      <c r="C627" t="s">
        <v>25</v>
      </c>
    </row>
    <row r="628" spans="2:3" x14ac:dyDescent="0.25">
      <c r="B628">
        <v>410</v>
      </c>
      <c r="C628" t="s">
        <v>25</v>
      </c>
    </row>
    <row r="629" spans="2:3" x14ac:dyDescent="0.25">
      <c r="B629">
        <v>334</v>
      </c>
      <c r="C629" t="s">
        <v>25</v>
      </c>
    </row>
    <row r="630" spans="2:3" x14ac:dyDescent="0.25">
      <c r="B630">
        <v>478</v>
      </c>
      <c r="C630" t="s">
        <v>25</v>
      </c>
    </row>
    <row r="631" spans="2:3" x14ac:dyDescent="0.25">
      <c r="B631">
        <v>605</v>
      </c>
      <c r="C631" t="s">
        <v>33</v>
      </c>
    </row>
    <row r="632" spans="2:3" x14ac:dyDescent="0.25">
      <c r="B632">
        <v>606</v>
      </c>
      <c r="C632" t="s">
        <v>33</v>
      </c>
    </row>
    <row r="633" spans="2:3" x14ac:dyDescent="0.25">
      <c r="B633">
        <v>604</v>
      </c>
      <c r="C633" t="s">
        <v>33</v>
      </c>
    </row>
    <row r="634" spans="2:3" x14ac:dyDescent="0.25">
      <c r="B634">
        <v>608</v>
      </c>
      <c r="C634" t="s">
        <v>33</v>
      </c>
    </row>
    <row r="635" spans="2:3" x14ac:dyDescent="0.25">
      <c r="B635">
        <v>607</v>
      </c>
      <c r="C635" t="s">
        <v>34</v>
      </c>
    </row>
    <row r="636" spans="2:3" x14ac:dyDescent="0.25">
      <c r="B636">
        <v>609</v>
      </c>
      <c r="C636" t="s">
        <v>33</v>
      </c>
    </row>
    <row r="637" spans="2:3" x14ac:dyDescent="0.25">
      <c r="B637">
        <v>612</v>
      </c>
      <c r="C637" t="s">
        <v>33</v>
      </c>
    </row>
    <row r="638" spans="2:3" x14ac:dyDescent="0.25">
      <c r="B638">
        <v>616</v>
      </c>
      <c r="C638" t="s">
        <v>33</v>
      </c>
    </row>
    <row r="639" spans="2:3" x14ac:dyDescent="0.25">
      <c r="B639">
        <v>611</v>
      </c>
      <c r="C639" t="s">
        <v>33</v>
      </c>
    </row>
    <row r="640" spans="2:3" x14ac:dyDescent="0.25">
      <c r="B640">
        <v>617</v>
      </c>
      <c r="C640" t="s">
        <v>33</v>
      </c>
    </row>
    <row r="641" spans="2:3" x14ac:dyDescent="0.25">
      <c r="B641">
        <v>613</v>
      </c>
      <c r="C641" t="s">
        <v>33</v>
      </c>
    </row>
    <row r="642" spans="2:3" x14ac:dyDescent="0.25">
      <c r="B642">
        <v>618</v>
      </c>
      <c r="C642" t="s">
        <v>33</v>
      </c>
    </row>
    <row r="643" spans="2:3" x14ac:dyDescent="0.25">
      <c r="B643">
        <v>615</v>
      </c>
      <c r="C643" t="s">
        <v>34</v>
      </c>
    </row>
    <row r="644" spans="2:3" x14ac:dyDescent="0.25">
      <c r="B644">
        <v>610</v>
      </c>
      <c r="C644" t="s">
        <v>25</v>
      </c>
    </row>
    <row r="645" spans="2:3" x14ac:dyDescent="0.25">
      <c r="B645">
        <v>614</v>
      </c>
      <c r="C645" t="s">
        <v>25</v>
      </c>
    </row>
    <row r="646" spans="2:3" x14ac:dyDescent="0.25">
      <c r="B646">
        <v>620</v>
      </c>
      <c r="C646" t="s">
        <v>33</v>
      </c>
    </row>
    <row r="647" spans="2:3" x14ac:dyDescent="0.25">
      <c r="B647">
        <v>621</v>
      </c>
      <c r="C647" t="s">
        <v>33</v>
      </c>
    </row>
    <row r="648" spans="2:3" x14ac:dyDescent="0.25">
      <c r="B648">
        <v>622</v>
      </c>
      <c r="C648" t="s">
        <v>33</v>
      </c>
    </row>
    <row r="649" spans="2:3" x14ac:dyDescent="0.25">
      <c r="B649">
        <v>619</v>
      </c>
      <c r="C649" t="s">
        <v>33</v>
      </c>
    </row>
    <row r="650" spans="2:3" x14ac:dyDescent="0.25">
      <c r="B650">
        <v>624</v>
      </c>
      <c r="C650" t="s">
        <v>34</v>
      </c>
    </row>
    <row r="651" spans="2:3" x14ac:dyDescent="0.25">
      <c r="B651">
        <v>623</v>
      </c>
      <c r="C651" t="s">
        <v>25</v>
      </c>
    </row>
    <row r="652" spans="2:3" x14ac:dyDescent="0.25">
      <c r="B652">
        <v>634</v>
      </c>
      <c r="C652" t="s">
        <v>33</v>
      </c>
    </row>
    <row r="653" spans="2:3" x14ac:dyDescent="0.25">
      <c r="B653">
        <v>642</v>
      </c>
      <c r="C653" t="s">
        <v>33</v>
      </c>
    </row>
    <row r="654" spans="2:3" x14ac:dyDescent="0.25">
      <c r="B654">
        <v>630</v>
      </c>
      <c r="C654" t="s">
        <v>33</v>
      </c>
    </row>
    <row r="655" spans="2:3" x14ac:dyDescent="0.25">
      <c r="B655">
        <v>628</v>
      </c>
      <c r="C655" t="s">
        <v>33</v>
      </c>
    </row>
    <row r="656" spans="2:3" x14ac:dyDescent="0.25">
      <c r="B656">
        <v>637</v>
      </c>
      <c r="C656" t="s">
        <v>33</v>
      </c>
    </row>
    <row r="657" spans="2:3" x14ac:dyDescent="0.25">
      <c r="B657">
        <v>631</v>
      </c>
      <c r="C657" t="s">
        <v>33</v>
      </c>
    </row>
    <row r="658" spans="2:3" x14ac:dyDescent="0.25">
      <c r="B658">
        <v>639</v>
      </c>
      <c r="C658" t="s">
        <v>33</v>
      </c>
    </row>
    <row r="659" spans="2:3" x14ac:dyDescent="0.25">
      <c r="B659">
        <v>633</v>
      </c>
      <c r="C659" t="s">
        <v>33</v>
      </c>
    </row>
    <row r="660" spans="2:3" x14ac:dyDescent="0.25">
      <c r="B660">
        <v>636</v>
      </c>
      <c r="C660" t="s">
        <v>33</v>
      </c>
    </row>
    <row r="661" spans="2:3" x14ac:dyDescent="0.25">
      <c r="B661">
        <v>629</v>
      </c>
      <c r="C661" t="s">
        <v>33</v>
      </c>
    </row>
    <row r="662" spans="2:3" x14ac:dyDescent="0.25">
      <c r="B662">
        <v>635</v>
      </c>
      <c r="C662" t="s">
        <v>33</v>
      </c>
    </row>
    <row r="663" spans="2:3" x14ac:dyDescent="0.25">
      <c r="B663">
        <v>632</v>
      </c>
      <c r="C663" t="s">
        <v>33</v>
      </c>
    </row>
    <row r="664" spans="2:3" x14ac:dyDescent="0.25">
      <c r="B664">
        <v>626</v>
      </c>
      <c r="C664" t="s">
        <v>33</v>
      </c>
    </row>
    <row r="665" spans="2:3" x14ac:dyDescent="0.25">
      <c r="B665">
        <v>640</v>
      </c>
      <c r="C665" t="s">
        <v>34</v>
      </c>
    </row>
    <row r="666" spans="2:3" x14ac:dyDescent="0.25">
      <c r="B666">
        <v>627</v>
      </c>
      <c r="C666" t="s">
        <v>34</v>
      </c>
    </row>
    <row r="667" spans="2:3" x14ac:dyDescent="0.25">
      <c r="B667">
        <v>638</v>
      </c>
      <c r="C667" t="s">
        <v>25</v>
      </c>
    </row>
    <row r="668" spans="2:3" x14ac:dyDescent="0.25">
      <c r="B668">
        <v>625</v>
      </c>
      <c r="C668" t="s">
        <v>25</v>
      </c>
    </row>
    <row r="669" spans="2:3" x14ac:dyDescent="0.25">
      <c r="B669">
        <v>641</v>
      </c>
      <c r="C669" t="s">
        <v>25</v>
      </c>
    </row>
    <row r="670" spans="2:3" x14ac:dyDescent="0.25">
      <c r="B670">
        <v>644</v>
      </c>
      <c r="C670" t="s">
        <v>33</v>
      </c>
    </row>
    <row r="671" spans="2:3" x14ac:dyDescent="0.25">
      <c r="B671">
        <v>646</v>
      </c>
      <c r="C671" t="s">
        <v>33</v>
      </c>
    </row>
    <row r="672" spans="2:3" x14ac:dyDescent="0.25">
      <c r="B672">
        <v>643</v>
      </c>
      <c r="C672" t="s">
        <v>33</v>
      </c>
    </row>
    <row r="673" spans="2:3" x14ac:dyDescent="0.25">
      <c r="B673">
        <v>645</v>
      </c>
      <c r="C673" t="s">
        <v>25</v>
      </c>
    </row>
    <row r="674" spans="2:3" x14ac:dyDescent="0.25">
      <c r="B674">
        <v>681</v>
      </c>
      <c r="C674" t="s">
        <v>33</v>
      </c>
    </row>
    <row r="675" spans="2:3" x14ac:dyDescent="0.25">
      <c r="B675">
        <v>760</v>
      </c>
      <c r="C675" t="s">
        <v>33</v>
      </c>
    </row>
    <row r="676" spans="2:3" x14ac:dyDescent="0.25">
      <c r="B676">
        <v>698</v>
      </c>
      <c r="C676" t="s">
        <v>33</v>
      </c>
    </row>
    <row r="677" spans="2:3" x14ac:dyDescent="0.25">
      <c r="B677">
        <v>757</v>
      </c>
      <c r="C677" t="s">
        <v>33</v>
      </c>
    </row>
    <row r="678" spans="2:3" x14ac:dyDescent="0.25">
      <c r="B678">
        <v>658</v>
      </c>
      <c r="C678" t="s">
        <v>33</v>
      </c>
    </row>
    <row r="679" spans="2:3" x14ac:dyDescent="0.25">
      <c r="B679">
        <v>725</v>
      </c>
      <c r="C679" t="s">
        <v>33</v>
      </c>
    </row>
    <row r="680" spans="2:3" x14ac:dyDescent="0.25">
      <c r="B680">
        <v>752</v>
      </c>
      <c r="C680" t="s">
        <v>33</v>
      </c>
    </row>
    <row r="681" spans="2:3" x14ac:dyDescent="0.25">
      <c r="B681">
        <v>762</v>
      </c>
      <c r="C681" t="s">
        <v>33</v>
      </c>
    </row>
    <row r="682" spans="2:3" x14ac:dyDescent="0.25">
      <c r="B682">
        <v>738</v>
      </c>
      <c r="C682" t="s">
        <v>33</v>
      </c>
    </row>
    <row r="683" spans="2:3" x14ac:dyDescent="0.25">
      <c r="B683">
        <v>774</v>
      </c>
      <c r="C683" t="s">
        <v>33</v>
      </c>
    </row>
    <row r="684" spans="2:3" x14ac:dyDescent="0.25">
      <c r="B684">
        <v>733</v>
      </c>
      <c r="C684" t="s">
        <v>33</v>
      </c>
    </row>
    <row r="685" spans="2:3" x14ac:dyDescent="0.25">
      <c r="B685">
        <v>652</v>
      </c>
      <c r="C685" t="s">
        <v>33</v>
      </c>
    </row>
    <row r="686" spans="2:3" x14ac:dyDescent="0.25">
      <c r="B686">
        <v>686</v>
      </c>
      <c r="C686" t="s">
        <v>33</v>
      </c>
    </row>
    <row r="687" spans="2:3" x14ac:dyDescent="0.25">
      <c r="B687">
        <v>739</v>
      </c>
      <c r="C687" t="s">
        <v>33</v>
      </c>
    </row>
    <row r="688" spans="2:3" x14ac:dyDescent="0.25">
      <c r="B688">
        <v>701</v>
      </c>
      <c r="C688" t="s">
        <v>33</v>
      </c>
    </row>
    <row r="689" spans="2:3" x14ac:dyDescent="0.25">
      <c r="B689">
        <v>710</v>
      </c>
      <c r="C689" t="s">
        <v>33</v>
      </c>
    </row>
    <row r="690" spans="2:3" x14ac:dyDescent="0.25">
      <c r="B690">
        <v>690</v>
      </c>
      <c r="C690" t="s">
        <v>33</v>
      </c>
    </row>
    <row r="691" spans="2:3" x14ac:dyDescent="0.25">
      <c r="B691">
        <v>755</v>
      </c>
      <c r="C691" t="s">
        <v>33</v>
      </c>
    </row>
    <row r="692" spans="2:3" x14ac:dyDescent="0.25">
      <c r="B692">
        <v>680</v>
      </c>
      <c r="C692" t="s">
        <v>33</v>
      </c>
    </row>
    <row r="693" spans="2:3" x14ac:dyDescent="0.25">
      <c r="B693">
        <v>696</v>
      </c>
      <c r="C693" t="s">
        <v>33</v>
      </c>
    </row>
    <row r="694" spans="2:3" x14ac:dyDescent="0.25">
      <c r="B694">
        <v>693</v>
      </c>
      <c r="C694" t="s">
        <v>33</v>
      </c>
    </row>
    <row r="695" spans="2:3" x14ac:dyDescent="0.25">
      <c r="B695">
        <v>780</v>
      </c>
      <c r="C695" t="s">
        <v>33</v>
      </c>
    </row>
    <row r="696" spans="2:3" x14ac:dyDescent="0.25">
      <c r="B696">
        <v>705</v>
      </c>
      <c r="C696" t="s">
        <v>33</v>
      </c>
    </row>
    <row r="697" spans="2:3" x14ac:dyDescent="0.25">
      <c r="B697">
        <v>754</v>
      </c>
      <c r="C697" t="s">
        <v>33</v>
      </c>
    </row>
    <row r="698" spans="2:3" x14ac:dyDescent="0.25">
      <c r="B698">
        <v>735</v>
      </c>
      <c r="C698" t="s">
        <v>33</v>
      </c>
    </row>
    <row r="699" spans="2:3" x14ac:dyDescent="0.25">
      <c r="B699">
        <v>777</v>
      </c>
      <c r="C699" t="s">
        <v>33</v>
      </c>
    </row>
    <row r="700" spans="2:3" x14ac:dyDescent="0.25">
      <c r="B700">
        <v>775</v>
      </c>
      <c r="C700" t="s">
        <v>33</v>
      </c>
    </row>
    <row r="701" spans="2:3" x14ac:dyDescent="0.25">
      <c r="B701">
        <v>697</v>
      </c>
      <c r="C701" t="s">
        <v>33</v>
      </c>
    </row>
    <row r="702" spans="2:3" x14ac:dyDescent="0.25">
      <c r="B702">
        <v>651</v>
      </c>
      <c r="C702" t="s">
        <v>33</v>
      </c>
    </row>
    <row r="703" spans="2:3" x14ac:dyDescent="0.25">
      <c r="B703">
        <v>649</v>
      </c>
      <c r="C703" t="s">
        <v>33</v>
      </c>
    </row>
    <row r="704" spans="2:3" x14ac:dyDescent="0.25">
      <c r="B704">
        <v>765</v>
      </c>
      <c r="C704" t="s">
        <v>33</v>
      </c>
    </row>
    <row r="705" spans="2:3" x14ac:dyDescent="0.25">
      <c r="B705">
        <v>732</v>
      </c>
      <c r="C705" t="s">
        <v>33</v>
      </c>
    </row>
    <row r="706" spans="2:3" x14ac:dyDescent="0.25">
      <c r="B706">
        <v>665</v>
      </c>
      <c r="C706" t="s">
        <v>33</v>
      </c>
    </row>
    <row r="707" spans="2:3" x14ac:dyDescent="0.25">
      <c r="B707">
        <v>716</v>
      </c>
      <c r="C707" t="s">
        <v>33</v>
      </c>
    </row>
    <row r="708" spans="2:3" x14ac:dyDescent="0.25">
      <c r="B708">
        <v>653</v>
      </c>
      <c r="C708" t="s">
        <v>33</v>
      </c>
    </row>
    <row r="709" spans="2:3" x14ac:dyDescent="0.25">
      <c r="B709">
        <v>702</v>
      </c>
      <c r="C709" t="s">
        <v>33</v>
      </c>
    </row>
    <row r="710" spans="2:3" x14ac:dyDescent="0.25">
      <c r="B710">
        <v>744</v>
      </c>
      <c r="C710" t="s">
        <v>33</v>
      </c>
    </row>
    <row r="711" spans="2:3" x14ac:dyDescent="0.25">
      <c r="B711">
        <v>776</v>
      </c>
      <c r="C711" t="s">
        <v>33</v>
      </c>
    </row>
    <row r="712" spans="2:3" x14ac:dyDescent="0.25">
      <c r="B712">
        <v>768</v>
      </c>
      <c r="C712" t="s">
        <v>33</v>
      </c>
    </row>
    <row r="713" spans="2:3" x14ac:dyDescent="0.25">
      <c r="B713">
        <v>661</v>
      </c>
      <c r="C713" t="s">
        <v>33</v>
      </c>
    </row>
    <row r="714" spans="2:3" x14ac:dyDescent="0.25">
      <c r="B714">
        <v>773</v>
      </c>
      <c r="C714" t="s">
        <v>33</v>
      </c>
    </row>
    <row r="715" spans="2:3" x14ac:dyDescent="0.25">
      <c r="B715">
        <v>667</v>
      </c>
      <c r="C715" t="s">
        <v>33</v>
      </c>
    </row>
    <row r="716" spans="2:3" x14ac:dyDescent="0.25">
      <c r="B716">
        <v>772</v>
      </c>
      <c r="C716" t="s">
        <v>33</v>
      </c>
    </row>
    <row r="717" spans="2:3" x14ac:dyDescent="0.25">
      <c r="B717">
        <v>699</v>
      </c>
      <c r="C717" t="s">
        <v>33</v>
      </c>
    </row>
    <row r="718" spans="2:3" x14ac:dyDescent="0.25">
      <c r="B718">
        <v>662</v>
      </c>
      <c r="C718" t="s">
        <v>33</v>
      </c>
    </row>
    <row r="719" spans="2:3" x14ac:dyDescent="0.25">
      <c r="B719">
        <v>736</v>
      </c>
      <c r="C719" t="s">
        <v>33</v>
      </c>
    </row>
    <row r="720" spans="2:3" x14ac:dyDescent="0.25">
      <c r="B720">
        <v>743</v>
      </c>
      <c r="C720" t="s">
        <v>33</v>
      </c>
    </row>
    <row r="721" spans="2:3" x14ac:dyDescent="0.25">
      <c r="B721">
        <v>713</v>
      </c>
      <c r="C721" t="s">
        <v>33</v>
      </c>
    </row>
    <row r="722" spans="2:3" x14ac:dyDescent="0.25">
      <c r="B722">
        <v>770</v>
      </c>
      <c r="C722" t="s">
        <v>33</v>
      </c>
    </row>
    <row r="723" spans="2:3" x14ac:dyDescent="0.25">
      <c r="B723">
        <v>751</v>
      </c>
      <c r="C723" t="s">
        <v>33</v>
      </c>
    </row>
    <row r="724" spans="2:3" x14ac:dyDescent="0.25">
      <c r="B724">
        <v>749</v>
      </c>
      <c r="C724" t="s">
        <v>33</v>
      </c>
    </row>
    <row r="725" spans="2:3" x14ac:dyDescent="0.25">
      <c r="B725">
        <v>655</v>
      </c>
      <c r="C725" t="s">
        <v>33</v>
      </c>
    </row>
    <row r="726" spans="2:3" x14ac:dyDescent="0.25">
      <c r="B726">
        <v>714</v>
      </c>
      <c r="C726" t="s">
        <v>33</v>
      </c>
    </row>
    <row r="727" spans="2:3" x14ac:dyDescent="0.25">
      <c r="B727">
        <v>669</v>
      </c>
      <c r="C727" t="s">
        <v>33</v>
      </c>
    </row>
    <row r="728" spans="2:3" x14ac:dyDescent="0.25">
      <c r="B728">
        <v>675</v>
      </c>
      <c r="C728" t="s">
        <v>33</v>
      </c>
    </row>
    <row r="729" spans="2:3" x14ac:dyDescent="0.25">
      <c r="B729">
        <v>707</v>
      </c>
      <c r="C729" t="s">
        <v>33</v>
      </c>
    </row>
    <row r="730" spans="2:3" x14ac:dyDescent="0.25">
      <c r="B730">
        <v>664</v>
      </c>
      <c r="C730" t="s">
        <v>33</v>
      </c>
    </row>
    <row r="731" spans="2:3" x14ac:dyDescent="0.25">
      <c r="B731">
        <v>673</v>
      </c>
      <c r="C731" t="s">
        <v>33</v>
      </c>
    </row>
    <row r="732" spans="2:3" x14ac:dyDescent="0.25">
      <c r="B732">
        <v>672</v>
      </c>
      <c r="C732" t="s">
        <v>33</v>
      </c>
    </row>
    <row r="733" spans="2:3" x14ac:dyDescent="0.25">
      <c r="B733">
        <v>706</v>
      </c>
      <c r="C733" t="s">
        <v>33</v>
      </c>
    </row>
    <row r="734" spans="2:3" x14ac:dyDescent="0.25">
      <c r="B734">
        <v>691</v>
      </c>
      <c r="C734" t="s">
        <v>33</v>
      </c>
    </row>
    <row r="735" spans="2:3" x14ac:dyDescent="0.25">
      <c r="B735">
        <v>747</v>
      </c>
      <c r="C735" t="s">
        <v>33</v>
      </c>
    </row>
    <row r="736" spans="2:3" x14ac:dyDescent="0.25">
      <c r="B736">
        <v>700</v>
      </c>
      <c r="C736" t="s">
        <v>33</v>
      </c>
    </row>
    <row r="737" spans="2:3" x14ac:dyDescent="0.25">
      <c r="B737">
        <v>737</v>
      </c>
      <c r="C737" t="s">
        <v>33</v>
      </c>
    </row>
    <row r="738" spans="2:3" x14ac:dyDescent="0.25">
      <c r="B738">
        <v>758</v>
      </c>
      <c r="C738" t="s">
        <v>33</v>
      </c>
    </row>
    <row r="739" spans="2:3" x14ac:dyDescent="0.25">
      <c r="B739">
        <v>683</v>
      </c>
      <c r="C739" t="s">
        <v>33</v>
      </c>
    </row>
    <row r="740" spans="2:3" x14ac:dyDescent="0.25">
      <c r="B740">
        <v>718</v>
      </c>
      <c r="C740" t="s">
        <v>33</v>
      </c>
    </row>
    <row r="741" spans="2:3" x14ac:dyDescent="0.25">
      <c r="B741">
        <v>709</v>
      </c>
      <c r="C741" t="s">
        <v>33</v>
      </c>
    </row>
    <row r="742" spans="2:3" x14ac:dyDescent="0.25">
      <c r="B742">
        <v>745</v>
      </c>
      <c r="C742" t="s">
        <v>33</v>
      </c>
    </row>
    <row r="743" spans="2:3" x14ac:dyDescent="0.25">
      <c r="B743">
        <v>731</v>
      </c>
      <c r="C743" t="s">
        <v>33</v>
      </c>
    </row>
    <row r="744" spans="2:3" x14ac:dyDescent="0.25">
      <c r="B744">
        <v>687</v>
      </c>
      <c r="C744" t="s">
        <v>33</v>
      </c>
    </row>
    <row r="745" spans="2:3" x14ac:dyDescent="0.25">
      <c r="B745">
        <v>767</v>
      </c>
      <c r="C745" t="s">
        <v>33</v>
      </c>
    </row>
    <row r="746" spans="2:3" x14ac:dyDescent="0.25">
      <c r="B746">
        <v>728</v>
      </c>
      <c r="C746" t="s">
        <v>33</v>
      </c>
    </row>
    <row r="747" spans="2:3" x14ac:dyDescent="0.25">
      <c r="B747">
        <v>674</v>
      </c>
      <c r="C747" t="s">
        <v>33</v>
      </c>
    </row>
    <row r="748" spans="2:3" x14ac:dyDescent="0.25">
      <c r="B748">
        <v>711</v>
      </c>
      <c r="C748" t="s">
        <v>33</v>
      </c>
    </row>
    <row r="749" spans="2:3" x14ac:dyDescent="0.25">
      <c r="B749">
        <v>740</v>
      </c>
      <c r="C749" t="s">
        <v>33</v>
      </c>
    </row>
    <row r="750" spans="2:3" x14ac:dyDescent="0.25">
      <c r="B750">
        <v>679</v>
      </c>
      <c r="C750" t="s">
        <v>33</v>
      </c>
    </row>
    <row r="751" spans="2:3" x14ac:dyDescent="0.25">
      <c r="B751">
        <v>771</v>
      </c>
      <c r="C751" t="s">
        <v>33</v>
      </c>
    </row>
    <row r="752" spans="2:3" x14ac:dyDescent="0.25">
      <c r="B752">
        <v>685</v>
      </c>
      <c r="C752" t="s">
        <v>33</v>
      </c>
    </row>
    <row r="753" spans="2:3" x14ac:dyDescent="0.25">
      <c r="B753">
        <v>670</v>
      </c>
      <c r="C753" t="s">
        <v>33</v>
      </c>
    </row>
    <row r="754" spans="2:3" x14ac:dyDescent="0.25">
      <c r="B754">
        <v>656</v>
      </c>
      <c r="C754" t="s">
        <v>33</v>
      </c>
    </row>
    <row r="755" spans="2:3" x14ac:dyDescent="0.25">
      <c r="B755">
        <v>648</v>
      </c>
      <c r="C755" t="s">
        <v>33</v>
      </c>
    </row>
    <row r="756" spans="2:3" x14ac:dyDescent="0.25">
      <c r="B756">
        <v>741</v>
      </c>
      <c r="C756" t="s">
        <v>33</v>
      </c>
    </row>
    <row r="757" spans="2:3" x14ac:dyDescent="0.25">
      <c r="B757">
        <v>717</v>
      </c>
      <c r="C757" t="s">
        <v>33</v>
      </c>
    </row>
    <row r="758" spans="2:3" x14ac:dyDescent="0.25">
      <c r="B758">
        <v>668</v>
      </c>
      <c r="C758" t="s">
        <v>33</v>
      </c>
    </row>
    <row r="759" spans="2:3" x14ac:dyDescent="0.25">
      <c r="B759">
        <v>720</v>
      </c>
      <c r="C759" t="s">
        <v>33</v>
      </c>
    </row>
    <row r="760" spans="2:3" x14ac:dyDescent="0.25">
      <c r="B760">
        <v>692</v>
      </c>
      <c r="C760" t="s">
        <v>33</v>
      </c>
    </row>
    <row r="761" spans="2:3" x14ac:dyDescent="0.25">
      <c r="B761">
        <v>677</v>
      </c>
      <c r="C761" t="s">
        <v>33</v>
      </c>
    </row>
    <row r="762" spans="2:3" x14ac:dyDescent="0.25">
      <c r="B762">
        <v>712</v>
      </c>
      <c r="C762" t="s">
        <v>33</v>
      </c>
    </row>
    <row r="763" spans="2:3" x14ac:dyDescent="0.25">
      <c r="B763">
        <v>678</v>
      </c>
      <c r="C763" t="s">
        <v>33</v>
      </c>
    </row>
    <row r="764" spans="2:3" x14ac:dyDescent="0.25">
      <c r="B764">
        <v>689</v>
      </c>
      <c r="C764" t="s">
        <v>33</v>
      </c>
    </row>
    <row r="765" spans="2:3" x14ac:dyDescent="0.25">
      <c r="B765">
        <v>660</v>
      </c>
      <c r="C765" t="s">
        <v>33</v>
      </c>
    </row>
    <row r="766" spans="2:3" x14ac:dyDescent="0.25">
      <c r="B766">
        <v>657</v>
      </c>
      <c r="C766" t="s">
        <v>33</v>
      </c>
    </row>
    <row r="767" spans="2:3" x14ac:dyDescent="0.25">
      <c r="B767">
        <v>650</v>
      </c>
      <c r="C767" t="s">
        <v>33</v>
      </c>
    </row>
    <row r="768" spans="2:3" x14ac:dyDescent="0.25">
      <c r="B768">
        <v>726</v>
      </c>
      <c r="C768" t="s">
        <v>34</v>
      </c>
    </row>
    <row r="769" spans="2:3" x14ac:dyDescent="0.25">
      <c r="B769">
        <v>723</v>
      </c>
      <c r="C769" t="s">
        <v>34</v>
      </c>
    </row>
    <row r="770" spans="2:3" x14ac:dyDescent="0.25">
      <c r="B770">
        <v>750</v>
      </c>
      <c r="C770" t="s">
        <v>34</v>
      </c>
    </row>
    <row r="771" spans="2:3" x14ac:dyDescent="0.25">
      <c r="B771">
        <v>722</v>
      </c>
      <c r="C771" t="s">
        <v>34</v>
      </c>
    </row>
    <row r="772" spans="2:3" x14ac:dyDescent="0.25">
      <c r="B772">
        <v>682</v>
      </c>
      <c r="C772" t="s">
        <v>34</v>
      </c>
    </row>
    <row r="773" spans="2:3" x14ac:dyDescent="0.25">
      <c r="B773">
        <v>663</v>
      </c>
      <c r="C773" t="s">
        <v>34</v>
      </c>
    </row>
    <row r="774" spans="2:3" x14ac:dyDescent="0.25">
      <c r="B774">
        <v>742</v>
      </c>
      <c r="C774" t="s">
        <v>34</v>
      </c>
    </row>
    <row r="775" spans="2:3" x14ac:dyDescent="0.25">
      <c r="B775">
        <v>729</v>
      </c>
      <c r="C775" t="s">
        <v>34</v>
      </c>
    </row>
    <row r="776" spans="2:3" x14ac:dyDescent="0.25">
      <c r="B776">
        <v>727</v>
      </c>
      <c r="C776" t="s">
        <v>34</v>
      </c>
    </row>
    <row r="777" spans="2:3" x14ac:dyDescent="0.25">
      <c r="B777">
        <v>684</v>
      </c>
      <c r="C777" t="s">
        <v>34</v>
      </c>
    </row>
    <row r="778" spans="2:3" x14ac:dyDescent="0.25">
      <c r="B778">
        <v>756</v>
      </c>
      <c r="C778" t="s">
        <v>34</v>
      </c>
    </row>
    <row r="779" spans="2:3" x14ac:dyDescent="0.25">
      <c r="B779">
        <v>761</v>
      </c>
      <c r="C779" t="s">
        <v>34</v>
      </c>
    </row>
    <row r="780" spans="2:3" x14ac:dyDescent="0.25">
      <c r="B780">
        <v>704</v>
      </c>
      <c r="C780" t="s">
        <v>34</v>
      </c>
    </row>
    <row r="781" spans="2:3" x14ac:dyDescent="0.25">
      <c r="B781">
        <v>748</v>
      </c>
      <c r="C781" t="s">
        <v>25</v>
      </c>
    </row>
    <row r="782" spans="2:3" x14ac:dyDescent="0.25">
      <c r="B782">
        <v>719</v>
      </c>
      <c r="C782" t="s">
        <v>25</v>
      </c>
    </row>
    <row r="783" spans="2:3" x14ac:dyDescent="0.25">
      <c r="B783">
        <v>769</v>
      </c>
      <c r="C783" t="s">
        <v>25</v>
      </c>
    </row>
    <row r="784" spans="2:3" x14ac:dyDescent="0.25">
      <c r="B784">
        <v>654</v>
      </c>
      <c r="C784" t="s">
        <v>25</v>
      </c>
    </row>
    <row r="785" spans="2:3" x14ac:dyDescent="0.25">
      <c r="B785">
        <v>659</v>
      </c>
      <c r="C785" t="s">
        <v>25</v>
      </c>
    </row>
    <row r="786" spans="2:3" x14ac:dyDescent="0.25">
      <c r="B786">
        <v>715</v>
      </c>
      <c r="C786" t="s">
        <v>25</v>
      </c>
    </row>
    <row r="787" spans="2:3" x14ac:dyDescent="0.25">
      <c r="B787">
        <v>688</v>
      </c>
      <c r="C787" t="s">
        <v>25</v>
      </c>
    </row>
    <row r="788" spans="2:3" x14ac:dyDescent="0.25">
      <c r="B788">
        <v>708</v>
      </c>
      <c r="C788" t="s">
        <v>25</v>
      </c>
    </row>
    <row r="789" spans="2:3" x14ac:dyDescent="0.25">
      <c r="B789">
        <v>779</v>
      </c>
      <c r="C789" t="s">
        <v>25</v>
      </c>
    </row>
    <row r="790" spans="2:3" x14ac:dyDescent="0.25">
      <c r="B790">
        <v>695</v>
      </c>
      <c r="C790" t="s">
        <v>25</v>
      </c>
    </row>
    <row r="791" spans="2:3" x14ac:dyDescent="0.25">
      <c r="B791">
        <v>778</v>
      </c>
      <c r="C791" t="s">
        <v>25</v>
      </c>
    </row>
    <row r="792" spans="2:3" x14ac:dyDescent="0.25">
      <c r="B792">
        <v>676</v>
      </c>
      <c r="C792" t="s">
        <v>25</v>
      </c>
    </row>
    <row r="793" spans="2:3" x14ac:dyDescent="0.25">
      <c r="B793">
        <v>764</v>
      </c>
      <c r="C793" t="s">
        <v>25</v>
      </c>
    </row>
    <row r="794" spans="2:3" x14ac:dyDescent="0.25">
      <c r="B794">
        <v>746</v>
      </c>
      <c r="C794" t="s">
        <v>25</v>
      </c>
    </row>
    <row r="795" spans="2:3" x14ac:dyDescent="0.25">
      <c r="B795">
        <v>724</v>
      </c>
      <c r="C795" t="s">
        <v>25</v>
      </c>
    </row>
    <row r="796" spans="2:3" x14ac:dyDescent="0.25">
      <c r="B796">
        <v>703</v>
      </c>
      <c r="C796" t="s">
        <v>25</v>
      </c>
    </row>
    <row r="797" spans="2:3" x14ac:dyDescent="0.25">
      <c r="B797">
        <v>694</v>
      </c>
      <c r="C797" t="s">
        <v>25</v>
      </c>
    </row>
    <row r="798" spans="2:3" x14ac:dyDescent="0.25">
      <c r="B798">
        <v>734</v>
      </c>
      <c r="C798" t="s">
        <v>25</v>
      </c>
    </row>
    <row r="799" spans="2:3" x14ac:dyDescent="0.25">
      <c r="B799">
        <v>647</v>
      </c>
      <c r="C799" t="s">
        <v>25</v>
      </c>
    </row>
    <row r="800" spans="2:3" x14ac:dyDescent="0.25">
      <c r="B800">
        <v>721</v>
      </c>
      <c r="C800" t="s">
        <v>25</v>
      </c>
    </row>
    <row r="801" spans="2:3" x14ac:dyDescent="0.25">
      <c r="B801">
        <v>730</v>
      </c>
      <c r="C801" t="s">
        <v>25</v>
      </c>
    </row>
    <row r="802" spans="2:3" x14ac:dyDescent="0.25">
      <c r="B802">
        <v>763</v>
      </c>
      <c r="C802" t="s">
        <v>25</v>
      </c>
    </row>
    <row r="803" spans="2:3" x14ac:dyDescent="0.25">
      <c r="B803">
        <v>766</v>
      </c>
      <c r="C803" t="s">
        <v>25</v>
      </c>
    </row>
    <row r="804" spans="2:3" x14ac:dyDescent="0.25">
      <c r="B804">
        <v>671</v>
      </c>
      <c r="C804" t="s">
        <v>25</v>
      </c>
    </row>
    <row r="805" spans="2:3" x14ac:dyDescent="0.25">
      <c r="B805">
        <v>759</v>
      </c>
      <c r="C805" t="s">
        <v>25</v>
      </c>
    </row>
    <row r="806" spans="2:3" x14ac:dyDescent="0.25">
      <c r="B806">
        <v>666</v>
      </c>
      <c r="C806" t="s">
        <v>25</v>
      </c>
    </row>
    <row r="807" spans="2:3" x14ac:dyDescent="0.25">
      <c r="B807">
        <v>753</v>
      </c>
      <c r="C807" t="s">
        <v>25</v>
      </c>
    </row>
    <row r="808" spans="2:3" x14ac:dyDescent="0.25">
      <c r="B808">
        <v>798</v>
      </c>
      <c r="C808" t="s">
        <v>33</v>
      </c>
    </row>
    <row r="809" spans="2:3" x14ac:dyDescent="0.25">
      <c r="B809">
        <v>885</v>
      </c>
      <c r="C809" t="s">
        <v>33</v>
      </c>
    </row>
    <row r="810" spans="2:3" x14ac:dyDescent="0.25">
      <c r="B810">
        <v>794</v>
      </c>
      <c r="C810" t="s">
        <v>33</v>
      </c>
    </row>
    <row r="811" spans="2:3" x14ac:dyDescent="0.25">
      <c r="B811">
        <v>841</v>
      </c>
      <c r="C811" t="s">
        <v>33</v>
      </c>
    </row>
    <row r="812" spans="2:3" x14ac:dyDescent="0.25">
      <c r="B812">
        <v>805</v>
      </c>
      <c r="C812" t="s">
        <v>33</v>
      </c>
    </row>
    <row r="813" spans="2:3" x14ac:dyDescent="0.25">
      <c r="B813">
        <v>782</v>
      </c>
      <c r="C813" t="s">
        <v>33</v>
      </c>
    </row>
    <row r="814" spans="2:3" x14ac:dyDescent="0.25">
      <c r="B814">
        <v>873</v>
      </c>
      <c r="C814" t="s">
        <v>33</v>
      </c>
    </row>
    <row r="815" spans="2:3" x14ac:dyDescent="0.25">
      <c r="B815">
        <v>817</v>
      </c>
      <c r="C815" t="s">
        <v>33</v>
      </c>
    </row>
    <row r="816" spans="2:3" x14ac:dyDescent="0.25">
      <c r="B816">
        <v>865</v>
      </c>
      <c r="C816" t="s">
        <v>33</v>
      </c>
    </row>
    <row r="817" spans="2:3" x14ac:dyDescent="0.25">
      <c r="B817">
        <v>809</v>
      </c>
      <c r="C817" t="s">
        <v>33</v>
      </c>
    </row>
    <row r="818" spans="2:3" x14ac:dyDescent="0.25">
      <c r="B818">
        <v>818</v>
      </c>
      <c r="C818" t="s">
        <v>33</v>
      </c>
    </row>
    <row r="819" spans="2:3" x14ac:dyDescent="0.25">
      <c r="B819">
        <v>820</v>
      </c>
      <c r="C819" t="s">
        <v>33</v>
      </c>
    </row>
    <row r="820" spans="2:3" x14ac:dyDescent="0.25">
      <c r="B820">
        <v>835</v>
      </c>
      <c r="C820" t="s">
        <v>33</v>
      </c>
    </row>
    <row r="821" spans="2:3" x14ac:dyDescent="0.25">
      <c r="B821">
        <v>845</v>
      </c>
      <c r="C821" t="s">
        <v>33</v>
      </c>
    </row>
    <row r="822" spans="2:3" x14ac:dyDescent="0.25">
      <c r="B822">
        <v>859</v>
      </c>
      <c r="C822" t="s">
        <v>33</v>
      </c>
    </row>
    <row r="823" spans="2:3" x14ac:dyDescent="0.25">
      <c r="B823">
        <v>897</v>
      </c>
      <c r="C823" t="s">
        <v>33</v>
      </c>
    </row>
    <row r="824" spans="2:3" x14ac:dyDescent="0.25">
      <c r="B824">
        <v>839</v>
      </c>
      <c r="C824" t="s">
        <v>33</v>
      </c>
    </row>
    <row r="825" spans="2:3" x14ac:dyDescent="0.25">
      <c r="B825">
        <v>793</v>
      </c>
      <c r="C825" t="s">
        <v>33</v>
      </c>
    </row>
    <row r="826" spans="2:3" x14ac:dyDescent="0.25">
      <c r="B826">
        <v>849</v>
      </c>
      <c r="C826" t="s">
        <v>33</v>
      </c>
    </row>
    <row r="827" spans="2:3" x14ac:dyDescent="0.25">
      <c r="B827">
        <v>788</v>
      </c>
      <c r="C827" t="s">
        <v>33</v>
      </c>
    </row>
    <row r="828" spans="2:3" x14ac:dyDescent="0.25">
      <c r="B828">
        <v>830</v>
      </c>
      <c r="C828" t="s">
        <v>33</v>
      </c>
    </row>
    <row r="829" spans="2:3" x14ac:dyDescent="0.25">
      <c r="B829">
        <v>810</v>
      </c>
      <c r="C829" t="s">
        <v>33</v>
      </c>
    </row>
    <row r="830" spans="2:3" x14ac:dyDescent="0.25">
      <c r="B830">
        <v>781</v>
      </c>
      <c r="C830" t="s">
        <v>33</v>
      </c>
    </row>
    <row r="831" spans="2:3" x14ac:dyDescent="0.25">
      <c r="B831">
        <v>862</v>
      </c>
      <c r="C831" t="s">
        <v>33</v>
      </c>
    </row>
    <row r="832" spans="2:3" x14ac:dyDescent="0.25">
      <c r="B832">
        <v>876</v>
      </c>
      <c r="C832" t="s">
        <v>33</v>
      </c>
    </row>
    <row r="833" spans="2:3" x14ac:dyDescent="0.25">
      <c r="B833">
        <v>860</v>
      </c>
      <c r="C833" t="s">
        <v>33</v>
      </c>
    </row>
    <row r="834" spans="2:3" x14ac:dyDescent="0.25">
      <c r="B834">
        <v>858</v>
      </c>
      <c r="C834" t="s">
        <v>33</v>
      </c>
    </row>
    <row r="835" spans="2:3" x14ac:dyDescent="0.25">
      <c r="B835">
        <v>821</v>
      </c>
      <c r="C835" t="s">
        <v>33</v>
      </c>
    </row>
    <row r="836" spans="2:3" x14ac:dyDescent="0.25">
      <c r="B836">
        <v>832</v>
      </c>
      <c r="C836" t="s">
        <v>33</v>
      </c>
    </row>
    <row r="837" spans="2:3" x14ac:dyDescent="0.25">
      <c r="B837">
        <v>831</v>
      </c>
      <c r="C837" t="s">
        <v>33</v>
      </c>
    </row>
    <row r="838" spans="2:3" x14ac:dyDescent="0.25">
      <c r="B838">
        <v>800</v>
      </c>
      <c r="C838" t="s">
        <v>33</v>
      </c>
    </row>
    <row r="839" spans="2:3" x14ac:dyDescent="0.25">
      <c r="B839">
        <v>815</v>
      </c>
      <c r="C839" t="s">
        <v>33</v>
      </c>
    </row>
    <row r="840" spans="2:3" x14ac:dyDescent="0.25">
      <c r="B840">
        <v>797</v>
      </c>
      <c r="C840" t="s">
        <v>33</v>
      </c>
    </row>
    <row r="841" spans="2:3" x14ac:dyDescent="0.25">
      <c r="B841">
        <v>791</v>
      </c>
      <c r="C841" t="s">
        <v>33</v>
      </c>
    </row>
    <row r="842" spans="2:3" x14ac:dyDescent="0.25">
      <c r="B842">
        <v>823</v>
      </c>
      <c r="C842" t="s">
        <v>33</v>
      </c>
    </row>
    <row r="843" spans="2:3" x14ac:dyDescent="0.25">
      <c r="B843">
        <v>890</v>
      </c>
      <c r="C843" t="s">
        <v>33</v>
      </c>
    </row>
    <row r="844" spans="2:3" x14ac:dyDescent="0.25">
      <c r="B844">
        <v>837</v>
      </c>
      <c r="C844" t="s">
        <v>33</v>
      </c>
    </row>
    <row r="845" spans="2:3" x14ac:dyDescent="0.25">
      <c r="B845">
        <v>886</v>
      </c>
      <c r="C845" t="s">
        <v>33</v>
      </c>
    </row>
    <row r="846" spans="2:3" x14ac:dyDescent="0.25">
      <c r="B846">
        <v>855</v>
      </c>
      <c r="C846" t="s">
        <v>33</v>
      </c>
    </row>
    <row r="847" spans="2:3" x14ac:dyDescent="0.25">
      <c r="B847">
        <v>853</v>
      </c>
      <c r="C847" t="s">
        <v>33</v>
      </c>
    </row>
    <row r="848" spans="2:3" x14ac:dyDescent="0.25">
      <c r="B848">
        <v>847</v>
      </c>
      <c r="C848" t="s">
        <v>33</v>
      </c>
    </row>
    <row r="849" spans="2:3" x14ac:dyDescent="0.25">
      <c r="B849">
        <v>828</v>
      </c>
      <c r="C849" t="s">
        <v>33</v>
      </c>
    </row>
    <row r="850" spans="2:3" x14ac:dyDescent="0.25">
      <c r="B850">
        <v>792</v>
      </c>
      <c r="C850" t="s">
        <v>33</v>
      </c>
    </row>
    <row r="851" spans="2:3" x14ac:dyDescent="0.25">
      <c r="B851">
        <v>852</v>
      </c>
      <c r="C851" t="s">
        <v>33</v>
      </c>
    </row>
    <row r="852" spans="2:3" x14ac:dyDescent="0.25">
      <c r="B852">
        <v>877</v>
      </c>
      <c r="C852" t="s">
        <v>33</v>
      </c>
    </row>
    <row r="853" spans="2:3" x14ac:dyDescent="0.25">
      <c r="B853">
        <v>898</v>
      </c>
      <c r="C853" t="s">
        <v>33</v>
      </c>
    </row>
    <row r="854" spans="2:3" x14ac:dyDescent="0.25">
      <c r="B854">
        <v>848</v>
      </c>
      <c r="C854" t="s">
        <v>33</v>
      </c>
    </row>
    <row r="855" spans="2:3" x14ac:dyDescent="0.25">
      <c r="B855">
        <v>795</v>
      </c>
      <c r="C855" t="s">
        <v>33</v>
      </c>
    </row>
    <row r="856" spans="2:3" x14ac:dyDescent="0.25">
      <c r="B856">
        <v>802</v>
      </c>
      <c r="C856" t="s">
        <v>33</v>
      </c>
    </row>
    <row r="857" spans="2:3" x14ac:dyDescent="0.25">
      <c r="B857">
        <v>863</v>
      </c>
      <c r="C857" t="s">
        <v>33</v>
      </c>
    </row>
    <row r="858" spans="2:3" x14ac:dyDescent="0.25">
      <c r="B858">
        <v>869</v>
      </c>
      <c r="C858" t="s">
        <v>33</v>
      </c>
    </row>
    <row r="859" spans="2:3" x14ac:dyDescent="0.25">
      <c r="B859">
        <v>829</v>
      </c>
      <c r="C859" t="s">
        <v>33</v>
      </c>
    </row>
    <row r="860" spans="2:3" x14ac:dyDescent="0.25">
      <c r="B860">
        <v>891</v>
      </c>
      <c r="C860" t="s">
        <v>33</v>
      </c>
    </row>
    <row r="861" spans="2:3" x14ac:dyDescent="0.25">
      <c r="B861">
        <v>833</v>
      </c>
      <c r="C861" t="s">
        <v>33</v>
      </c>
    </row>
    <row r="862" spans="2:3" x14ac:dyDescent="0.25">
      <c r="B862">
        <v>804</v>
      </c>
      <c r="C862" t="s">
        <v>33</v>
      </c>
    </row>
    <row r="863" spans="2:3" x14ac:dyDescent="0.25">
      <c r="B863">
        <v>881</v>
      </c>
      <c r="C863" t="s">
        <v>33</v>
      </c>
    </row>
    <row r="864" spans="2:3" x14ac:dyDescent="0.25">
      <c r="B864">
        <v>819</v>
      </c>
      <c r="C864" t="s">
        <v>33</v>
      </c>
    </row>
    <row r="865" spans="2:3" x14ac:dyDescent="0.25">
      <c r="B865">
        <v>875</v>
      </c>
      <c r="C865" t="s">
        <v>33</v>
      </c>
    </row>
    <row r="866" spans="2:3" x14ac:dyDescent="0.25">
      <c r="B866">
        <v>789</v>
      </c>
      <c r="C866" t="s">
        <v>33</v>
      </c>
    </row>
    <row r="867" spans="2:3" x14ac:dyDescent="0.25">
      <c r="B867">
        <v>785</v>
      </c>
      <c r="C867" t="s">
        <v>33</v>
      </c>
    </row>
    <row r="868" spans="2:3" x14ac:dyDescent="0.25">
      <c r="B868">
        <v>864</v>
      </c>
      <c r="C868" t="s">
        <v>33</v>
      </c>
    </row>
    <row r="869" spans="2:3" x14ac:dyDescent="0.25">
      <c r="B869">
        <v>866</v>
      </c>
      <c r="C869" t="s">
        <v>33</v>
      </c>
    </row>
    <row r="870" spans="2:3" x14ac:dyDescent="0.25">
      <c r="B870">
        <v>867</v>
      </c>
      <c r="C870" t="s">
        <v>33</v>
      </c>
    </row>
    <row r="871" spans="2:3" x14ac:dyDescent="0.25">
      <c r="B871">
        <v>871</v>
      </c>
      <c r="C871" t="s">
        <v>33</v>
      </c>
    </row>
    <row r="872" spans="2:3" x14ac:dyDescent="0.25">
      <c r="B872">
        <v>856</v>
      </c>
      <c r="C872" t="s">
        <v>33</v>
      </c>
    </row>
    <row r="873" spans="2:3" x14ac:dyDescent="0.25">
      <c r="B873">
        <v>851</v>
      </c>
      <c r="C873" t="s">
        <v>33</v>
      </c>
    </row>
    <row r="874" spans="2:3" x14ac:dyDescent="0.25">
      <c r="B874">
        <v>812</v>
      </c>
      <c r="C874" t="s">
        <v>33</v>
      </c>
    </row>
    <row r="875" spans="2:3" x14ac:dyDescent="0.25">
      <c r="B875">
        <v>787</v>
      </c>
      <c r="C875" t="s">
        <v>33</v>
      </c>
    </row>
    <row r="876" spans="2:3" x14ac:dyDescent="0.25">
      <c r="B876">
        <v>807</v>
      </c>
      <c r="C876" t="s">
        <v>33</v>
      </c>
    </row>
    <row r="877" spans="2:3" x14ac:dyDescent="0.25">
      <c r="B877">
        <v>884</v>
      </c>
      <c r="C877" t="s">
        <v>33</v>
      </c>
    </row>
    <row r="878" spans="2:3" x14ac:dyDescent="0.25">
      <c r="B878">
        <v>836</v>
      </c>
      <c r="C878" t="s">
        <v>33</v>
      </c>
    </row>
    <row r="879" spans="2:3" x14ac:dyDescent="0.25">
      <c r="B879">
        <v>826</v>
      </c>
      <c r="C879" t="s">
        <v>33</v>
      </c>
    </row>
    <row r="880" spans="2:3" x14ac:dyDescent="0.25">
      <c r="B880">
        <v>811</v>
      </c>
      <c r="C880" t="s">
        <v>33</v>
      </c>
    </row>
    <row r="881" spans="2:3" x14ac:dyDescent="0.25">
      <c r="B881">
        <v>854</v>
      </c>
      <c r="C881" t="s">
        <v>33</v>
      </c>
    </row>
    <row r="882" spans="2:3" x14ac:dyDescent="0.25">
      <c r="B882">
        <v>882</v>
      </c>
      <c r="C882" t="s">
        <v>33</v>
      </c>
    </row>
    <row r="883" spans="2:3" x14ac:dyDescent="0.25">
      <c r="B883">
        <v>880</v>
      </c>
      <c r="C883" t="s">
        <v>33</v>
      </c>
    </row>
    <row r="884" spans="2:3" x14ac:dyDescent="0.25">
      <c r="B884">
        <v>799</v>
      </c>
      <c r="C884" t="s">
        <v>33</v>
      </c>
    </row>
    <row r="885" spans="2:3" x14ac:dyDescent="0.25">
      <c r="B885">
        <v>889</v>
      </c>
      <c r="C885" t="s">
        <v>33</v>
      </c>
    </row>
    <row r="886" spans="2:3" x14ac:dyDescent="0.25">
      <c r="B886">
        <v>808</v>
      </c>
      <c r="C886" t="s">
        <v>33</v>
      </c>
    </row>
    <row r="887" spans="2:3" x14ac:dyDescent="0.25">
      <c r="B887">
        <v>806</v>
      </c>
      <c r="C887" t="s">
        <v>33</v>
      </c>
    </row>
    <row r="888" spans="2:3" x14ac:dyDescent="0.25">
      <c r="B888">
        <v>892</v>
      </c>
      <c r="C888" t="s">
        <v>33</v>
      </c>
    </row>
    <row r="889" spans="2:3" x14ac:dyDescent="0.25">
      <c r="B889">
        <v>842</v>
      </c>
      <c r="C889" t="s">
        <v>33</v>
      </c>
    </row>
    <row r="890" spans="2:3" x14ac:dyDescent="0.25">
      <c r="B890">
        <v>838</v>
      </c>
      <c r="C890" t="s">
        <v>33</v>
      </c>
    </row>
    <row r="891" spans="2:3" x14ac:dyDescent="0.25">
      <c r="B891">
        <v>893</v>
      </c>
      <c r="C891" t="s">
        <v>34</v>
      </c>
    </row>
    <row r="892" spans="2:3" x14ac:dyDescent="0.25">
      <c r="B892">
        <v>843</v>
      </c>
      <c r="C892" t="s">
        <v>34</v>
      </c>
    </row>
    <row r="893" spans="2:3" x14ac:dyDescent="0.25">
      <c r="B893">
        <v>814</v>
      </c>
      <c r="C893" t="s">
        <v>34</v>
      </c>
    </row>
    <row r="894" spans="2:3" x14ac:dyDescent="0.25">
      <c r="B894">
        <v>868</v>
      </c>
      <c r="C894" t="s">
        <v>34</v>
      </c>
    </row>
    <row r="895" spans="2:3" x14ac:dyDescent="0.25">
      <c r="B895">
        <v>801</v>
      </c>
      <c r="C895" t="s">
        <v>34</v>
      </c>
    </row>
    <row r="896" spans="2:3" x14ac:dyDescent="0.25">
      <c r="B896">
        <v>816</v>
      </c>
      <c r="C896" t="s">
        <v>34</v>
      </c>
    </row>
    <row r="897" spans="2:3" x14ac:dyDescent="0.25">
      <c r="B897">
        <v>870</v>
      </c>
      <c r="C897" t="s">
        <v>34</v>
      </c>
    </row>
    <row r="898" spans="2:3" x14ac:dyDescent="0.25">
      <c r="B898">
        <v>844</v>
      </c>
      <c r="C898" t="s">
        <v>34</v>
      </c>
    </row>
    <row r="899" spans="2:3" x14ac:dyDescent="0.25">
      <c r="B899">
        <v>888</v>
      </c>
      <c r="C899" t="s">
        <v>34</v>
      </c>
    </row>
    <row r="900" spans="2:3" x14ac:dyDescent="0.25">
      <c r="B900">
        <v>790</v>
      </c>
      <c r="C900" t="s">
        <v>34</v>
      </c>
    </row>
    <row r="901" spans="2:3" x14ac:dyDescent="0.25">
      <c r="B901">
        <v>878</v>
      </c>
      <c r="C901" t="s">
        <v>34</v>
      </c>
    </row>
    <row r="902" spans="2:3" x14ac:dyDescent="0.25">
      <c r="B902">
        <v>783</v>
      </c>
      <c r="C902" t="s">
        <v>34</v>
      </c>
    </row>
    <row r="903" spans="2:3" x14ac:dyDescent="0.25">
      <c r="B903">
        <v>796</v>
      </c>
      <c r="C903" t="s">
        <v>25</v>
      </c>
    </row>
    <row r="904" spans="2:3" x14ac:dyDescent="0.25">
      <c r="B904">
        <v>813</v>
      </c>
      <c r="C904" t="s">
        <v>25</v>
      </c>
    </row>
    <row r="905" spans="2:3" x14ac:dyDescent="0.25">
      <c r="B905">
        <v>850</v>
      </c>
      <c r="C905" t="s">
        <v>25</v>
      </c>
    </row>
    <row r="906" spans="2:3" x14ac:dyDescent="0.25">
      <c r="B906">
        <v>846</v>
      </c>
      <c r="C906" t="s">
        <v>25</v>
      </c>
    </row>
    <row r="907" spans="2:3" x14ac:dyDescent="0.25">
      <c r="B907">
        <v>824</v>
      </c>
      <c r="C907" t="s">
        <v>25</v>
      </c>
    </row>
    <row r="908" spans="2:3" x14ac:dyDescent="0.25">
      <c r="B908">
        <v>887</v>
      </c>
      <c r="C908" t="s">
        <v>25</v>
      </c>
    </row>
    <row r="909" spans="2:3" x14ac:dyDescent="0.25">
      <c r="B909">
        <v>857</v>
      </c>
      <c r="C909" t="s">
        <v>25</v>
      </c>
    </row>
    <row r="910" spans="2:3" x14ac:dyDescent="0.25">
      <c r="B910">
        <v>784</v>
      </c>
      <c r="C910" t="s">
        <v>25</v>
      </c>
    </row>
    <row r="911" spans="2:3" x14ac:dyDescent="0.25">
      <c r="B911">
        <v>879</v>
      </c>
      <c r="C911" t="s">
        <v>25</v>
      </c>
    </row>
    <row r="912" spans="2:3" x14ac:dyDescent="0.25">
      <c r="B912">
        <v>894</v>
      </c>
      <c r="C912" t="s">
        <v>25</v>
      </c>
    </row>
    <row r="913" spans="2:3" x14ac:dyDescent="0.25">
      <c r="B913">
        <v>840</v>
      </c>
      <c r="C913" t="s">
        <v>25</v>
      </c>
    </row>
    <row r="914" spans="2:3" x14ac:dyDescent="0.25">
      <c r="B914">
        <v>825</v>
      </c>
      <c r="C914" t="s">
        <v>25</v>
      </c>
    </row>
    <row r="915" spans="2:3" x14ac:dyDescent="0.25">
      <c r="B915">
        <v>874</v>
      </c>
      <c r="C915" t="s">
        <v>25</v>
      </c>
    </row>
    <row r="916" spans="2:3" x14ac:dyDescent="0.25">
      <c r="B916">
        <v>895</v>
      </c>
      <c r="C916" t="s">
        <v>25</v>
      </c>
    </row>
    <row r="917" spans="2:3" x14ac:dyDescent="0.25">
      <c r="B917">
        <v>827</v>
      </c>
      <c r="C917" t="s">
        <v>25</v>
      </c>
    </row>
    <row r="918" spans="2:3" x14ac:dyDescent="0.25">
      <c r="B918">
        <v>861</v>
      </c>
      <c r="C918" t="s">
        <v>25</v>
      </c>
    </row>
    <row r="919" spans="2:3" x14ac:dyDescent="0.25">
      <c r="B919">
        <v>896</v>
      </c>
      <c r="C919" t="s">
        <v>25</v>
      </c>
    </row>
    <row r="920" spans="2:3" x14ac:dyDescent="0.25">
      <c r="B920">
        <v>834</v>
      </c>
      <c r="C920" t="s">
        <v>25</v>
      </c>
    </row>
    <row r="921" spans="2:3" x14ac:dyDescent="0.25">
      <c r="B921">
        <v>803</v>
      </c>
      <c r="C921" t="s">
        <v>25</v>
      </c>
    </row>
    <row r="922" spans="2:3" x14ac:dyDescent="0.25">
      <c r="B922">
        <v>883</v>
      </c>
      <c r="C922" t="s">
        <v>25</v>
      </c>
    </row>
    <row r="923" spans="2:3" x14ac:dyDescent="0.25">
      <c r="B923">
        <v>786</v>
      </c>
      <c r="C923" t="s">
        <v>25</v>
      </c>
    </row>
    <row r="924" spans="2:3" x14ac:dyDescent="0.25">
      <c r="B924">
        <v>822</v>
      </c>
      <c r="C924" t="s">
        <v>25</v>
      </c>
    </row>
    <row r="925" spans="2:3" x14ac:dyDescent="0.25">
      <c r="B925">
        <v>872</v>
      </c>
      <c r="C925" t="s">
        <v>25</v>
      </c>
    </row>
    <row r="926" spans="2:3" x14ac:dyDescent="0.25">
      <c r="B926">
        <v>906</v>
      </c>
      <c r="C926" t="s">
        <v>33</v>
      </c>
    </row>
    <row r="927" spans="2:3" x14ac:dyDescent="0.25">
      <c r="B927">
        <v>902</v>
      </c>
      <c r="C927" t="s">
        <v>33</v>
      </c>
    </row>
    <row r="928" spans="2:3" x14ac:dyDescent="0.25">
      <c r="B928">
        <v>899</v>
      </c>
      <c r="C928" t="s">
        <v>33</v>
      </c>
    </row>
    <row r="929" spans="2:3" x14ac:dyDescent="0.25">
      <c r="B929">
        <v>905</v>
      </c>
      <c r="C929" t="s">
        <v>33</v>
      </c>
    </row>
    <row r="930" spans="2:3" x14ac:dyDescent="0.25">
      <c r="B930">
        <v>915</v>
      </c>
      <c r="C930" t="s">
        <v>33</v>
      </c>
    </row>
    <row r="931" spans="2:3" x14ac:dyDescent="0.25">
      <c r="B931">
        <v>903</v>
      </c>
      <c r="C931" t="s">
        <v>33</v>
      </c>
    </row>
    <row r="932" spans="2:3" x14ac:dyDescent="0.25">
      <c r="B932">
        <v>900</v>
      </c>
      <c r="C932" t="s">
        <v>33</v>
      </c>
    </row>
    <row r="933" spans="2:3" x14ac:dyDescent="0.25">
      <c r="B933">
        <v>910</v>
      </c>
      <c r="C933" t="s">
        <v>33</v>
      </c>
    </row>
    <row r="934" spans="2:3" x14ac:dyDescent="0.25">
      <c r="B934">
        <v>909</v>
      </c>
      <c r="C934" t="s">
        <v>33</v>
      </c>
    </row>
    <row r="935" spans="2:3" x14ac:dyDescent="0.25">
      <c r="B935">
        <v>912</v>
      </c>
      <c r="C935" t="s">
        <v>33</v>
      </c>
    </row>
    <row r="936" spans="2:3" x14ac:dyDescent="0.25">
      <c r="B936">
        <v>907</v>
      </c>
      <c r="C936" t="s">
        <v>33</v>
      </c>
    </row>
    <row r="937" spans="2:3" x14ac:dyDescent="0.25">
      <c r="B937">
        <v>908</v>
      </c>
      <c r="C937" t="s">
        <v>33</v>
      </c>
    </row>
    <row r="938" spans="2:3" x14ac:dyDescent="0.25">
      <c r="B938">
        <v>911</v>
      </c>
      <c r="C938" t="s">
        <v>34</v>
      </c>
    </row>
    <row r="939" spans="2:3" x14ac:dyDescent="0.25">
      <c r="B939">
        <v>901</v>
      </c>
      <c r="C939" t="s">
        <v>34</v>
      </c>
    </row>
    <row r="940" spans="2:3" x14ac:dyDescent="0.25">
      <c r="B940">
        <v>914</v>
      </c>
      <c r="C940" t="s">
        <v>25</v>
      </c>
    </row>
    <row r="941" spans="2:3" x14ac:dyDescent="0.25">
      <c r="B941">
        <v>904</v>
      </c>
      <c r="C941" t="s">
        <v>25</v>
      </c>
    </row>
    <row r="942" spans="2:3" x14ac:dyDescent="0.25">
      <c r="B942">
        <v>913</v>
      </c>
      <c r="C942" t="s">
        <v>25</v>
      </c>
    </row>
    <row r="943" spans="2:3" x14ac:dyDescent="0.25">
      <c r="B943">
        <v>1003</v>
      </c>
      <c r="C943" t="s">
        <v>33</v>
      </c>
    </row>
    <row r="944" spans="2:3" x14ac:dyDescent="0.25">
      <c r="B944">
        <v>948</v>
      </c>
      <c r="C944" t="s">
        <v>33</v>
      </c>
    </row>
    <row r="945" spans="2:3" x14ac:dyDescent="0.25">
      <c r="B945">
        <v>1010</v>
      </c>
      <c r="C945" t="s">
        <v>33</v>
      </c>
    </row>
    <row r="946" spans="2:3" x14ac:dyDescent="0.25">
      <c r="B946">
        <v>945</v>
      </c>
      <c r="C946" t="s">
        <v>33</v>
      </c>
    </row>
    <row r="947" spans="2:3" x14ac:dyDescent="0.25">
      <c r="B947">
        <v>963</v>
      </c>
      <c r="C947" t="s">
        <v>33</v>
      </c>
    </row>
    <row r="948" spans="2:3" x14ac:dyDescent="0.25">
      <c r="B948">
        <v>971</v>
      </c>
      <c r="C948" t="s">
        <v>33</v>
      </c>
    </row>
    <row r="949" spans="2:3" x14ac:dyDescent="0.25">
      <c r="B949">
        <v>965</v>
      </c>
      <c r="C949" t="s">
        <v>33</v>
      </c>
    </row>
    <row r="950" spans="2:3" x14ac:dyDescent="0.25">
      <c r="B950">
        <v>999</v>
      </c>
      <c r="C950" t="s">
        <v>33</v>
      </c>
    </row>
    <row r="951" spans="2:3" x14ac:dyDescent="0.25">
      <c r="B951">
        <v>1005</v>
      </c>
      <c r="C951" t="s">
        <v>33</v>
      </c>
    </row>
    <row r="952" spans="2:3" x14ac:dyDescent="0.25">
      <c r="B952">
        <v>1013</v>
      </c>
      <c r="C952" t="s">
        <v>33</v>
      </c>
    </row>
    <row r="953" spans="2:3" x14ac:dyDescent="0.25">
      <c r="B953">
        <v>991</v>
      </c>
      <c r="C953" t="s">
        <v>33</v>
      </c>
    </row>
    <row r="954" spans="2:3" x14ac:dyDescent="0.25">
      <c r="B954">
        <v>989</v>
      </c>
      <c r="C954" t="s">
        <v>33</v>
      </c>
    </row>
    <row r="955" spans="2:3" x14ac:dyDescent="0.25">
      <c r="B955">
        <v>984</v>
      </c>
      <c r="C955" t="s">
        <v>33</v>
      </c>
    </row>
    <row r="956" spans="2:3" x14ac:dyDescent="0.25">
      <c r="B956">
        <v>978</v>
      </c>
      <c r="C956" t="s">
        <v>33</v>
      </c>
    </row>
    <row r="957" spans="2:3" x14ac:dyDescent="0.25">
      <c r="B957">
        <v>990</v>
      </c>
      <c r="C957" t="s">
        <v>33</v>
      </c>
    </row>
    <row r="958" spans="2:3" x14ac:dyDescent="0.25">
      <c r="B958">
        <v>961</v>
      </c>
      <c r="C958" t="s">
        <v>33</v>
      </c>
    </row>
    <row r="959" spans="2:3" x14ac:dyDescent="0.25">
      <c r="B959">
        <v>936</v>
      </c>
      <c r="C959" t="s">
        <v>33</v>
      </c>
    </row>
    <row r="960" spans="2:3" x14ac:dyDescent="0.25">
      <c r="B960">
        <v>953</v>
      </c>
      <c r="C960" t="s">
        <v>33</v>
      </c>
    </row>
    <row r="961" spans="2:3" x14ac:dyDescent="0.25">
      <c r="B961">
        <v>966</v>
      </c>
      <c r="C961" t="s">
        <v>33</v>
      </c>
    </row>
    <row r="962" spans="2:3" x14ac:dyDescent="0.25">
      <c r="B962">
        <v>916</v>
      </c>
      <c r="C962" t="s">
        <v>33</v>
      </c>
    </row>
    <row r="963" spans="2:3" x14ac:dyDescent="0.25">
      <c r="B963">
        <v>992</v>
      </c>
      <c r="C963" t="s">
        <v>33</v>
      </c>
    </row>
    <row r="964" spans="2:3" x14ac:dyDescent="0.25">
      <c r="B964">
        <v>959</v>
      </c>
      <c r="C964" t="s">
        <v>33</v>
      </c>
    </row>
    <row r="965" spans="2:3" x14ac:dyDescent="0.25">
      <c r="B965">
        <v>967</v>
      </c>
      <c r="C965" t="s">
        <v>33</v>
      </c>
    </row>
    <row r="966" spans="2:3" x14ac:dyDescent="0.25">
      <c r="B966">
        <v>1012</v>
      </c>
      <c r="C966" t="s">
        <v>33</v>
      </c>
    </row>
    <row r="967" spans="2:3" x14ac:dyDescent="0.25">
      <c r="B967">
        <v>981</v>
      </c>
      <c r="C967" t="s">
        <v>33</v>
      </c>
    </row>
    <row r="968" spans="2:3" x14ac:dyDescent="0.25">
      <c r="B968">
        <v>924</v>
      </c>
      <c r="C968" t="s">
        <v>33</v>
      </c>
    </row>
    <row r="969" spans="2:3" x14ac:dyDescent="0.25">
      <c r="B969">
        <v>919</v>
      </c>
      <c r="C969" t="s">
        <v>33</v>
      </c>
    </row>
    <row r="970" spans="2:3" x14ac:dyDescent="0.25">
      <c r="B970">
        <v>954</v>
      </c>
      <c r="C970" t="s">
        <v>33</v>
      </c>
    </row>
    <row r="971" spans="2:3" x14ac:dyDescent="0.25">
      <c r="B971">
        <v>1007</v>
      </c>
      <c r="C971" t="s">
        <v>33</v>
      </c>
    </row>
    <row r="972" spans="2:3" x14ac:dyDescent="0.25">
      <c r="B972">
        <v>955</v>
      </c>
      <c r="C972" t="s">
        <v>33</v>
      </c>
    </row>
    <row r="973" spans="2:3" x14ac:dyDescent="0.25">
      <c r="B973">
        <v>928</v>
      </c>
      <c r="C973" t="s">
        <v>33</v>
      </c>
    </row>
    <row r="974" spans="2:3" x14ac:dyDescent="0.25">
      <c r="B974">
        <v>947</v>
      </c>
      <c r="C974" t="s">
        <v>33</v>
      </c>
    </row>
    <row r="975" spans="2:3" x14ac:dyDescent="0.25">
      <c r="B975">
        <v>956</v>
      </c>
      <c r="C975" t="s">
        <v>33</v>
      </c>
    </row>
    <row r="976" spans="2:3" x14ac:dyDescent="0.25">
      <c r="B976">
        <v>969</v>
      </c>
      <c r="C976" t="s">
        <v>33</v>
      </c>
    </row>
    <row r="977" spans="2:3" x14ac:dyDescent="0.25">
      <c r="B977">
        <v>1017</v>
      </c>
      <c r="C977" t="s">
        <v>33</v>
      </c>
    </row>
    <row r="978" spans="2:3" x14ac:dyDescent="0.25">
      <c r="B978">
        <v>1011</v>
      </c>
      <c r="C978" t="s">
        <v>33</v>
      </c>
    </row>
    <row r="979" spans="2:3" x14ac:dyDescent="0.25">
      <c r="B979">
        <v>922</v>
      </c>
      <c r="C979" t="s">
        <v>33</v>
      </c>
    </row>
    <row r="980" spans="2:3" x14ac:dyDescent="0.25">
      <c r="B980">
        <v>1009</v>
      </c>
      <c r="C980" t="s">
        <v>33</v>
      </c>
    </row>
    <row r="981" spans="2:3" x14ac:dyDescent="0.25">
      <c r="B981">
        <v>1008</v>
      </c>
      <c r="C981" t="s">
        <v>33</v>
      </c>
    </row>
    <row r="982" spans="2:3" x14ac:dyDescent="0.25">
      <c r="B982">
        <v>939</v>
      </c>
      <c r="C982" t="s">
        <v>33</v>
      </c>
    </row>
    <row r="983" spans="2:3" x14ac:dyDescent="0.25">
      <c r="B983">
        <v>949</v>
      </c>
      <c r="C983" t="s">
        <v>33</v>
      </c>
    </row>
    <row r="984" spans="2:3" x14ac:dyDescent="0.25">
      <c r="B984">
        <v>983</v>
      </c>
      <c r="C984" t="s">
        <v>33</v>
      </c>
    </row>
    <row r="985" spans="2:3" x14ac:dyDescent="0.25">
      <c r="B985">
        <v>1016</v>
      </c>
      <c r="C985" t="s">
        <v>33</v>
      </c>
    </row>
    <row r="986" spans="2:3" x14ac:dyDescent="0.25">
      <c r="B986">
        <v>1015</v>
      </c>
      <c r="C986" t="s">
        <v>33</v>
      </c>
    </row>
    <row r="987" spans="2:3" x14ac:dyDescent="0.25">
      <c r="B987">
        <v>946</v>
      </c>
      <c r="C987" t="s">
        <v>33</v>
      </c>
    </row>
    <row r="988" spans="2:3" x14ac:dyDescent="0.25">
      <c r="B988">
        <v>972</v>
      </c>
      <c r="C988" t="s">
        <v>33</v>
      </c>
    </row>
    <row r="989" spans="2:3" x14ac:dyDescent="0.25">
      <c r="B989">
        <v>933</v>
      </c>
      <c r="C989" t="s">
        <v>33</v>
      </c>
    </row>
    <row r="990" spans="2:3" x14ac:dyDescent="0.25">
      <c r="B990">
        <v>926</v>
      </c>
      <c r="C990" t="s">
        <v>33</v>
      </c>
    </row>
    <row r="991" spans="2:3" x14ac:dyDescent="0.25">
      <c r="B991">
        <v>1014</v>
      </c>
      <c r="C991" t="s">
        <v>33</v>
      </c>
    </row>
    <row r="992" spans="2:3" x14ac:dyDescent="0.25">
      <c r="B992">
        <v>1004</v>
      </c>
      <c r="C992" t="s">
        <v>33</v>
      </c>
    </row>
    <row r="993" spans="2:3" x14ac:dyDescent="0.25">
      <c r="B993">
        <v>958</v>
      </c>
      <c r="C993" t="s">
        <v>33</v>
      </c>
    </row>
    <row r="994" spans="2:3" x14ac:dyDescent="0.25">
      <c r="B994">
        <v>980</v>
      </c>
      <c r="C994" t="s">
        <v>33</v>
      </c>
    </row>
    <row r="995" spans="2:3" x14ac:dyDescent="0.25">
      <c r="B995">
        <v>943</v>
      </c>
      <c r="C995" t="s">
        <v>33</v>
      </c>
    </row>
    <row r="996" spans="2:3" x14ac:dyDescent="0.25">
      <c r="B996">
        <v>968</v>
      </c>
      <c r="C996" t="s">
        <v>33</v>
      </c>
    </row>
    <row r="997" spans="2:3" x14ac:dyDescent="0.25">
      <c r="B997">
        <v>925</v>
      </c>
      <c r="C997" t="s">
        <v>33</v>
      </c>
    </row>
    <row r="998" spans="2:3" x14ac:dyDescent="0.25">
      <c r="B998">
        <v>982</v>
      </c>
      <c r="C998" t="s">
        <v>33</v>
      </c>
    </row>
    <row r="999" spans="2:3" x14ac:dyDescent="0.25">
      <c r="B999">
        <v>941</v>
      </c>
      <c r="C999" t="s">
        <v>33</v>
      </c>
    </row>
    <row r="1000" spans="2:3" x14ac:dyDescent="0.25">
      <c r="B1000">
        <v>1001</v>
      </c>
      <c r="C1000" t="s">
        <v>33</v>
      </c>
    </row>
    <row r="1001" spans="2:3" x14ac:dyDescent="0.25">
      <c r="B1001">
        <v>940</v>
      </c>
      <c r="C1001" t="s">
        <v>33</v>
      </c>
    </row>
    <row r="1002" spans="2:3" x14ac:dyDescent="0.25">
      <c r="B1002">
        <v>944</v>
      </c>
      <c r="C1002" t="s">
        <v>33</v>
      </c>
    </row>
    <row r="1003" spans="2:3" x14ac:dyDescent="0.25">
      <c r="B1003">
        <v>957</v>
      </c>
      <c r="C1003" t="s">
        <v>33</v>
      </c>
    </row>
    <row r="1004" spans="2:3" x14ac:dyDescent="0.25">
      <c r="B1004">
        <v>987</v>
      </c>
      <c r="C1004" t="s">
        <v>33</v>
      </c>
    </row>
    <row r="1005" spans="2:3" x14ac:dyDescent="0.25">
      <c r="B1005">
        <v>970</v>
      </c>
      <c r="C1005" t="s">
        <v>33</v>
      </c>
    </row>
    <row r="1006" spans="2:3" x14ac:dyDescent="0.25">
      <c r="B1006">
        <v>918</v>
      </c>
      <c r="C1006" t="s">
        <v>33</v>
      </c>
    </row>
    <row r="1007" spans="2:3" x14ac:dyDescent="0.25">
      <c r="B1007">
        <v>988</v>
      </c>
      <c r="C1007" t="s">
        <v>33</v>
      </c>
    </row>
    <row r="1008" spans="2:3" x14ac:dyDescent="0.25">
      <c r="B1008">
        <v>927</v>
      </c>
      <c r="C1008" t="s">
        <v>33</v>
      </c>
    </row>
    <row r="1009" spans="2:3" x14ac:dyDescent="0.25">
      <c r="B1009">
        <v>977</v>
      </c>
      <c r="C1009" t="s">
        <v>33</v>
      </c>
    </row>
    <row r="1010" spans="2:3" x14ac:dyDescent="0.25">
      <c r="B1010">
        <v>934</v>
      </c>
      <c r="C1010" t="s">
        <v>33</v>
      </c>
    </row>
    <row r="1011" spans="2:3" x14ac:dyDescent="0.25">
      <c r="B1011">
        <v>938</v>
      </c>
      <c r="C1011" t="s">
        <v>33</v>
      </c>
    </row>
    <row r="1012" spans="2:3" x14ac:dyDescent="0.25">
      <c r="B1012">
        <v>951</v>
      </c>
      <c r="C1012" t="s">
        <v>33</v>
      </c>
    </row>
    <row r="1013" spans="2:3" x14ac:dyDescent="0.25">
      <c r="B1013">
        <v>985</v>
      </c>
      <c r="C1013" t="s">
        <v>33</v>
      </c>
    </row>
    <row r="1014" spans="2:3" x14ac:dyDescent="0.25">
      <c r="B1014">
        <v>923</v>
      </c>
      <c r="C1014" t="s">
        <v>33</v>
      </c>
    </row>
    <row r="1015" spans="2:3" x14ac:dyDescent="0.25">
      <c r="B1015">
        <v>998</v>
      </c>
      <c r="C1015" t="s">
        <v>33</v>
      </c>
    </row>
    <row r="1016" spans="2:3" x14ac:dyDescent="0.25">
      <c r="B1016">
        <v>979</v>
      </c>
      <c r="C1016" t="s">
        <v>34</v>
      </c>
    </row>
    <row r="1017" spans="2:3" x14ac:dyDescent="0.25">
      <c r="B1017">
        <v>1019</v>
      </c>
      <c r="C1017" t="s">
        <v>34</v>
      </c>
    </row>
    <row r="1018" spans="2:3" x14ac:dyDescent="0.25">
      <c r="B1018">
        <v>950</v>
      </c>
      <c r="C1018" t="s">
        <v>34</v>
      </c>
    </row>
    <row r="1019" spans="2:3" x14ac:dyDescent="0.25">
      <c r="B1019">
        <v>974</v>
      </c>
      <c r="C1019" t="s">
        <v>34</v>
      </c>
    </row>
    <row r="1020" spans="2:3" x14ac:dyDescent="0.25">
      <c r="B1020">
        <v>997</v>
      </c>
      <c r="C1020" t="s">
        <v>34</v>
      </c>
    </row>
    <row r="1021" spans="2:3" x14ac:dyDescent="0.25">
      <c r="B1021">
        <v>995</v>
      </c>
      <c r="C1021" t="s">
        <v>34</v>
      </c>
    </row>
    <row r="1022" spans="2:3" x14ac:dyDescent="0.25">
      <c r="B1022">
        <v>1000</v>
      </c>
      <c r="C1022" t="s">
        <v>34</v>
      </c>
    </row>
    <row r="1023" spans="2:3" x14ac:dyDescent="0.25">
      <c r="B1023">
        <v>1002</v>
      </c>
      <c r="C1023" t="s">
        <v>34</v>
      </c>
    </row>
    <row r="1024" spans="2:3" x14ac:dyDescent="0.25">
      <c r="B1024">
        <v>994</v>
      </c>
      <c r="C1024" t="s">
        <v>34</v>
      </c>
    </row>
    <row r="1025" spans="2:3" x14ac:dyDescent="0.25">
      <c r="B1025">
        <v>917</v>
      </c>
      <c r="C1025" t="s">
        <v>34</v>
      </c>
    </row>
    <row r="1026" spans="2:3" x14ac:dyDescent="0.25">
      <c r="B1026">
        <v>935</v>
      </c>
      <c r="C1026" t="s">
        <v>25</v>
      </c>
    </row>
    <row r="1027" spans="2:3" x14ac:dyDescent="0.25">
      <c r="B1027">
        <v>920</v>
      </c>
      <c r="C1027" t="s">
        <v>25</v>
      </c>
    </row>
    <row r="1028" spans="2:3" x14ac:dyDescent="0.25">
      <c r="B1028">
        <v>1018</v>
      </c>
      <c r="C1028" t="s">
        <v>25</v>
      </c>
    </row>
    <row r="1029" spans="2:3" x14ac:dyDescent="0.25">
      <c r="B1029">
        <v>964</v>
      </c>
      <c r="C1029" t="s">
        <v>25</v>
      </c>
    </row>
    <row r="1030" spans="2:3" x14ac:dyDescent="0.25">
      <c r="B1030">
        <v>952</v>
      </c>
      <c r="C1030" t="s">
        <v>25</v>
      </c>
    </row>
    <row r="1031" spans="2:3" x14ac:dyDescent="0.25">
      <c r="B1031">
        <v>986</v>
      </c>
      <c r="C1031" t="s">
        <v>25</v>
      </c>
    </row>
    <row r="1032" spans="2:3" x14ac:dyDescent="0.25">
      <c r="B1032">
        <v>996</v>
      </c>
      <c r="C1032" t="s">
        <v>25</v>
      </c>
    </row>
    <row r="1033" spans="2:3" x14ac:dyDescent="0.25">
      <c r="B1033">
        <v>931</v>
      </c>
      <c r="C1033" t="s">
        <v>25</v>
      </c>
    </row>
    <row r="1034" spans="2:3" x14ac:dyDescent="0.25">
      <c r="B1034">
        <v>1006</v>
      </c>
      <c r="C1034" t="s">
        <v>25</v>
      </c>
    </row>
    <row r="1035" spans="2:3" x14ac:dyDescent="0.25">
      <c r="B1035">
        <v>930</v>
      </c>
      <c r="C1035" t="s">
        <v>25</v>
      </c>
    </row>
    <row r="1036" spans="2:3" x14ac:dyDescent="0.25">
      <c r="B1036">
        <v>960</v>
      </c>
      <c r="C1036" t="s">
        <v>25</v>
      </c>
    </row>
    <row r="1037" spans="2:3" x14ac:dyDescent="0.25">
      <c r="B1037">
        <v>975</v>
      </c>
      <c r="C1037" t="s">
        <v>25</v>
      </c>
    </row>
    <row r="1038" spans="2:3" x14ac:dyDescent="0.25">
      <c r="B1038">
        <v>962</v>
      </c>
      <c r="C1038" t="s">
        <v>25</v>
      </c>
    </row>
    <row r="1039" spans="2:3" x14ac:dyDescent="0.25">
      <c r="B1039">
        <v>937</v>
      </c>
      <c r="C1039" t="s">
        <v>25</v>
      </c>
    </row>
    <row r="1040" spans="2:3" x14ac:dyDescent="0.25">
      <c r="B1040">
        <v>929</v>
      </c>
      <c r="C1040" t="s">
        <v>25</v>
      </c>
    </row>
    <row r="1041" spans="2:3" x14ac:dyDescent="0.25">
      <c r="B1041">
        <v>921</v>
      </c>
      <c r="C1041" t="s">
        <v>25</v>
      </c>
    </row>
    <row r="1042" spans="2:3" x14ac:dyDescent="0.25">
      <c r="B1042">
        <v>942</v>
      </c>
      <c r="C1042" t="s">
        <v>25</v>
      </c>
    </row>
    <row r="1043" spans="2:3" x14ac:dyDescent="0.25">
      <c r="B1043">
        <v>932</v>
      </c>
      <c r="C1043" t="s">
        <v>25</v>
      </c>
    </row>
    <row r="1044" spans="2:3" x14ac:dyDescent="0.25">
      <c r="B1044">
        <v>973</v>
      </c>
      <c r="C1044" t="s">
        <v>25</v>
      </c>
    </row>
    <row r="1045" spans="2:3" x14ac:dyDescent="0.25">
      <c r="B1045">
        <v>976</v>
      </c>
      <c r="C1045" t="s">
        <v>25</v>
      </c>
    </row>
    <row r="1046" spans="2:3" x14ac:dyDescent="0.25">
      <c r="B1046">
        <v>993</v>
      </c>
      <c r="C1046" t="s">
        <v>25</v>
      </c>
    </row>
    <row r="1047" spans="2:3" x14ac:dyDescent="0.25">
      <c r="B1047">
        <v>1051</v>
      </c>
      <c r="C1047" t="s">
        <v>33</v>
      </c>
    </row>
    <row r="1048" spans="2:3" x14ac:dyDescent="0.25">
      <c r="B1048">
        <v>1047</v>
      </c>
      <c r="C1048" t="s">
        <v>33</v>
      </c>
    </row>
    <row r="1049" spans="2:3" x14ac:dyDescent="0.25">
      <c r="B1049">
        <v>1038</v>
      </c>
      <c r="C1049" t="s">
        <v>33</v>
      </c>
    </row>
    <row r="1050" spans="2:3" x14ac:dyDescent="0.25">
      <c r="B1050">
        <v>1054</v>
      </c>
      <c r="C1050" t="s">
        <v>33</v>
      </c>
    </row>
    <row r="1051" spans="2:3" x14ac:dyDescent="0.25">
      <c r="B1051">
        <v>1060</v>
      </c>
      <c r="C1051" t="s">
        <v>33</v>
      </c>
    </row>
    <row r="1052" spans="2:3" x14ac:dyDescent="0.25">
      <c r="B1052">
        <v>1028</v>
      </c>
      <c r="C1052" t="s">
        <v>33</v>
      </c>
    </row>
    <row r="1053" spans="2:3" x14ac:dyDescent="0.25">
      <c r="B1053">
        <v>1025</v>
      </c>
      <c r="C1053" t="s">
        <v>33</v>
      </c>
    </row>
    <row r="1054" spans="2:3" x14ac:dyDescent="0.25">
      <c r="B1054">
        <v>1029</v>
      </c>
      <c r="C1054" t="s">
        <v>33</v>
      </c>
    </row>
    <row r="1055" spans="2:3" x14ac:dyDescent="0.25">
      <c r="B1055">
        <v>1052</v>
      </c>
      <c r="C1055" t="s">
        <v>33</v>
      </c>
    </row>
    <row r="1056" spans="2:3" x14ac:dyDescent="0.25">
      <c r="B1056">
        <v>1026</v>
      </c>
      <c r="C1056" t="s">
        <v>33</v>
      </c>
    </row>
    <row r="1057" spans="2:3" x14ac:dyDescent="0.25">
      <c r="B1057">
        <v>1032</v>
      </c>
      <c r="C1057" t="s">
        <v>33</v>
      </c>
    </row>
    <row r="1058" spans="2:3" x14ac:dyDescent="0.25">
      <c r="B1058">
        <v>1057</v>
      </c>
      <c r="C1058" t="s">
        <v>33</v>
      </c>
    </row>
    <row r="1059" spans="2:3" x14ac:dyDescent="0.25">
      <c r="B1059">
        <v>1049</v>
      </c>
      <c r="C1059" t="s">
        <v>33</v>
      </c>
    </row>
    <row r="1060" spans="2:3" x14ac:dyDescent="0.25">
      <c r="B1060">
        <v>1053</v>
      </c>
      <c r="C1060" t="s">
        <v>33</v>
      </c>
    </row>
    <row r="1061" spans="2:3" x14ac:dyDescent="0.25">
      <c r="B1061">
        <v>1045</v>
      </c>
      <c r="C1061" t="s">
        <v>33</v>
      </c>
    </row>
    <row r="1062" spans="2:3" x14ac:dyDescent="0.25">
      <c r="B1062">
        <v>1039</v>
      </c>
      <c r="C1062" t="s">
        <v>33</v>
      </c>
    </row>
    <row r="1063" spans="2:3" x14ac:dyDescent="0.25">
      <c r="B1063">
        <v>1042</v>
      </c>
      <c r="C1063" t="s">
        <v>33</v>
      </c>
    </row>
    <row r="1064" spans="2:3" x14ac:dyDescent="0.25">
      <c r="B1064">
        <v>1055</v>
      </c>
      <c r="C1064" t="s">
        <v>33</v>
      </c>
    </row>
    <row r="1065" spans="2:3" x14ac:dyDescent="0.25">
      <c r="B1065">
        <v>1035</v>
      </c>
      <c r="C1065" t="s">
        <v>33</v>
      </c>
    </row>
    <row r="1066" spans="2:3" x14ac:dyDescent="0.25">
      <c r="B1066">
        <v>1023</v>
      </c>
      <c r="C1066" t="s">
        <v>33</v>
      </c>
    </row>
    <row r="1067" spans="2:3" x14ac:dyDescent="0.25">
      <c r="B1067">
        <v>1043</v>
      </c>
      <c r="C1067" t="s">
        <v>33</v>
      </c>
    </row>
    <row r="1068" spans="2:3" x14ac:dyDescent="0.25">
      <c r="B1068">
        <v>1046</v>
      </c>
      <c r="C1068" t="s">
        <v>33</v>
      </c>
    </row>
    <row r="1069" spans="2:3" x14ac:dyDescent="0.25">
      <c r="B1069">
        <v>1033</v>
      </c>
      <c r="C1069" t="s">
        <v>33</v>
      </c>
    </row>
    <row r="1070" spans="2:3" x14ac:dyDescent="0.25">
      <c r="B1070">
        <v>1021</v>
      </c>
      <c r="C1070" t="s">
        <v>33</v>
      </c>
    </row>
    <row r="1071" spans="2:3" x14ac:dyDescent="0.25">
      <c r="B1071">
        <v>1056</v>
      </c>
      <c r="C1071" t="s">
        <v>33</v>
      </c>
    </row>
    <row r="1072" spans="2:3" x14ac:dyDescent="0.25">
      <c r="B1072">
        <v>1041</v>
      </c>
      <c r="C1072" t="s">
        <v>33</v>
      </c>
    </row>
    <row r="1073" spans="2:3" x14ac:dyDescent="0.25">
      <c r="B1073">
        <v>1020</v>
      </c>
      <c r="C1073" t="s">
        <v>33</v>
      </c>
    </row>
    <row r="1074" spans="2:3" x14ac:dyDescent="0.25">
      <c r="B1074">
        <v>1022</v>
      </c>
      <c r="C1074" t="s">
        <v>33</v>
      </c>
    </row>
    <row r="1075" spans="2:3" x14ac:dyDescent="0.25">
      <c r="B1075">
        <v>1031</v>
      </c>
      <c r="C1075" t="s">
        <v>33</v>
      </c>
    </row>
    <row r="1076" spans="2:3" x14ac:dyDescent="0.25">
      <c r="B1076">
        <v>1050</v>
      </c>
      <c r="C1076" t="s">
        <v>34</v>
      </c>
    </row>
    <row r="1077" spans="2:3" x14ac:dyDescent="0.25">
      <c r="B1077">
        <v>1036</v>
      </c>
      <c r="C1077" t="s">
        <v>34</v>
      </c>
    </row>
    <row r="1078" spans="2:3" x14ac:dyDescent="0.25">
      <c r="B1078">
        <v>1061</v>
      </c>
      <c r="C1078" t="s">
        <v>34</v>
      </c>
    </row>
    <row r="1079" spans="2:3" x14ac:dyDescent="0.25">
      <c r="B1079">
        <v>1059</v>
      </c>
      <c r="C1079" t="s">
        <v>34</v>
      </c>
    </row>
    <row r="1080" spans="2:3" x14ac:dyDescent="0.25">
      <c r="B1080">
        <v>1040</v>
      </c>
      <c r="C1080" t="s">
        <v>25</v>
      </c>
    </row>
    <row r="1081" spans="2:3" x14ac:dyDescent="0.25">
      <c r="B1081">
        <v>1044</v>
      </c>
      <c r="C1081" t="s">
        <v>25</v>
      </c>
    </row>
    <row r="1082" spans="2:3" x14ac:dyDescent="0.25">
      <c r="B1082">
        <v>1058</v>
      </c>
      <c r="C1082" t="s">
        <v>25</v>
      </c>
    </row>
    <row r="1083" spans="2:3" x14ac:dyDescent="0.25">
      <c r="B1083">
        <v>1024</v>
      </c>
      <c r="C1083" t="s">
        <v>25</v>
      </c>
    </row>
    <row r="1084" spans="2:3" x14ac:dyDescent="0.25">
      <c r="B1084">
        <v>1048</v>
      </c>
      <c r="C1084" t="s">
        <v>25</v>
      </c>
    </row>
    <row r="1085" spans="2:3" x14ac:dyDescent="0.25">
      <c r="B1085">
        <v>1027</v>
      </c>
      <c r="C1085" t="s">
        <v>25</v>
      </c>
    </row>
    <row r="1086" spans="2:3" x14ac:dyDescent="0.25">
      <c r="B1086">
        <v>1030</v>
      </c>
      <c r="C1086" t="s">
        <v>25</v>
      </c>
    </row>
    <row r="1087" spans="2:3" x14ac:dyDescent="0.25">
      <c r="B1087">
        <v>1037</v>
      </c>
      <c r="C1087" t="s">
        <v>25</v>
      </c>
    </row>
    <row r="1088" spans="2:3" x14ac:dyDescent="0.25">
      <c r="B1088">
        <v>1034</v>
      </c>
      <c r="C1088" t="s">
        <v>25</v>
      </c>
    </row>
    <row r="1089" spans="2:3" x14ac:dyDescent="0.25">
      <c r="B1089">
        <v>1091</v>
      </c>
      <c r="C1089" t="s">
        <v>33</v>
      </c>
    </row>
    <row r="1090" spans="2:3" x14ac:dyDescent="0.25">
      <c r="B1090">
        <v>1130</v>
      </c>
      <c r="C1090" t="s">
        <v>33</v>
      </c>
    </row>
    <row r="1091" spans="2:3" x14ac:dyDescent="0.25">
      <c r="B1091">
        <v>1106</v>
      </c>
      <c r="C1091" t="s">
        <v>33</v>
      </c>
    </row>
    <row r="1092" spans="2:3" x14ac:dyDescent="0.25">
      <c r="B1092">
        <v>1129</v>
      </c>
      <c r="C1092" t="s">
        <v>33</v>
      </c>
    </row>
    <row r="1093" spans="2:3" x14ac:dyDescent="0.25">
      <c r="B1093">
        <v>1085</v>
      </c>
      <c r="C1093" t="s">
        <v>33</v>
      </c>
    </row>
    <row r="1094" spans="2:3" x14ac:dyDescent="0.25">
      <c r="B1094">
        <v>1100</v>
      </c>
      <c r="C1094" t="s">
        <v>33</v>
      </c>
    </row>
    <row r="1095" spans="2:3" x14ac:dyDescent="0.25">
      <c r="B1095">
        <v>1110</v>
      </c>
      <c r="C1095" t="s">
        <v>33</v>
      </c>
    </row>
    <row r="1096" spans="2:3" x14ac:dyDescent="0.25">
      <c r="B1096">
        <v>1078</v>
      </c>
      <c r="C1096" t="s">
        <v>33</v>
      </c>
    </row>
    <row r="1097" spans="2:3" x14ac:dyDescent="0.25">
      <c r="B1097">
        <v>1128</v>
      </c>
      <c r="C1097" t="s">
        <v>33</v>
      </c>
    </row>
    <row r="1098" spans="2:3" x14ac:dyDescent="0.25">
      <c r="B1098">
        <v>1095</v>
      </c>
      <c r="C1098" t="s">
        <v>33</v>
      </c>
    </row>
    <row r="1099" spans="2:3" x14ac:dyDescent="0.25">
      <c r="B1099">
        <v>1113</v>
      </c>
      <c r="C1099" t="s">
        <v>33</v>
      </c>
    </row>
    <row r="1100" spans="2:3" x14ac:dyDescent="0.25">
      <c r="B1100">
        <v>1069</v>
      </c>
      <c r="C1100" t="s">
        <v>33</v>
      </c>
    </row>
    <row r="1101" spans="2:3" x14ac:dyDescent="0.25">
      <c r="B1101">
        <v>1073</v>
      </c>
      <c r="C1101" t="s">
        <v>33</v>
      </c>
    </row>
    <row r="1102" spans="2:3" x14ac:dyDescent="0.25">
      <c r="B1102">
        <v>1137</v>
      </c>
      <c r="C1102" t="s">
        <v>33</v>
      </c>
    </row>
    <row r="1103" spans="2:3" x14ac:dyDescent="0.25">
      <c r="B1103">
        <v>1122</v>
      </c>
      <c r="C1103" t="s">
        <v>33</v>
      </c>
    </row>
    <row r="1104" spans="2:3" x14ac:dyDescent="0.25">
      <c r="B1104">
        <v>1123</v>
      </c>
      <c r="C1104" t="s">
        <v>33</v>
      </c>
    </row>
    <row r="1105" spans="2:3" x14ac:dyDescent="0.25">
      <c r="B1105">
        <v>1134</v>
      </c>
      <c r="C1105" t="s">
        <v>33</v>
      </c>
    </row>
    <row r="1106" spans="2:3" x14ac:dyDescent="0.25">
      <c r="B1106">
        <v>1101</v>
      </c>
      <c r="C1106" t="s">
        <v>33</v>
      </c>
    </row>
    <row r="1107" spans="2:3" x14ac:dyDescent="0.25">
      <c r="B1107">
        <v>1136</v>
      </c>
      <c r="C1107" t="s">
        <v>33</v>
      </c>
    </row>
    <row r="1108" spans="2:3" x14ac:dyDescent="0.25">
      <c r="B1108">
        <v>1135</v>
      </c>
      <c r="C1108" t="s">
        <v>33</v>
      </c>
    </row>
    <row r="1109" spans="2:3" x14ac:dyDescent="0.25">
      <c r="B1109">
        <v>1088</v>
      </c>
      <c r="C1109" t="s">
        <v>33</v>
      </c>
    </row>
    <row r="1110" spans="2:3" x14ac:dyDescent="0.25">
      <c r="B1110">
        <v>1141</v>
      </c>
      <c r="C1110" t="s">
        <v>33</v>
      </c>
    </row>
    <row r="1111" spans="2:3" x14ac:dyDescent="0.25">
      <c r="B1111">
        <v>1070</v>
      </c>
      <c r="C1111" t="s">
        <v>33</v>
      </c>
    </row>
    <row r="1112" spans="2:3" x14ac:dyDescent="0.25">
      <c r="B1112">
        <v>1117</v>
      </c>
      <c r="C1112" t="s">
        <v>33</v>
      </c>
    </row>
    <row r="1113" spans="2:3" x14ac:dyDescent="0.25">
      <c r="B1113">
        <v>1079</v>
      </c>
      <c r="C1113" t="s">
        <v>33</v>
      </c>
    </row>
    <row r="1114" spans="2:3" x14ac:dyDescent="0.25">
      <c r="B1114">
        <v>1090</v>
      </c>
      <c r="C1114" t="s">
        <v>33</v>
      </c>
    </row>
    <row r="1115" spans="2:3" x14ac:dyDescent="0.25">
      <c r="B1115">
        <v>1089</v>
      </c>
      <c r="C1115" t="s">
        <v>33</v>
      </c>
    </row>
    <row r="1116" spans="2:3" x14ac:dyDescent="0.25">
      <c r="B1116">
        <v>1132</v>
      </c>
      <c r="C1116" t="s">
        <v>33</v>
      </c>
    </row>
    <row r="1117" spans="2:3" x14ac:dyDescent="0.25">
      <c r="B1117">
        <v>1080</v>
      </c>
      <c r="C1117" t="s">
        <v>33</v>
      </c>
    </row>
    <row r="1118" spans="2:3" x14ac:dyDescent="0.25">
      <c r="B1118">
        <v>1067</v>
      </c>
      <c r="C1118" t="s">
        <v>33</v>
      </c>
    </row>
    <row r="1119" spans="2:3" x14ac:dyDescent="0.25">
      <c r="B1119">
        <v>1127</v>
      </c>
      <c r="C1119" t="s">
        <v>33</v>
      </c>
    </row>
    <row r="1120" spans="2:3" x14ac:dyDescent="0.25">
      <c r="B1120">
        <v>1107</v>
      </c>
      <c r="C1120" t="s">
        <v>33</v>
      </c>
    </row>
    <row r="1121" spans="2:3" x14ac:dyDescent="0.25">
      <c r="B1121">
        <v>1068</v>
      </c>
      <c r="C1121" t="s">
        <v>33</v>
      </c>
    </row>
    <row r="1122" spans="2:3" x14ac:dyDescent="0.25">
      <c r="B1122">
        <v>1102</v>
      </c>
      <c r="C1122" t="s">
        <v>33</v>
      </c>
    </row>
    <row r="1123" spans="2:3" x14ac:dyDescent="0.25">
      <c r="B1123">
        <v>1064</v>
      </c>
      <c r="C1123" t="s">
        <v>33</v>
      </c>
    </row>
    <row r="1124" spans="2:3" x14ac:dyDescent="0.25">
      <c r="B1124">
        <v>1118</v>
      </c>
      <c r="C1124" t="s">
        <v>33</v>
      </c>
    </row>
    <row r="1125" spans="2:3" x14ac:dyDescent="0.25">
      <c r="B1125">
        <v>1081</v>
      </c>
      <c r="C1125" t="s">
        <v>33</v>
      </c>
    </row>
    <row r="1126" spans="2:3" x14ac:dyDescent="0.25">
      <c r="B1126">
        <v>1124</v>
      </c>
      <c r="C1126" t="s">
        <v>33</v>
      </c>
    </row>
    <row r="1127" spans="2:3" x14ac:dyDescent="0.25">
      <c r="B1127">
        <v>1071</v>
      </c>
      <c r="C1127" t="s">
        <v>33</v>
      </c>
    </row>
    <row r="1128" spans="2:3" x14ac:dyDescent="0.25">
      <c r="B1128">
        <v>1126</v>
      </c>
      <c r="C1128" t="s">
        <v>33</v>
      </c>
    </row>
    <row r="1129" spans="2:3" x14ac:dyDescent="0.25">
      <c r="B1129">
        <v>1092</v>
      </c>
      <c r="C1129" t="s">
        <v>33</v>
      </c>
    </row>
    <row r="1130" spans="2:3" x14ac:dyDescent="0.25">
      <c r="B1130">
        <v>1082</v>
      </c>
      <c r="C1130" t="s">
        <v>33</v>
      </c>
    </row>
    <row r="1131" spans="2:3" x14ac:dyDescent="0.25">
      <c r="B1131">
        <v>1119</v>
      </c>
      <c r="C1131" t="s">
        <v>33</v>
      </c>
    </row>
    <row r="1132" spans="2:3" x14ac:dyDescent="0.25">
      <c r="B1132">
        <v>1133</v>
      </c>
      <c r="C1132" t="s">
        <v>33</v>
      </c>
    </row>
    <row r="1133" spans="2:3" x14ac:dyDescent="0.25">
      <c r="B1133">
        <v>1140</v>
      </c>
      <c r="C1133" t="s">
        <v>33</v>
      </c>
    </row>
    <row r="1134" spans="2:3" x14ac:dyDescent="0.25">
      <c r="B1134">
        <v>1094</v>
      </c>
      <c r="C1134" t="s">
        <v>33</v>
      </c>
    </row>
    <row r="1135" spans="2:3" x14ac:dyDescent="0.25">
      <c r="B1135">
        <v>1131</v>
      </c>
      <c r="C1135" t="s">
        <v>33</v>
      </c>
    </row>
    <row r="1136" spans="2:3" x14ac:dyDescent="0.25">
      <c r="B1136">
        <v>1142</v>
      </c>
      <c r="C1136" t="s">
        <v>33</v>
      </c>
    </row>
    <row r="1137" spans="2:3" x14ac:dyDescent="0.25">
      <c r="B1137">
        <v>1076</v>
      </c>
      <c r="C1137" t="s">
        <v>33</v>
      </c>
    </row>
    <row r="1138" spans="2:3" x14ac:dyDescent="0.25">
      <c r="B1138">
        <v>1121</v>
      </c>
      <c r="C1138" t="s">
        <v>33</v>
      </c>
    </row>
    <row r="1139" spans="2:3" x14ac:dyDescent="0.25">
      <c r="B1139">
        <v>1112</v>
      </c>
      <c r="C1139" t="s">
        <v>33</v>
      </c>
    </row>
    <row r="1140" spans="2:3" x14ac:dyDescent="0.25">
      <c r="B1140">
        <v>1108</v>
      </c>
      <c r="C1140" t="s">
        <v>33</v>
      </c>
    </row>
    <row r="1141" spans="2:3" x14ac:dyDescent="0.25">
      <c r="B1141">
        <v>1075</v>
      </c>
      <c r="C1141" t="s">
        <v>33</v>
      </c>
    </row>
    <row r="1142" spans="2:3" x14ac:dyDescent="0.25">
      <c r="B1142">
        <v>1077</v>
      </c>
      <c r="C1142" t="s">
        <v>33</v>
      </c>
    </row>
    <row r="1143" spans="2:3" x14ac:dyDescent="0.25">
      <c r="B1143">
        <v>1099</v>
      </c>
      <c r="C1143" t="s">
        <v>33</v>
      </c>
    </row>
    <row r="1144" spans="2:3" x14ac:dyDescent="0.25">
      <c r="B1144">
        <v>1083</v>
      </c>
      <c r="C1144" t="s">
        <v>33</v>
      </c>
    </row>
    <row r="1145" spans="2:3" x14ac:dyDescent="0.25">
      <c r="B1145">
        <v>1063</v>
      </c>
      <c r="C1145" t="s">
        <v>33</v>
      </c>
    </row>
    <row r="1146" spans="2:3" x14ac:dyDescent="0.25">
      <c r="B1146">
        <v>1114</v>
      </c>
      <c r="C1146" t="s">
        <v>34</v>
      </c>
    </row>
    <row r="1147" spans="2:3" x14ac:dyDescent="0.25">
      <c r="B1147">
        <v>1096</v>
      </c>
      <c r="C1147" t="s">
        <v>34</v>
      </c>
    </row>
    <row r="1148" spans="2:3" x14ac:dyDescent="0.25">
      <c r="B1148">
        <v>1072</v>
      </c>
      <c r="C1148" t="s">
        <v>34</v>
      </c>
    </row>
    <row r="1149" spans="2:3" x14ac:dyDescent="0.25">
      <c r="B1149">
        <v>1125</v>
      </c>
      <c r="C1149" t="s">
        <v>34</v>
      </c>
    </row>
    <row r="1150" spans="2:3" x14ac:dyDescent="0.25">
      <c r="B1150">
        <v>1104</v>
      </c>
      <c r="C1150" t="s">
        <v>34</v>
      </c>
    </row>
    <row r="1151" spans="2:3" x14ac:dyDescent="0.25">
      <c r="B1151">
        <v>1097</v>
      </c>
      <c r="C1151" t="s">
        <v>34</v>
      </c>
    </row>
    <row r="1152" spans="2:3" x14ac:dyDescent="0.25">
      <c r="B1152">
        <v>1065</v>
      </c>
      <c r="C1152" t="s">
        <v>34</v>
      </c>
    </row>
    <row r="1153" spans="2:3" x14ac:dyDescent="0.25">
      <c r="B1153">
        <v>1103</v>
      </c>
      <c r="C1153" t="s">
        <v>34</v>
      </c>
    </row>
    <row r="1154" spans="2:3" x14ac:dyDescent="0.25">
      <c r="B1154">
        <v>1138</v>
      </c>
      <c r="C1154" t="s">
        <v>25</v>
      </c>
    </row>
    <row r="1155" spans="2:3" x14ac:dyDescent="0.25">
      <c r="B1155">
        <v>1111</v>
      </c>
      <c r="C1155" t="s">
        <v>25</v>
      </c>
    </row>
    <row r="1156" spans="2:3" x14ac:dyDescent="0.25">
      <c r="B1156">
        <v>1066</v>
      </c>
      <c r="C1156" t="s">
        <v>25</v>
      </c>
    </row>
    <row r="1157" spans="2:3" x14ac:dyDescent="0.25">
      <c r="B1157">
        <v>1074</v>
      </c>
      <c r="C1157" t="s">
        <v>25</v>
      </c>
    </row>
    <row r="1158" spans="2:3" x14ac:dyDescent="0.25">
      <c r="B1158">
        <v>1093</v>
      </c>
      <c r="C1158" t="s">
        <v>25</v>
      </c>
    </row>
    <row r="1159" spans="2:3" x14ac:dyDescent="0.25">
      <c r="B1159">
        <v>1105</v>
      </c>
      <c r="C1159" t="s">
        <v>25</v>
      </c>
    </row>
    <row r="1160" spans="2:3" x14ac:dyDescent="0.25">
      <c r="B1160">
        <v>1115</v>
      </c>
      <c r="C1160" t="s">
        <v>25</v>
      </c>
    </row>
    <row r="1161" spans="2:3" x14ac:dyDescent="0.25">
      <c r="B1161">
        <v>1062</v>
      </c>
      <c r="C1161" t="s">
        <v>25</v>
      </c>
    </row>
    <row r="1162" spans="2:3" x14ac:dyDescent="0.25">
      <c r="B1162">
        <v>1087</v>
      </c>
      <c r="C1162" t="s">
        <v>25</v>
      </c>
    </row>
    <row r="1163" spans="2:3" x14ac:dyDescent="0.25">
      <c r="B1163">
        <v>1109</v>
      </c>
      <c r="C1163" t="s">
        <v>25</v>
      </c>
    </row>
    <row r="1164" spans="2:3" x14ac:dyDescent="0.25">
      <c r="B1164">
        <v>1139</v>
      </c>
      <c r="C1164" t="s">
        <v>25</v>
      </c>
    </row>
    <row r="1165" spans="2:3" x14ac:dyDescent="0.25">
      <c r="B1165">
        <v>1098</v>
      </c>
      <c r="C1165" t="s">
        <v>25</v>
      </c>
    </row>
    <row r="1166" spans="2:3" x14ac:dyDescent="0.25">
      <c r="B1166">
        <v>1084</v>
      </c>
      <c r="C1166" t="s">
        <v>25</v>
      </c>
    </row>
    <row r="1167" spans="2:3" x14ac:dyDescent="0.25">
      <c r="B1167">
        <v>1120</v>
      </c>
      <c r="C1167" t="s">
        <v>25</v>
      </c>
    </row>
    <row r="1168" spans="2:3" x14ac:dyDescent="0.25">
      <c r="B1168">
        <v>1086</v>
      </c>
      <c r="C1168" t="s">
        <v>25</v>
      </c>
    </row>
    <row r="1169" spans="2:3" x14ac:dyDescent="0.25">
      <c r="B1169">
        <v>1116</v>
      </c>
      <c r="C1169" t="s">
        <v>25</v>
      </c>
    </row>
    <row r="1170" spans="2:3" x14ac:dyDescent="0.25">
      <c r="B1170">
        <v>1158</v>
      </c>
      <c r="C1170" t="s">
        <v>33</v>
      </c>
    </row>
    <row r="1171" spans="2:3" x14ac:dyDescent="0.25">
      <c r="B1171">
        <v>1151</v>
      </c>
      <c r="C1171" t="s">
        <v>33</v>
      </c>
    </row>
    <row r="1172" spans="2:3" x14ac:dyDescent="0.25">
      <c r="B1172">
        <v>1150</v>
      </c>
      <c r="C1172" t="s">
        <v>33</v>
      </c>
    </row>
    <row r="1173" spans="2:3" x14ac:dyDescent="0.25">
      <c r="B1173">
        <v>1153</v>
      </c>
      <c r="C1173" t="s">
        <v>33</v>
      </c>
    </row>
    <row r="1174" spans="2:3" x14ac:dyDescent="0.25">
      <c r="B1174">
        <v>1147</v>
      </c>
      <c r="C1174" t="s">
        <v>33</v>
      </c>
    </row>
    <row r="1175" spans="2:3" x14ac:dyDescent="0.25">
      <c r="B1175">
        <v>1144</v>
      </c>
      <c r="C1175" t="s">
        <v>33</v>
      </c>
    </row>
    <row r="1176" spans="2:3" x14ac:dyDescent="0.25">
      <c r="B1176">
        <v>1149</v>
      </c>
      <c r="C1176" t="s">
        <v>33</v>
      </c>
    </row>
    <row r="1177" spans="2:3" x14ac:dyDescent="0.25">
      <c r="B1177">
        <v>1152</v>
      </c>
      <c r="C1177" t="s">
        <v>33</v>
      </c>
    </row>
    <row r="1178" spans="2:3" x14ac:dyDescent="0.25">
      <c r="B1178">
        <v>1155</v>
      </c>
      <c r="C1178" t="s">
        <v>33</v>
      </c>
    </row>
    <row r="1179" spans="2:3" x14ac:dyDescent="0.25">
      <c r="B1179">
        <v>1157</v>
      </c>
      <c r="C1179" t="s">
        <v>33</v>
      </c>
    </row>
    <row r="1180" spans="2:3" x14ac:dyDescent="0.25">
      <c r="B1180">
        <v>1156</v>
      </c>
      <c r="C1180" t="s">
        <v>33</v>
      </c>
    </row>
    <row r="1181" spans="2:3" x14ac:dyDescent="0.25">
      <c r="B1181">
        <v>1159</v>
      </c>
      <c r="C1181" t="s">
        <v>33</v>
      </c>
    </row>
    <row r="1182" spans="2:3" x14ac:dyDescent="0.25">
      <c r="B1182">
        <v>1148</v>
      </c>
      <c r="C1182" t="s">
        <v>34</v>
      </c>
    </row>
    <row r="1183" spans="2:3" x14ac:dyDescent="0.25">
      <c r="B1183">
        <v>1143</v>
      </c>
      <c r="C1183" t="s">
        <v>34</v>
      </c>
    </row>
    <row r="1184" spans="2:3" x14ac:dyDescent="0.25">
      <c r="B1184">
        <v>1154</v>
      </c>
      <c r="C1184" t="s">
        <v>25</v>
      </c>
    </row>
    <row r="1185" spans="2:3" x14ac:dyDescent="0.25">
      <c r="B1185">
        <v>1146</v>
      </c>
      <c r="C1185" t="s">
        <v>25</v>
      </c>
    </row>
    <row r="1186" spans="2:3" x14ac:dyDescent="0.25">
      <c r="B1186">
        <v>1145</v>
      </c>
      <c r="C1186" t="s">
        <v>25</v>
      </c>
    </row>
    <row r="1187" spans="2:3" x14ac:dyDescent="0.25">
      <c r="B1187">
        <v>1217</v>
      </c>
      <c r="C1187" t="s">
        <v>33</v>
      </c>
    </row>
    <row r="1188" spans="2:3" x14ac:dyDescent="0.25">
      <c r="B1188">
        <v>1208</v>
      </c>
      <c r="C1188" t="s">
        <v>33</v>
      </c>
    </row>
    <row r="1189" spans="2:3" x14ac:dyDescent="0.25">
      <c r="B1189">
        <v>1187</v>
      </c>
      <c r="C1189" t="s">
        <v>33</v>
      </c>
    </row>
    <row r="1190" spans="2:3" x14ac:dyDescent="0.25">
      <c r="B1190">
        <v>1247</v>
      </c>
      <c r="C1190" t="s">
        <v>33</v>
      </c>
    </row>
    <row r="1191" spans="2:3" x14ac:dyDescent="0.25">
      <c r="B1191">
        <v>1239</v>
      </c>
      <c r="C1191" t="s">
        <v>33</v>
      </c>
    </row>
    <row r="1192" spans="2:3" x14ac:dyDescent="0.25">
      <c r="B1192">
        <v>1201</v>
      </c>
      <c r="C1192" t="s">
        <v>33</v>
      </c>
    </row>
    <row r="1193" spans="2:3" x14ac:dyDescent="0.25">
      <c r="B1193">
        <v>1177</v>
      </c>
      <c r="C1193" t="s">
        <v>33</v>
      </c>
    </row>
    <row r="1194" spans="2:3" x14ac:dyDescent="0.25">
      <c r="B1194">
        <v>1253</v>
      </c>
      <c r="C1194" t="s">
        <v>33</v>
      </c>
    </row>
    <row r="1195" spans="2:3" x14ac:dyDescent="0.25">
      <c r="B1195">
        <v>1178</v>
      </c>
      <c r="C1195" t="s">
        <v>33</v>
      </c>
    </row>
    <row r="1196" spans="2:3" x14ac:dyDescent="0.25">
      <c r="B1196">
        <v>1164</v>
      </c>
      <c r="C1196" t="s">
        <v>33</v>
      </c>
    </row>
    <row r="1197" spans="2:3" x14ac:dyDescent="0.25">
      <c r="B1197">
        <v>1218</v>
      </c>
      <c r="C1197" t="s">
        <v>33</v>
      </c>
    </row>
    <row r="1198" spans="2:3" x14ac:dyDescent="0.25">
      <c r="B1198">
        <v>1202</v>
      </c>
      <c r="C1198" t="s">
        <v>33</v>
      </c>
    </row>
    <row r="1199" spans="2:3" x14ac:dyDescent="0.25">
      <c r="B1199">
        <v>1210</v>
      </c>
      <c r="C1199" t="s">
        <v>33</v>
      </c>
    </row>
    <row r="1200" spans="2:3" x14ac:dyDescent="0.25">
      <c r="B1200">
        <v>1191</v>
      </c>
      <c r="C1200" t="s">
        <v>33</v>
      </c>
    </row>
    <row r="1201" spans="2:3" x14ac:dyDescent="0.25">
      <c r="B1201">
        <v>1188</v>
      </c>
      <c r="C1201" t="s">
        <v>33</v>
      </c>
    </row>
    <row r="1202" spans="2:3" x14ac:dyDescent="0.25">
      <c r="B1202">
        <v>1262</v>
      </c>
      <c r="C1202" t="s">
        <v>33</v>
      </c>
    </row>
    <row r="1203" spans="2:3" x14ac:dyDescent="0.25">
      <c r="B1203">
        <v>1263</v>
      </c>
      <c r="C1203" t="s">
        <v>33</v>
      </c>
    </row>
    <row r="1204" spans="2:3" x14ac:dyDescent="0.25">
      <c r="B1204">
        <v>1232</v>
      </c>
      <c r="C1204" t="s">
        <v>33</v>
      </c>
    </row>
    <row r="1205" spans="2:3" x14ac:dyDescent="0.25">
      <c r="B1205">
        <v>1267</v>
      </c>
      <c r="C1205" t="s">
        <v>33</v>
      </c>
    </row>
    <row r="1206" spans="2:3" x14ac:dyDescent="0.25">
      <c r="B1206">
        <v>1220</v>
      </c>
      <c r="C1206" t="s">
        <v>33</v>
      </c>
    </row>
    <row r="1207" spans="2:3" x14ac:dyDescent="0.25">
      <c r="B1207">
        <v>1241</v>
      </c>
      <c r="C1207" t="s">
        <v>33</v>
      </c>
    </row>
    <row r="1208" spans="2:3" x14ac:dyDescent="0.25">
      <c r="B1208">
        <v>1248</v>
      </c>
      <c r="C1208" t="s">
        <v>33</v>
      </c>
    </row>
    <row r="1209" spans="2:3" x14ac:dyDescent="0.25">
      <c r="B1209">
        <v>1242</v>
      </c>
      <c r="C1209" t="s">
        <v>33</v>
      </c>
    </row>
    <row r="1210" spans="2:3" x14ac:dyDescent="0.25">
      <c r="B1210">
        <v>1185</v>
      </c>
      <c r="C1210" t="s">
        <v>33</v>
      </c>
    </row>
    <row r="1211" spans="2:3" x14ac:dyDescent="0.25">
      <c r="B1211">
        <v>1226</v>
      </c>
      <c r="C1211" t="s">
        <v>33</v>
      </c>
    </row>
    <row r="1212" spans="2:3" x14ac:dyDescent="0.25">
      <c r="B1212">
        <v>1230</v>
      </c>
      <c r="C1212" t="s">
        <v>33</v>
      </c>
    </row>
    <row r="1213" spans="2:3" x14ac:dyDescent="0.25">
      <c r="B1213">
        <v>1224</v>
      </c>
      <c r="C1213" t="s">
        <v>33</v>
      </c>
    </row>
    <row r="1214" spans="2:3" x14ac:dyDescent="0.25">
      <c r="B1214">
        <v>1181</v>
      </c>
      <c r="C1214" t="s">
        <v>33</v>
      </c>
    </row>
    <row r="1215" spans="2:3" x14ac:dyDescent="0.25">
      <c r="B1215">
        <v>1258</v>
      </c>
      <c r="C1215" t="s">
        <v>33</v>
      </c>
    </row>
    <row r="1216" spans="2:3" x14ac:dyDescent="0.25">
      <c r="B1216">
        <v>1269</v>
      </c>
      <c r="C1216" t="s">
        <v>33</v>
      </c>
    </row>
    <row r="1217" spans="2:3" x14ac:dyDescent="0.25">
      <c r="B1217">
        <v>1214</v>
      </c>
      <c r="C1217" t="s">
        <v>33</v>
      </c>
    </row>
    <row r="1218" spans="2:3" x14ac:dyDescent="0.25">
      <c r="B1218">
        <v>1270</v>
      </c>
      <c r="C1218" t="s">
        <v>33</v>
      </c>
    </row>
    <row r="1219" spans="2:3" x14ac:dyDescent="0.25">
      <c r="B1219">
        <v>1170</v>
      </c>
      <c r="C1219" t="s">
        <v>33</v>
      </c>
    </row>
    <row r="1220" spans="2:3" x14ac:dyDescent="0.25">
      <c r="B1220">
        <v>1236</v>
      </c>
      <c r="C1220" t="s">
        <v>33</v>
      </c>
    </row>
    <row r="1221" spans="2:3" x14ac:dyDescent="0.25">
      <c r="B1221">
        <v>1240</v>
      </c>
      <c r="C1221" t="s">
        <v>33</v>
      </c>
    </row>
    <row r="1222" spans="2:3" x14ac:dyDescent="0.25">
      <c r="B1222">
        <v>1238</v>
      </c>
      <c r="C1222" t="s">
        <v>33</v>
      </c>
    </row>
    <row r="1223" spans="2:3" x14ac:dyDescent="0.25">
      <c r="B1223">
        <v>1197</v>
      </c>
      <c r="C1223" t="s">
        <v>33</v>
      </c>
    </row>
    <row r="1224" spans="2:3" x14ac:dyDescent="0.25">
      <c r="B1224">
        <v>1254</v>
      </c>
      <c r="C1224" t="s">
        <v>33</v>
      </c>
    </row>
    <row r="1225" spans="2:3" x14ac:dyDescent="0.25">
      <c r="B1225">
        <v>1251</v>
      </c>
      <c r="C1225" t="s">
        <v>33</v>
      </c>
    </row>
    <row r="1226" spans="2:3" x14ac:dyDescent="0.25">
      <c r="B1226">
        <v>1225</v>
      </c>
      <c r="C1226" t="s">
        <v>33</v>
      </c>
    </row>
    <row r="1227" spans="2:3" x14ac:dyDescent="0.25">
      <c r="B1227">
        <v>1180</v>
      </c>
      <c r="C1227" t="s">
        <v>33</v>
      </c>
    </row>
    <row r="1228" spans="2:3" x14ac:dyDescent="0.25">
      <c r="B1228">
        <v>1166</v>
      </c>
      <c r="C1228" t="s">
        <v>33</v>
      </c>
    </row>
    <row r="1229" spans="2:3" x14ac:dyDescent="0.25">
      <c r="B1229">
        <v>1216</v>
      </c>
      <c r="C1229" t="s">
        <v>33</v>
      </c>
    </row>
    <row r="1230" spans="2:3" x14ac:dyDescent="0.25">
      <c r="B1230">
        <v>1233</v>
      </c>
      <c r="C1230" t="s">
        <v>33</v>
      </c>
    </row>
    <row r="1231" spans="2:3" x14ac:dyDescent="0.25">
      <c r="B1231">
        <v>1160</v>
      </c>
      <c r="C1231" t="s">
        <v>33</v>
      </c>
    </row>
    <row r="1232" spans="2:3" x14ac:dyDescent="0.25">
      <c r="B1232">
        <v>1193</v>
      </c>
      <c r="C1232" t="s">
        <v>33</v>
      </c>
    </row>
    <row r="1233" spans="2:3" x14ac:dyDescent="0.25">
      <c r="B1233">
        <v>1231</v>
      </c>
      <c r="C1233" t="s">
        <v>33</v>
      </c>
    </row>
    <row r="1234" spans="2:3" x14ac:dyDescent="0.25">
      <c r="B1234">
        <v>1194</v>
      </c>
      <c r="C1234" t="s">
        <v>33</v>
      </c>
    </row>
    <row r="1235" spans="2:3" x14ac:dyDescent="0.25">
      <c r="B1235">
        <v>1221</v>
      </c>
      <c r="C1235" t="s">
        <v>33</v>
      </c>
    </row>
    <row r="1236" spans="2:3" x14ac:dyDescent="0.25">
      <c r="B1236">
        <v>1227</v>
      </c>
      <c r="C1236" t="s">
        <v>33</v>
      </c>
    </row>
    <row r="1237" spans="2:3" x14ac:dyDescent="0.25">
      <c r="B1237">
        <v>1198</v>
      </c>
      <c r="C1237" t="s">
        <v>33</v>
      </c>
    </row>
    <row r="1238" spans="2:3" x14ac:dyDescent="0.25">
      <c r="B1238">
        <v>1250</v>
      </c>
      <c r="C1238" t="s">
        <v>33</v>
      </c>
    </row>
    <row r="1239" spans="2:3" x14ac:dyDescent="0.25">
      <c r="B1239">
        <v>1163</v>
      </c>
      <c r="C1239" t="s">
        <v>33</v>
      </c>
    </row>
    <row r="1240" spans="2:3" x14ac:dyDescent="0.25">
      <c r="B1240">
        <v>1183</v>
      </c>
      <c r="C1240" t="s">
        <v>33</v>
      </c>
    </row>
    <row r="1241" spans="2:3" x14ac:dyDescent="0.25">
      <c r="B1241">
        <v>1209</v>
      </c>
      <c r="C1241" t="s">
        <v>33</v>
      </c>
    </row>
    <row r="1242" spans="2:3" x14ac:dyDescent="0.25">
      <c r="B1242">
        <v>1271</v>
      </c>
      <c r="C1242" t="s">
        <v>33</v>
      </c>
    </row>
    <row r="1243" spans="2:3" x14ac:dyDescent="0.25">
      <c r="B1243">
        <v>1228</v>
      </c>
      <c r="C1243" t="s">
        <v>33</v>
      </c>
    </row>
    <row r="1244" spans="2:3" x14ac:dyDescent="0.25">
      <c r="B1244">
        <v>1173</v>
      </c>
      <c r="C1244" t="s">
        <v>33</v>
      </c>
    </row>
    <row r="1245" spans="2:3" x14ac:dyDescent="0.25">
      <c r="B1245">
        <v>1168</v>
      </c>
      <c r="C1245" t="s">
        <v>33</v>
      </c>
    </row>
    <row r="1246" spans="2:3" x14ac:dyDescent="0.25">
      <c r="B1246">
        <v>1235</v>
      </c>
      <c r="C1246" t="s">
        <v>33</v>
      </c>
    </row>
    <row r="1247" spans="2:3" x14ac:dyDescent="0.25">
      <c r="B1247">
        <v>1161</v>
      </c>
      <c r="C1247" t="s">
        <v>33</v>
      </c>
    </row>
    <row r="1248" spans="2:3" x14ac:dyDescent="0.25">
      <c r="B1248">
        <v>1215</v>
      </c>
      <c r="C1248" t="s">
        <v>33</v>
      </c>
    </row>
    <row r="1249" spans="2:3" x14ac:dyDescent="0.25">
      <c r="B1249">
        <v>1252</v>
      </c>
      <c r="C1249" t="s">
        <v>33</v>
      </c>
    </row>
    <row r="1250" spans="2:3" x14ac:dyDescent="0.25">
      <c r="B1250">
        <v>1165</v>
      </c>
      <c r="C1250" t="s">
        <v>33</v>
      </c>
    </row>
    <row r="1251" spans="2:3" x14ac:dyDescent="0.25">
      <c r="B1251">
        <v>1175</v>
      </c>
      <c r="C1251" t="s">
        <v>33</v>
      </c>
    </row>
    <row r="1252" spans="2:3" x14ac:dyDescent="0.25">
      <c r="B1252">
        <v>1264</v>
      </c>
      <c r="C1252" t="s">
        <v>33</v>
      </c>
    </row>
    <row r="1253" spans="2:3" x14ac:dyDescent="0.25">
      <c r="B1253">
        <v>1272</v>
      </c>
      <c r="C1253" t="s">
        <v>33</v>
      </c>
    </row>
    <row r="1254" spans="2:3" x14ac:dyDescent="0.25">
      <c r="B1254">
        <v>1256</v>
      </c>
      <c r="C1254" t="s">
        <v>33</v>
      </c>
    </row>
    <row r="1255" spans="2:3" x14ac:dyDescent="0.25">
      <c r="B1255">
        <v>1169</v>
      </c>
      <c r="C1255" t="s">
        <v>33</v>
      </c>
    </row>
    <row r="1256" spans="2:3" x14ac:dyDescent="0.25">
      <c r="B1256">
        <v>1237</v>
      </c>
      <c r="C1256" t="s">
        <v>33</v>
      </c>
    </row>
    <row r="1257" spans="2:3" x14ac:dyDescent="0.25">
      <c r="B1257">
        <v>1195</v>
      </c>
      <c r="C1257" t="s">
        <v>33</v>
      </c>
    </row>
    <row r="1258" spans="2:3" x14ac:dyDescent="0.25">
      <c r="B1258">
        <v>1179</v>
      </c>
      <c r="C1258" t="s">
        <v>33</v>
      </c>
    </row>
    <row r="1259" spans="2:3" x14ac:dyDescent="0.25">
      <c r="B1259">
        <v>1212</v>
      </c>
      <c r="C1259" t="s">
        <v>33</v>
      </c>
    </row>
    <row r="1260" spans="2:3" x14ac:dyDescent="0.25">
      <c r="B1260">
        <v>1243</v>
      </c>
      <c r="C1260" t="s">
        <v>33</v>
      </c>
    </row>
    <row r="1261" spans="2:3" x14ac:dyDescent="0.25">
      <c r="B1261">
        <v>1162</v>
      </c>
      <c r="C1261" t="s">
        <v>33</v>
      </c>
    </row>
    <row r="1262" spans="2:3" x14ac:dyDescent="0.25">
      <c r="B1262">
        <v>1223</v>
      </c>
      <c r="C1262" t="s">
        <v>33</v>
      </c>
    </row>
    <row r="1263" spans="2:3" x14ac:dyDescent="0.25">
      <c r="B1263">
        <v>1196</v>
      </c>
      <c r="C1263" t="s">
        <v>33</v>
      </c>
    </row>
    <row r="1264" spans="2:3" x14ac:dyDescent="0.25">
      <c r="B1264">
        <v>1222</v>
      </c>
      <c r="C1264" t="s">
        <v>33</v>
      </c>
    </row>
    <row r="1265" spans="2:3" x14ac:dyDescent="0.25">
      <c r="B1265">
        <v>1205</v>
      </c>
      <c r="C1265" t="s">
        <v>33</v>
      </c>
    </row>
    <row r="1266" spans="2:3" x14ac:dyDescent="0.25">
      <c r="B1266">
        <v>1265</v>
      </c>
      <c r="C1266" t="s">
        <v>33</v>
      </c>
    </row>
    <row r="1267" spans="2:3" x14ac:dyDescent="0.25">
      <c r="B1267">
        <v>1246</v>
      </c>
      <c r="C1267" t="s">
        <v>33</v>
      </c>
    </row>
    <row r="1268" spans="2:3" x14ac:dyDescent="0.25">
      <c r="B1268">
        <v>1229</v>
      </c>
      <c r="C1268" t="s">
        <v>34</v>
      </c>
    </row>
    <row r="1269" spans="2:3" x14ac:dyDescent="0.25">
      <c r="B1269">
        <v>1203</v>
      </c>
      <c r="C1269" t="s">
        <v>34</v>
      </c>
    </row>
    <row r="1270" spans="2:3" x14ac:dyDescent="0.25">
      <c r="B1270">
        <v>1261</v>
      </c>
      <c r="C1270" t="s">
        <v>34</v>
      </c>
    </row>
    <row r="1271" spans="2:3" x14ac:dyDescent="0.25">
      <c r="B1271">
        <v>1244</v>
      </c>
      <c r="C1271" t="s">
        <v>34</v>
      </c>
    </row>
    <row r="1272" spans="2:3" x14ac:dyDescent="0.25">
      <c r="B1272">
        <v>1199</v>
      </c>
      <c r="C1272" t="s">
        <v>34</v>
      </c>
    </row>
    <row r="1273" spans="2:3" x14ac:dyDescent="0.25">
      <c r="B1273">
        <v>1273</v>
      </c>
      <c r="C1273" t="s">
        <v>34</v>
      </c>
    </row>
    <row r="1274" spans="2:3" x14ac:dyDescent="0.25">
      <c r="B1274">
        <v>1186</v>
      </c>
      <c r="C1274" t="s">
        <v>34</v>
      </c>
    </row>
    <row r="1275" spans="2:3" x14ac:dyDescent="0.25">
      <c r="B1275">
        <v>1176</v>
      </c>
      <c r="C1275" t="s">
        <v>34</v>
      </c>
    </row>
    <row r="1276" spans="2:3" x14ac:dyDescent="0.25">
      <c r="B1276">
        <v>1266</v>
      </c>
      <c r="C1276" t="s">
        <v>34</v>
      </c>
    </row>
    <row r="1277" spans="2:3" x14ac:dyDescent="0.25">
      <c r="B1277">
        <v>1234</v>
      </c>
      <c r="C1277" t="s">
        <v>34</v>
      </c>
    </row>
    <row r="1278" spans="2:3" x14ac:dyDescent="0.25">
      <c r="B1278">
        <v>1255</v>
      </c>
      <c r="C1278" t="s">
        <v>34</v>
      </c>
    </row>
    <row r="1279" spans="2:3" x14ac:dyDescent="0.25">
      <c r="B1279">
        <v>1192</v>
      </c>
      <c r="C1279" t="s">
        <v>34</v>
      </c>
    </row>
    <row r="1280" spans="2:3" x14ac:dyDescent="0.25">
      <c r="B1280">
        <v>1211</v>
      </c>
      <c r="C1280" t="s">
        <v>25</v>
      </c>
    </row>
    <row r="1281" spans="2:3" x14ac:dyDescent="0.25">
      <c r="B1281">
        <v>1207</v>
      </c>
      <c r="C1281" t="s">
        <v>25</v>
      </c>
    </row>
    <row r="1282" spans="2:3" x14ac:dyDescent="0.25">
      <c r="B1282">
        <v>1172</v>
      </c>
      <c r="C1282" t="s">
        <v>25</v>
      </c>
    </row>
    <row r="1283" spans="2:3" x14ac:dyDescent="0.25">
      <c r="B1283">
        <v>1274</v>
      </c>
      <c r="C1283" t="s">
        <v>25</v>
      </c>
    </row>
    <row r="1284" spans="2:3" x14ac:dyDescent="0.25">
      <c r="B1284">
        <v>1260</v>
      </c>
      <c r="C1284" t="s">
        <v>25</v>
      </c>
    </row>
    <row r="1285" spans="2:3" x14ac:dyDescent="0.25">
      <c r="B1285">
        <v>1259</v>
      </c>
      <c r="C1285" t="s">
        <v>25</v>
      </c>
    </row>
    <row r="1286" spans="2:3" x14ac:dyDescent="0.25">
      <c r="B1286">
        <v>1257</v>
      </c>
      <c r="C1286" t="s">
        <v>25</v>
      </c>
    </row>
    <row r="1287" spans="2:3" x14ac:dyDescent="0.25">
      <c r="B1287">
        <v>1249</v>
      </c>
      <c r="C1287" t="s">
        <v>25</v>
      </c>
    </row>
    <row r="1288" spans="2:3" x14ac:dyDescent="0.25">
      <c r="B1288">
        <v>1204</v>
      </c>
      <c r="C1288" t="s">
        <v>25</v>
      </c>
    </row>
    <row r="1289" spans="2:3" x14ac:dyDescent="0.25">
      <c r="B1289">
        <v>1171</v>
      </c>
      <c r="C1289" t="s">
        <v>25</v>
      </c>
    </row>
    <row r="1290" spans="2:3" x14ac:dyDescent="0.25">
      <c r="B1290">
        <v>1213</v>
      </c>
      <c r="C1290" t="s">
        <v>25</v>
      </c>
    </row>
    <row r="1291" spans="2:3" x14ac:dyDescent="0.25">
      <c r="B1291">
        <v>1184</v>
      </c>
      <c r="C1291" t="s">
        <v>25</v>
      </c>
    </row>
    <row r="1292" spans="2:3" x14ac:dyDescent="0.25">
      <c r="B1292">
        <v>1190</v>
      </c>
      <c r="C1292" t="s">
        <v>25</v>
      </c>
    </row>
    <row r="1293" spans="2:3" x14ac:dyDescent="0.25">
      <c r="B1293">
        <v>1189</v>
      </c>
      <c r="C1293" t="s">
        <v>25</v>
      </c>
    </row>
    <row r="1294" spans="2:3" x14ac:dyDescent="0.25">
      <c r="B1294">
        <v>1167</v>
      </c>
      <c r="C1294" t="s">
        <v>25</v>
      </c>
    </row>
    <row r="1295" spans="2:3" x14ac:dyDescent="0.25">
      <c r="B1295">
        <v>1206</v>
      </c>
      <c r="C1295" t="s">
        <v>25</v>
      </c>
    </row>
    <row r="1296" spans="2:3" x14ac:dyDescent="0.25">
      <c r="B1296">
        <v>1219</v>
      </c>
      <c r="C1296" t="s">
        <v>25</v>
      </c>
    </row>
    <row r="1297" spans="2:3" x14ac:dyDescent="0.25">
      <c r="B1297">
        <v>1182</v>
      </c>
      <c r="C1297" t="s">
        <v>25</v>
      </c>
    </row>
    <row r="1298" spans="2:3" x14ac:dyDescent="0.25">
      <c r="B1298">
        <v>1200</v>
      </c>
      <c r="C1298" t="s">
        <v>25</v>
      </c>
    </row>
    <row r="1299" spans="2:3" x14ac:dyDescent="0.25">
      <c r="B1299">
        <v>1268</v>
      </c>
      <c r="C1299" t="s">
        <v>25</v>
      </c>
    </row>
    <row r="1300" spans="2:3" x14ac:dyDescent="0.25">
      <c r="B1300">
        <v>1245</v>
      </c>
      <c r="C1300" t="s">
        <v>25</v>
      </c>
    </row>
    <row r="1301" spans="2:3" x14ac:dyDescent="0.25">
      <c r="B1301">
        <v>1174</v>
      </c>
      <c r="C1301" t="s">
        <v>25</v>
      </c>
    </row>
    <row r="1302" spans="2:3" x14ac:dyDescent="0.25">
      <c r="B1302">
        <v>1301</v>
      </c>
      <c r="C1302" t="s">
        <v>33</v>
      </c>
    </row>
    <row r="1303" spans="2:3" x14ac:dyDescent="0.25">
      <c r="B1303">
        <v>1303</v>
      </c>
      <c r="C1303" t="s">
        <v>33</v>
      </c>
    </row>
    <row r="1304" spans="2:3" x14ac:dyDescent="0.25">
      <c r="B1304">
        <v>1314</v>
      </c>
      <c r="C1304" t="s">
        <v>33</v>
      </c>
    </row>
    <row r="1305" spans="2:3" x14ac:dyDescent="0.25">
      <c r="B1305">
        <v>1306</v>
      </c>
      <c r="C1305" t="s">
        <v>33</v>
      </c>
    </row>
    <row r="1306" spans="2:3" x14ac:dyDescent="0.25">
      <c r="B1306">
        <v>1302</v>
      </c>
      <c r="C1306" t="s">
        <v>33</v>
      </c>
    </row>
    <row r="1307" spans="2:3" x14ac:dyDescent="0.25">
      <c r="B1307">
        <v>1289</v>
      </c>
      <c r="C1307" t="s">
        <v>33</v>
      </c>
    </row>
    <row r="1308" spans="2:3" x14ac:dyDescent="0.25">
      <c r="B1308">
        <v>1295</v>
      </c>
      <c r="C1308" t="s">
        <v>33</v>
      </c>
    </row>
    <row r="1309" spans="2:3" x14ac:dyDescent="0.25">
      <c r="B1309">
        <v>1276</v>
      </c>
      <c r="C1309" t="s">
        <v>33</v>
      </c>
    </row>
    <row r="1310" spans="2:3" x14ac:dyDescent="0.25">
      <c r="B1310">
        <v>1282</v>
      </c>
      <c r="C1310" t="s">
        <v>33</v>
      </c>
    </row>
    <row r="1311" spans="2:3" x14ac:dyDescent="0.25">
      <c r="B1311">
        <v>1315</v>
      </c>
      <c r="C1311" t="s">
        <v>33</v>
      </c>
    </row>
    <row r="1312" spans="2:3" x14ac:dyDescent="0.25">
      <c r="B1312">
        <v>1277</v>
      </c>
      <c r="C1312" t="s">
        <v>33</v>
      </c>
    </row>
    <row r="1313" spans="2:3" x14ac:dyDescent="0.25">
      <c r="B1313">
        <v>1292</v>
      </c>
      <c r="C1313" t="s">
        <v>33</v>
      </c>
    </row>
    <row r="1314" spans="2:3" x14ac:dyDescent="0.25">
      <c r="B1314">
        <v>1313</v>
      </c>
      <c r="C1314" t="s">
        <v>33</v>
      </c>
    </row>
    <row r="1315" spans="2:3" x14ac:dyDescent="0.25">
      <c r="B1315">
        <v>1294</v>
      </c>
      <c r="C1315" t="s">
        <v>33</v>
      </c>
    </row>
    <row r="1316" spans="2:3" x14ac:dyDescent="0.25">
      <c r="B1316">
        <v>1287</v>
      </c>
      <c r="C1316" t="s">
        <v>33</v>
      </c>
    </row>
    <row r="1317" spans="2:3" x14ac:dyDescent="0.25">
      <c r="B1317">
        <v>1299</v>
      </c>
      <c r="C1317" t="s">
        <v>33</v>
      </c>
    </row>
    <row r="1318" spans="2:3" x14ac:dyDescent="0.25">
      <c r="B1318">
        <v>1308</v>
      </c>
      <c r="C1318" t="s">
        <v>33</v>
      </c>
    </row>
    <row r="1319" spans="2:3" x14ac:dyDescent="0.25">
      <c r="B1319">
        <v>1291</v>
      </c>
      <c r="C1319" t="s">
        <v>33</v>
      </c>
    </row>
    <row r="1320" spans="2:3" x14ac:dyDescent="0.25">
      <c r="B1320">
        <v>1304</v>
      </c>
      <c r="C1320" t="s">
        <v>33</v>
      </c>
    </row>
    <row r="1321" spans="2:3" x14ac:dyDescent="0.25">
      <c r="B1321">
        <v>1311</v>
      </c>
      <c r="C1321" t="s">
        <v>33</v>
      </c>
    </row>
    <row r="1322" spans="2:3" x14ac:dyDescent="0.25">
      <c r="B1322">
        <v>1288</v>
      </c>
      <c r="C1322" t="s">
        <v>33</v>
      </c>
    </row>
    <row r="1323" spans="2:3" x14ac:dyDescent="0.25">
      <c r="B1323">
        <v>1290</v>
      </c>
      <c r="C1323" t="s">
        <v>33</v>
      </c>
    </row>
    <row r="1324" spans="2:3" x14ac:dyDescent="0.25">
      <c r="B1324">
        <v>1275</v>
      </c>
      <c r="C1324" t="s">
        <v>33</v>
      </c>
    </row>
    <row r="1325" spans="2:3" x14ac:dyDescent="0.25">
      <c r="B1325">
        <v>1281</v>
      </c>
      <c r="C1325" t="s">
        <v>33</v>
      </c>
    </row>
    <row r="1326" spans="2:3" x14ac:dyDescent="0.25">
      <c r="B1326">
        <v>1300</v>
      </c>
      <c r="C1326" t="s">
        <v>33</v>
      </c>
    </row>
    <row r="1327" spans="2:3" x14ac:dyDescent="0.25">
      <c r="B1327">
        <v>1283</v>
      </c>
      <c r="C1327" t="s">
        <v>33</v>
      </c>
    </row>
    <row r="1328" spans="2:3" x14ac:dyDescent="0.25">
      <c r="B1328">
        <v>1284</v>
      </c>
      <c r="C1328" t="s">
        <v>33</v>
      </c>
    </row>
    <row r="1329" spans="2:3" x14ac:dyDescent="0.25">
      <c r="B1329">
        <v>1310</v>
      </c>
      <c r="C1329" t="s">
        <v>33</v>
      </c>
    </row>
    <row r="1330" spans="2:3" x14ac:dyDescent="0.25">
      <c r="B1330">
        <v>1278</v>
      </c>
      <c r="C1330" t="s">
        <v>33</v>
      </c>
    </row>
    <row r="1331" spans="2:3" x14ac:dyDescent="0.25">
      <c r="B1331">
        <v>1296</v>
      </c>
      <c r="C1331" t="s">
        <v>34</v>
      </c>
    </row>
    <row r="1332" spans="2:3" x14ac:dyDescent="0.25">
      <c r="B1332">
        <v>1293</v>
      </c>
      <c r="C1332" t="s">
        <v>34</v>
      </c>
    </row>
    <row r="1333" spans="2:3" x14ac:dyDescent="0.25">
      <c r="B1333">
        <v>1279</v>
      </c>
      <c r="C1333" t="s">
        <v>34</v>
      </c>
    </row>
    <row r="1334" spans="2:3" x14ac:dyDescent="0.25">
      <c r="B1334">
        <v>1286</v>
      </c>
      <c r="C1334" t="s">
        <v>34</v>
      </c>
    </row>
    <row r="1335" spans="2:3" x14ac:dyDescent="0.25">
      <c r="B1335">
        <v>1297</v>
      </c>
      <c r="C1335" t="s">
        <v>25</v>
      </c>
    </row>
    <row r="1336" spans="2:3" x14ac:dyDescent="0.25">
      <c r="B1336">
        <v>1298</v>
      </c>
      <c r="C1336" t="s">
        <v>25</v>
      </c>
    </row>
    <row r="1337" spans="2:3" x14ac:dyDescent="0.25">
      <c r="B1337">
        <v>1312</v>
      </c>
      <c r="C1337" t="s">
        <v>25</v>
      </c>
    </row>
    <row r="1338" spans="2:3" x14ac:dyDescent="0.25">
      <c r="B1338">
        <v>1280</v>
      </c>
      <c r="C1338" t="s">
        <v>25</v>
      </c>
    </row>
    <row r="1339" spans="2:3" x14ac:dyDescent="0.25">
      <c r="B1339">
        <v>1305</v>
      </c>
      <c r="C1339" t="s">
        <v>25</v>
      </c>
    </row>
    <row r="1340" spans="2:3" x14ac:dyDescent="0.25">
      <c r="B1340">
        <v>1307</v>
      </c>
      <c r="C1340" t="s">
        <v>25</v>
      </c>
    </row>
    <row r="1341" spans="2:3" x14ac:dyDescent="0.25">
      <c r="B1341">
        <v>1309</v>
      </c>
      <c r="C1341" t="s">
        <v>25</v>
      </c>
    </row>
    <row r="1342" spans="2:3" x14ac:dyDescent="0.25">
      <c r="B1342">
        <v>1285</v>
      </c>
      <c r="C1342" t="s">
        <v>25</v>
      </c>
    </row>
    <row r="1343" spans="2:3" x14ac:dyDescent="0.25">
      <c r="B1343">
        <v>1316</v>
      </c>
      <c r="C1343" t="s">
        <v>33</v>
      </c>
    </row>
    <row r="1344" spans="2:3" x14ac:dyDescent="0.25">
      <c r="B1344">
        <v>1318</v>
      </c>
      <c r="C1344" t="s">
        <v>33</v>
      </c>
    </row>
    <row r="1345" spans="2:3" x14ac:dyDescent="0.25">
      <c r="B1345">
        <v>1319</v>
      </c>
      <c r="C1345" t="s">
        <v>33</v>
      </c>
    </row>
    <row r="1346" spans="2:3" x14ac:dyDescent="0.25">
      <c r="B1346">
        <v>1317</v>
      </c>
      <c r="C1346" t="s">
        <v>25</v>
      </c>
    </row>
    <row r="1347" spans="2:3" x14ac:dyDescent="0.25">
      <c r="B1347">
        <v>1391</v>
      </c>
      <c r="C1347" t="s">
        <v>33</v>
      </c>
    </row>
    <row r="1348" spans="2:3" x14ac:dyDescent="0.25">
      <c r="B1348">
        <v>1375</v>
      </c>
      <c r="C1348" t="s">
        <v>33</v>
      </c>
    </row>
    <row r="1349" spans="2:3" x14ac:dyDescent="0.25">
      <c r="B1349">
        <v>1364</v>
      </c>
      <c r="C1349" t="s">
        <v>33</v>
      </c>
    </row>
    <row r="1350" spans="2:3" x14ac:dyDescent="0.25">
      <c r="B1350">
        <v>1389</v>
      </c>
      <c r="C1350" t="s">
        <v>33</v>
      </c>
    </row>
    <row r="1351" spans="2:3" x14ac:dyDescent="0.25">
      <c r="B1351">
        <v>1369</v>
      </c>
      <c r="C1351" t="s">
        <v>33</v>
      </c>
    </row>
    <row r="1352" spans="2:3" x14ac:dyDescent="0.25">
      <c r="B1352">
        <v>1355</v>
      </c>
      <c r="C1352" t="s">
        <v>33</v>
      </c>
    </row>
    <row r="1353" spans="2:3" x14ac:dyDescent="0.25">
      <c r="B1353">
        <v>1352</v>
      </c>
      <c r="C1353" t="s">
        <v>33</v>
      </c>
    </row>
    <row r="1354" spans="2:3" x14ac:dyDescent="0.25">
      <c r="B1354">
        <v>1407</v>
      </c>
      <c r="C1354" t="s">
        <v>33</v>
      </c>
    </row>
    <row r="1355" spans="2:3" x14ac:dyDescent="0.25">
      <c r="B1355">
        <v>1361</v>
      </c>
      <c r="C1355" t="s">
        <v>33</v>
      </c>
    </row>
    <row r="1356" spans="2:3" x14ac:dyDescent="0.25">
      <c r="B1356">
        <v>1356</v>
      </c>
      <c r="C1356" t="s">
        <v>33</v>
      </c>
    </row>
    <row r="1357" spans="2:3" x14ac:dyDescent="0.25">
      <c r="B1357">
        <v>1388</v>
      </c>
      <c r="C1357" t="s">
        <v>33</v>
      </c>
    </row>
    <row r="1358" spans="2:3" x14ac:dyDescent="0.25">
      <c r="B1358">
        <v>1335</v>
      </c>
      <c r="C1358" t="s">
        <v>33</v>
      </c>
    </row>
    <row r="1359" spans="2:3" x14ac:dyDescent="0.25">
      <c r="B1359">
        <v>1344</v>
      </c>
      <c r="C1359" t="s">
        <v>33</v>
      </c>
    </row>
    <row r="1360" spans="2:3" x14ac:dyDescent="0.25">
      <c r="B1360">
        <v>1328</v>
      </c>
      <c r="C1360" t="s">
        <v>33</v>
      </c>
    </row>
    <row r="1361" spans="2:3" x14ac:dyDescent="0.25">
      <c r="B1361">
        <v>1365</v>
      </c>
      <c r="C1361" t="s">
        <v>33</v>
      </c>
    </row>
    <row r="1362" spans="2:3" x14ac:dyDescent="0.25">
      <c r="B1362">
        <v>1321</v>
      </c>
      <c r="C1362" t="s">
        <v>33</v>
      </c>
    </row>
    <row r="1363" spans="2:3" x14ac:dyDescent="0.25">
      <c r="B1363">
        <v>1410</v>
      </c>
      <c r="C1363" t="s">
        <v>33</v>
      </c>
    </row>
    <row r="1364" spans="2:3" x14ac:dyDescent="0.25">
      <c r="B1364">
        <v>1347</v>
      </c>
      <c r="C1364" t="s">
        <v>33</v>
      </c>
    </row>
    <row r="1365" spans="2:3" x14ac:dyDescent="0.25">
      <c r="B1365">
        <v>1327</v>
      </c>
      <c r="C1365" t="s">
        <v>33</v>
      </c>
    </row>
    <row r="1366" spans="2:3" x14ac:dyDescent="0.25">
      <c r="B1366">
        <v>1339</v>
      </c>
      <c r="C1366" t="s">
        <v>33</v>
      </c>
    </row>
    <row r="1367" spans="2:3" x14ac:dyDescent="0.25">
      <c r="B1367">
        <v>1395</v>
      </c>
      <c r="C1367" t="s">
        <v>33</v>
      </c>
    </row>
    <row r="1368" spans="2:3" x14ac:dyDescent="0.25">
      <c r="B1368">
        <v>1324</v>
      </c>
      <c r="C1368" t="s">
        <v>33</v>
      </c>
    </row>
    <row r="1369" spans="2:3" x14ac:dyDescent="0.25">
      <c r="B1369">
        <v>1396</v>
      </c>
      <c r="C1369" t="s">
        <v>33</v>
      </c>
    </row>
    <row r="1370" spans="2:3" x14ac:dyDescent="0.25">
      <c r="B1370">
        <v>1368</v>
      </c>
      <c r="C1370" t="s">
        <v>33</v>
      </c>
    </row>
    <row r="1371" spans="2:3" x14ac:dyDescent="0.25">
      <c r="B1371">
        <v>1397</v>
      </c>
      <c r="C1371" t="s">
        <v>33</v>
      </c>
    </row>
    <row r="1372" spans="2:3" x14ac:dyDescent="0.25">
      <c r="B1372">
        <v>1367</v>
      </c>
      <c r="C1372" t="s">
        <v>33</v>
      </c>
    </row>
    <row r="1373" spans="2:3" x14ac:dyDescent="0.25">
      <c r="B1373">
        <v>1326</v>
      </c>
      <c r="C1373" t="s">
        <v>33</v>
      </c>
    </row>
    <row r="1374" spans="2:3" x14ac:dyDescent="0.25">
      <c r="B1374">
        <v>1323</v>
      </c>
      <c r="C1374" t="s">
        <v>33</v>
      </c>
    </row>
    <row r="1375" spans="2:3" x14ac:dyDescent="0.25">
      <c r="B1375">
        <v>1401</v>
      </c>
      <c r="C1375" t="s">
        <v>33</v>
      </c>
    </row>
    <row r="1376" spans="2:3" x14ac:dyDescent="0.25">
      <c r="B1376">
        <v>1406</v>
      </c>
      <c r="C1376" t="s">
        <v>33</v>
      </c>
    </row>
    <row r="1377" spans="2:3" x14ac:dyDescent="0.25">
      <c r="B1377">
        <v>1363</v>
      </c>
      <c r="C1377" t="s">
        <v>33</v>
      </c>
    </row>
    <row r="1378" spans="2:3" x14ac:dyDescent="0.25">
      <c r="B1378">
        <v>1340</v>
      </c>
      <c r="C1378" t="s">
        <v>33</v>
      </c>
    </row>
    <row r="1379" spans="2:3" x14ac:dyDescent="0.25">
      <c r="B1379">
        <v>1384</v>
      </c>
      <c r="C1379" t="s">
        <v>33</v>
      </c>
    </row>
    <row r="1380" spans="2:3" x14ac:dyDescent="0.25">
      <c r="B1380">
        <v>1408</v>
      </c>
      <c r="C1380" t="s">
        <v>33</v>
      </c>
    </row>
    <row r="1381" spans="2:3" x14ac:dyDescent="0.25">
      <c r="B1381">
        <v>1354</v>
      </c>
      <c r="C1381" t="s">
        <v>33</v>
      </c>
    </row>
    <row r="1382" spans="2:3" x14ac:dyDescent="0.25">
      <c r="B1382">
        <v>1370</v>
      </c>
      <c r="C1382" t="s">
        <v>33</v>
      </c>
    </row>
    <row r="1383" spans="2:3" x14ac:dyDescent="0.25">
      <c r="B1383">
        <v>1404</v>
      </c>
      <c r="C1383" t="s">
        <v>33</v>
      </c>
    </row>
    <row r="1384" spans="2:3" x14ac:dyDescent="0.25">
      <c r="B1384">
        <v>1345</v>
      </c>
      <c r="C1384" t="s">
        <v>33</v>
      </c>
    </row>
    <row r="1385" spans="2:3" x14ac:dyDescent="0.25">
      <c r="B1385">
        <v>1386</v>
      </c>
      <c r="C1385" t="s">
        <v>33</v>
      </c>
    </row>
    <row r="1386" spans="2:3" x14ac:dyDescent="0.25">
      <c r="B1386">
        <v>1382</v>
      </c>
      <c r="C1386" t="s">
        <v>33</v>
      </c>
    </row>
    <row r="1387" spans="2:3" x14ac:dyDescent="0.25">
      <c r="B1387">
        <v>1385</v>
      </c>
      <c r="C1387" t="s">
        <v>33</v>
      </c>
    </row>
    <row r="1388" spans="2:3" x14ac:dyDescent="0.25">
      <c r="B1388">
        <v>1402</v>
      </c>
      <c r="C1388" t="s">
        <v>33</v>
      </c>
    </row>
    <row r="1389" spans="2:3" x14ac:dyDescent="0.25">
      <c r="B1389">
        <v>1333</v>
      </c>
      <c r="C1389" t="s">
        <v>33</v>
      </c>
    </row>
    <row r="1390" spans="2:3" x14ac:dyDescent="0.25">
      <c r="B1390">
        <v>1343</v>
      </c>
      <c r="C1390" t="s">
        <v>33</v>
      </c>
    </row>
    <row r="1391" spans="2:3" x14ac:dyDescent="0.25">
      <c r="B1391">
        <v>1353</v>
      </c>
      <c r="C1391" t="s">
        <v>33</v>
      </c>
    </row>
    <row r="1392" spans="2:3" x14ac:dyDescent="0.25">
      <c r="B1392">
        <v>1398</v>
      </c>
      <c r="C1392" t="s">
        <v>33</v>
      </c>
    </row>
    <row r="1393" spans="2:3" x14ac:dyDescent="0.25">
      <c r="B1393">
        <v>1376</v>
      </c>
      <c r="C1393" t="s">
        <v>33</v>
      </c>
    </row>
    <row r="1394" spans="2:3" x14ac:dyDescent="0.25">
      <c r="B1394">
        <v>1377</v>
      </c>
      <c r="C1394" t="s">
        <v>33</v>
      </c>
    </row>
    <row r="1395" spans="2:3" x14ac:dyDescent="0.25">
      <c r="B1395">
        <v>1338</v>
      </c>
      <c r="C1395" t="s">
        <v>33</v>
      </c>
    </row>
    <row r="1396" spans="2:3" x14ac:dyDescent="0.25">
      <c r="B1396">
        <v>1399</v>
      </c>
      <c r="C1396" t="s">
        <v>33</v>
      </c>
    </row>
    <row r="1397" spans="2:3" x14ac:dyDescent="0.25">
      <c r="B1397">
        <v>1330</v>
      </c>
      <c r="C1397" t="s">
        <v>33</v>
      </c>
    </row>
    <row r="1398" spans="2:3" x14ac:dyDescent="0.25">
      <c r="B1398">
        <v>1383</v>
      </c>
      <c r="C1398" t="s">
        <v>33</v>
      </c>
    </row>
    <row r="1399" spans="2:3" x14ac:dyDescent="0.25">
      <c r="B1399">
        <v>1362</v>
      </c>
      <c r="C1399" t="s">
        <v>33</v>
      </c>
    </row>
    <row r="1400" spans="2:3" x14ac:dyDescent="0.25">
      <c r="B1400">
        <v>1379</v>
      </c>
      <c r="C1400" t="s">
        <v>33</v>
      </c>
    </row>
    <row r="1401" spans="2:3" x14ac:dyDescent="0.25">
      <c r="B1401">
        <v>1387</v>
      </c>
      <c r="C1401" t="s">
        <v>33</v>
      </c>
    </row>
    <row r="1402" spans="2:3" x14ac:dyDescent="0.25">
      <c r="B1402">
        <v>1412</v>
      </c>
      <c r="C1402" t="s">
        <v>33</v>
      </c>
    </row>
    <row r="1403" spans="2:3" x14ac:dyDescent="0.25">
      <c r="B1403">
        <v>1400</v>
      </c>
      <c r="C1403" t="s">
        <v>33</v>
      </c>
    </row>
    <row r="1404" spans="2:3" x14ac:dyDescent="0.25">
      <c r="B1404">
        <v>1393</v>
      </c>
      <c r="C1404" t="s">
        <v>33</v>
      </c>
    </row>
    <row r="1405" spans="2:3" x14ac:dyDescent="0.25">
      <c r="B1405">
        <v>1325</v>
      </c>
      <c r="C1405" t="s">
        <v>33</v>
      </c>
    </row>
    <row r="1406" spans="2:3" x14ac:dyDescent="0.25">
      <c r="B1406">
        <v>1322</v>
      </c>
      <c r="C1406" t="s">
        <v>33</v>
      </c>
    </row>
    <row r="1407" spans="2:3" x14ac:dyDescent="0.25">
      <c r="B1407">
        <v>1373</v>
      </c>
      <c r="C1407" t="s">
        <v>33</v>
      </c>
    </row>
    <row r="1408" spans="2:3" x14ac:dyDescent="0.25">
      <c r="B1408">
        <v>1334</v>
      </c>
      <c r="C1408" t="s">
        <v>33</v>
      </c>
    </row>
    <row r="1409" spans="2:3" x14ac:dyDescent="0.25">
      <c r="B1409">
        <v>1360</v>
      </c>
      <c r="C1409" t="s">
        <v>33</v>
      </c>
    </row>
    <row r="1410" spans="2:3" x14ac:dyDescent="0.25">
      <c r="B1410">
        <v>1411</v>
      </c>
      <c r="C1410" t="s">
        <v>33</v>
      </c>
    </row>
    <row r="1411" spans="2:3" x14ac:dyDescent="0.25">
      <c r="B1411">
        <v>1341</v>
      </c>
      <c r="C1411" t="s">
        <v>33</v>
      </c>
    </row>
    <row r="1412" spans="2:3" x14ac:dyDescent="0.25">
      <c r="B1412">
        <v>1351</v>
      </c>
      <c r="C1412" t="s">
        <v>34</v>
      </c>
    </row>
    <row r="1413" spans="2:3" x14ac:dyDescent="0.25">
      <c r="B1413">
        <v>1372</v>
      </c>
      <c r="C1413" t="s">
        <v>34</v>
      </c>
    </row>
    <row r="1414" spans="2:3" x14ac:dyDescent="0.25">
      <c r="B1414">
        <v>1394</v>
      </c>
      <c r="C1414" t="s">
        <v>34</v>
      </c>
    </row>
    <row r="1415" spans="2:3" x14ac:dyDescent="0.25">
      <c r="B1415">
        <v>1346</v>
      </c>
      <c r="C1415" t="s">
        <v>34</v>
      </c>
    </row>
    <row r="1416" spans="2:3" x14ac:dyDescent="0.25">
      <c r="B1416">
        <v>1331</v>
      </c>
      <c r="C1416" t="s">
        <v>34</v>
      </c>
    </row>
    <row r="1417" spans="2:3" x14ac:dyDescent="0.25">
      <c r="B1417">
        <v>1392</v>
      </c>
      <c r="C1417" t="s">
        <v>34</v>
      </c>
    </row>
    <row r="1418" spans="2:3" x14ac:dyDescent="0.25">
      <c r="B1418">
        <v>1348</v>
      </c>
      <c r="C1418" t="s">
        <v>34</v>
      </c>
    </row>
    <row r="1419" spans="2:3" x14ac:dyDescent="0.25">
      <c r="B1419">
        <v>1409</v>
      </c>
      <c r="C1419" t="s">
        <v>34</v>
      </c>
    </row>
    <row r="1420" spans="2:3" x14ac:dyDescent="0.25">
      <c r="B1420">
        <v>1337</v>
      </c>
      <c r="C1420" t="s">
        <v>34</v>
      </c>
    </row>
    <row r="1421" spans="2:3" x14ac:dyDescent="0.25">
      <c r="B1421">
        <v>1403</v>
      </c>
      <c r="C1421" t="s">
        <v>25</v>
      </c>
    </row>
    <row r="1422" spans="2:3" x14ac:dyDescent="0.25">
      <c r="B1422">
        <v>1350</v>
      </c>
      <c r="C1422" t="s">
        <v>25</v>
      </c>
    </row>
    <row r="1423" spans="2:3" x14ac:dyDescent="0.25">
      <c r="B1423">
        <v>1374</v>
      </c>
      <c r="C1423" t="s">
        <v>25</v>
      </c>
    </row>
    <row r="1424" spans="2:3" x14ac:dyDescent="0.25">
      <c r="B1424">
        <v>1405</v>
      </c>
      <c r="C1424" t="s">
        <v>25</v>
      </c>
    </row>
    <row r="1425" spans="2:3" x14ac:dyDescent="0.25">
      <c r="B1425">
        <v>1349</v>
      </c>
      <c r="C1425" t="s">
        <v>25</v>
      </c>
    </row>
    <row r="1426" spans="2:3" x14ac:dyDescent="0.25">
      <c r="B1426">
        <v>1366</v>
      </c>
      <c r="C1426" t="s">
        <v>25</v>
      </c>
    </row>
    <row r="1427" spans="2:3" x14ac:dyDescent="0.25">
      <c r="B1427">
        <v>1336</v>
      </c>
      <c r="C1427" t="s">
        <v>25</v>
      </c>
    </row>
    <row r="1428" spans="2:3" x14ac:dyDescent="0.25">
      <c r="B1428">
        <v>1380</v>
      </c>
      <c r="C1428" t="s">
        <v>25</v>
      </c>
    </row>
    <row r="1429" spans="2:3" x14ac:dyDescent="0.25">
      <c r="B1429">
        <v>1342</v>
      </c>
      <c r="C1429" t="s">
        <v>25</v>
      </c>
    </row>
    <row r="1430" spans="2:3" x14ac:dyDescent="0.25">
      <c r="B1430">
        <v>1359</v>
      </c>
      <c r="C1430" t="s">
        <v>25</v>
      </c>
    </row>
    <row r="1431" spans="2:3" x14ac:dyDescent="0.25">
      <c r="B1431">
        <v>1378</v>
      </c>
      <c r="C1431" t="s">
        <v>25</v>
      </c>
    </row>
    <row r="1432" spans="2:3" x14ac:dyDescent="0.25">
      <c r="B1432">
        <v>1320</v>
      </c>
      <c r="C1432" t="s">
        <v>25</v>
      </c>
    </row>
    <row r="1433" spans="2:3" x14ac:dyDescent="0.25">
      <c r="B1433">
        <v>1390</v>
      </c>
      <c r="C1433" t="s">
        <v>25</v>
      </c>
    </row>
    <row r="1434" spans="2:3" x14ac:dyDescent="0.25">
      <c r="B1434">
        <v>1329</v>
      </c>
      <c r="C1434" t="s">
        <v>25</v>
      </c>
    </row>
    <row r="1435" spans="2:3" x14ac:dyDescent="0.25">
      <c r="B1435">
        <v>1357</v>
      </c>
      <c r="C1435" t="s">
        <v>25</v>
      </c>
    </row>
    <row r="1436" spans="2:3" x14ac:dyDescent="0.25">
      <c r="B1436">
        <v>1332</v>
      </c>
      <c r="C1436" t="s">
        <v>25</v>
      </c>
    </row>
    <row r="1437" spans="2:3" x14ac:dyDescent="0.25">
      <c r="B1437">
        <v>1358</v>
      </c>
      <c r="C1437" t="s">
        <v>25</v>
      </c>
    </row>
    <row r="1438" spans="2:3" x14ac:dyDescent="0.25">
      <c r="B1438">
        <v>1371</v>
      </c>
      <c r="C1438" t="s">
        <v>25</v>
      </c>
    </row>
    <row r="1439" spans="2:3" x14ac:dyDescent="0.25">
      <c r="B1439">
        <v>1381</v>
      </c>
      <c r="C1439" t="s">
        <v>25</v>
      </c>
    </row>
    <row r="1440" spans="2:3" x14ac:dyDescent="0.25">
      <c r="B1440">
        <v>1465</v>
      </c>
      <c r="C1440" t="s">
        <v>33</v>
      </c>
    </row>
    <row r="1441" spans="2:3" x14ac:dyDescent="0.25">
      <c r="B1441">
        <v>1489</v>
      </c>
      <c r="C1441" t="s">
        <v>33</v>
      </c>
    </row>
    <row r="1442" spans="2:3" x14ac:dyDescent="0.25">
      <c r="B1442">
        <v>1482</v>
      </c>
      <c r="C1442" t="s">
        <v>33</v>
      </c>
    </row>
    <row r="1443" spans="2:3" x14ac:dyDescent="0.25">
      <c r="B1443">
        <v>1474</v>
      </c>
      <c r="C1443" t="s">
        <v>33</v>
      </c>
    </row>
    <row r="1444" spans="2:3" x14ac:dyDescent="0.25">
      <c r="B1444">
        <v>1446</v>
      </c>
      <c r="C1444" t="s">
        <v>33</v>
      </c>
    </row>
    <row r="1445" spans="2:3" x14ac:dyDescent="0.25">
      <c r="B1445">
        <v>1441</v>
      </c>
      <c r="C1445" t="s">
        <v>33</v>
      </c>
    </row>
    <row r="1446" spans="2:3" x14ac:dyDescent="0.25">
      <c r="B1446">
        <v>1430</v>
      </c>
      <c r="C1446" t="s">
        <v>33</v>
      </c>
    </row>
    <row r="1447" spans="2:3" x14ac:dyDescent="0.25">
      <c r="B1447">
        <v>1490</v>
      </c>
      <c r="C1447" t="s">
        <v>33</v>
      </c>
    </row>
    <row r="1448" spans="2:3" x14ac:dyDescent="0.25">
      <c r="B1448">
        <v>1454</v>
      </c>
      <c r="C1448" t="s">
        <v>33</v>
      </c>
    </row>
    <row r="1449" spans="2:3" x14ac:dyDescent="0.25">
      <c r="B1449">
        <v>1453</v>
      </c>
      <c r="C1449" t="s">
        <v>33</v>
      </c>
    </row>
    <row r="1450" spans="2:3" x14ac:dyDescent="0.25">
      <c r="B1450">
        <v>1444</v>
      </c>
      <c r="C1450" t="s">
        <v>33</v>
      </c>
    </row>
    <row r="1451" spans="2:3" x14ac:dyDescent="0.25">
      <c r="B1451">
        <v>1428</v>
      </c>
      <c r="C1451" t="s">
        <v>33</v>
      </c>
    </row>
    <row r="1452" spans="2:3" x14ac:dyDescent="0.25">
      <c r="B1452">
        <v>1466</v>
      </c>
      <c r="C1452" t="s">
        <v>33</v>
      </c>
    </row>
    <row r="1453" spans="2:3" x14ac:dyDescent="0.25">
      <c r="B1453">
        <v>1462</v>
      </c>
      <c r="C1453" t="s">
        <v>33</v>
      </c>
    </row>
    <row r="1454" spans="2:3" x14ac:dyDescent="0.25">
      <c r="B1454">
        <v>1479</v>
      </c>
      <c r="C1454" t="s">
        <v>33</v>
      </c>
    </row>
    <row r="1455" spans="2:3" x14ac:dyDescent="0.25">
      <c r="B1455">
        <v>1445</v>
      </c>
      <c r="C1455" t="s">
        <v>33</v>
      </c>
    </row>
    <row r="1456" spans="2:3" x14ac:dyDescent="0.25">
      <c r="B1456">
        <v>1439</v>
      </c>
      <c r="C1456" t="s">
        <v>33</v>
      </c>
    </row>
    <row r="1457" spans="2:3" x14ac:dyDescent="0.25">
      <c r="B1457">
        <v>1473</v>
      </c>
      <c r="C1457" t="s">
        <v>33</v>
      </c>
    </row>
    <row r="1458" spans="2:3" x14ac:dyDescent="0.25">
      <c r="B1458">
        <v>1476</v>
      </c>
      <c r="C1458" t="s">
        <v>33</v>
      </c>
    </row>
    <row r="1459" spans="2:3" x14ac:dyDescent="0.25">
      <c r="B1459">
        <v>1498</v>
      </c>
      <c r="C1459" t="s">
        <v>33</v>
      </c>
    </row>
    <row r="1460" spans="2:3" x14ac:dyDescent="0.25">
      <c r="B1460">
        <v>1436</v>
      </c>
      <c r="C1460" t="s">
        <v>33</v>
      </c>
    </row>
    <row r="1461" spans="2:3" x14ac:dyDescent="0.25">
      <c r="B1461">
        <v>1460</v>
      </c>
      <c r="C1461" t="s">
        <v>33</v>
      </c>
    </row>
    <row r="1462" spans="2:3" x14ac:dyDescent="0.25">
      <c r="B1462">
        <v>1471</v>
      </c>
      <c r="C1462" t="s">
        <v>33</v>
      </c>
    </row>
    <row r="1463" spans="2:3" x14ac:dyDescent="0.25">
      <c r="B1463">
        <v>1442</v>
      </c>
      <c r="C1463" t="s">
        <v>33</v>
      </c>
    </row>
    <row r="1464" spans="2:3" x14ac:dyDescent="0.25">
      <c r="B1464">
        <v>1483</v>
      </c>
      <c r="C1464" t="s">
        <v>33</v>
      </c>
    </row>
    <row r="1465" spans="2:3" x14ac:dyDescent="0.25">
      <c r="B1465">
        <v>1478</v>
      </c>
      <c r="C1465" t="s">
        <v>33</v>
      </c>
    </row>
    <row r="1466" spans="2:3" x14ac:dyDescent="0.25">
      <c r="B1466">
        <v>1475</v>
      </c>
      <c r="C1466" t="s">
        <v>33</v>
      </c>
    </row>
    <row r="1467" spans="2:3" x14ac:dyDescent="0.25">
      <c r="B1467">
        <v>1432</v>
      </c>
      <c r="C1467" t="s">
        <v>33</v>
      </c>
    </row>
    <row r="1468" spans="2:3" x14ac:dyDescent="0.25">
      <c r="B1468">
        <v>1487</v>
      </c>
      <c r="C1468" t="s">
        <v>33</v>
      </c>
    </row>
    <row r="1469" spans="2:3" x14ac:dyDescent="0.25">
      <c r="B1469">
        <v>1435</v>
      </c>
      <c r="C1469" t="s">
        <v>33</v>
      </c>
    </row>
    <row r="1470" spans="2:3" x14ac:dyDescent="0.25">
      <c r="B1470">
        <v>1414</v>
      </c>
      <c r="C1470" t="s">
        <v>33</v>
      </c>
    </row>
    <row r="1471" spans="2:3" x14ac:dyDescent="0.25">
      <c r="B1471">
        <v>1457</v>
      </c>
      <c r="C1471" t="s">
        <v>33</v>
      </c>
    </row>
    <row r="1472" spans="2:3" x14ac:dyDescent="0.25">
      <c r="B1472">
        <v>1434</v>
      </c>
      <c r="C1472" t="s">
        <v>33</v>
      </c>
    </row>
    <row r="1473" spans="2:3" x14ac:dyDescent="0.25">
      <c r="B1473">
        <v>1456</v>
      </c>
      <c r="C1473" t="s">
        <v>33</v>
      </c>
    </row>
    <row r="1474" spans="2:3" x14ac:dyDescent="0.25">
      <c r="B1474">
        <v>1458</v>
      </c>
      <c r="C1474" t="s">
        <v>33</v>
      </c>
    </row>
    <row r="1475" spans="2:3" x14ac:dyDescent="0.25">
      <c r="B1475">
        <v>1499</v>
      </c>
      <c r="C1475" t="s">
        <v>33</v>
      </c>
    </row>
    <row r="1476" spans="2:3" x14ac:dyDescent="0.25">
      <c r="B1476">
        <v>1477</v>
      </c>
      <c r="C1476" t="s">
        <v>33</v>
      </c>
    </row>
    <row r="1477" spans="2:3" x14ac:dyDescent="0.25">
      <c r="B1477">
        <v>1420</v>
      </c>
      <c r="C1477" t="s">
        <v>33</v>
      </c>
    </row>
    <row r="1478" spans="2:3" x14ac:dyDescent="0.25">
      <c r="B1478">
        <v>1484</v>
      </c>
      <c r="C1478" t="s">
        <v>33</v>
      </c>
    </row>
    <row r="1479" spans="2:3" x14ac:dyDescent="0.25">
      <c r="B1479">
        <v>1459</v>
      </c>
      <c r="C1479" t="s">
        <v>33</v>
      </c>
    </row>
    <row r="1480" spans="2:3" x14ac:dyDescent="0.25">
      <c r="B1480">
        <v>1416</v>
      </c>
      <c r="C1480" t="s">
        <v>33</v>
      </c>
    </row>
    <row r="1481" spans="2:3" x14ac:dyDescent="0.25">
      <c r="B1481">
        <v>1427</v>
      </c>
      <c r="C1481" t="s">
        <v>33</v>
      </c>
    </row>
    <row r="1482" spans="2:3" x14ac:dyDescent="0.25">
      <c r="B1482">
        <v>1451</v>
      </c>
      <c r="C1482" t="s">
        <v>33</v>
      </c>
    </row>
    <row r="1483" spans="2:3" x14ac:dyDescent="0.25">
      <c r="B1483">
        <v>1488</v>
      </c>
      <c r="C1483" t="s">
        <v>33</v>
      </c>
    </row>
    <row r="1484" spans="2:3" x14ac:dyDescent="0.25">
      <c r="B1484">
        <v>1415</v>
      </c>
      <c r="C1484" t="s">
        <v>33</v>
      </c>
    </row>
    <row r="1485" spans="2:3" x14ac:dyDescent="0.25">
      <c r="B1485">
        <v>1469</v>
      </c>
      <c r="C1485" t="s">
        <v>33</v>
      </c>
    </row>
    <row r="1486" spans="2:3" x14ac:dyDescent="0.25">
      <c r="B1486">
        <v>1429</v>
      </c>
      <c r="C1486" t="s">
        <v>33</v>
      </c>
    </row>
    <row r="1487" spans="2:3" x14ac:dyDescent="0.25">
      <c r="B1487">
        <v>1491</v>
      </c>
      <c r="C1487" t="s">
        <v>33</v>
      </c>
    </row>
    <row r="1488" spans="2:3" x14ac:dyDescent="0.25">
      <c r="B1488">
        <v>1452</v>
      </c>
      <c r="C1488" t="s">
        <v>33</v>
      </c>
    </row>
    <row r="1489" spans="2:3" x14ac:dyDescent="0.25">
      <c r="B1489">
        <v>1413</v>
      </c>
      <c r="C1489" t="s">
        <v>33</v>
      </c>
    </row>
    <row r="1490" spans="2:3" x14ac:dyDescent="0.25">
      <c r="B1490">
        <v>1494</v>
      </c>
      <c r="C1490" t="s">
        <v>33</v>
      </c>
    </row>
    <row r="1491" spans="2:3" x14ac:dyDescent="0.25">
      <c r="B1491">
        <v>1433</v>
      </c>
      <c r="C1491" t="s">
        <v>33</v>
      </c>
    </row>
    <row r="1492" spans="2:3" x14ac:dyDescent="0.25">
      <c r="B1492">
        <v>1448</v>
      </c>
      <c r="C1492" t="s">
        <v>33</v>
      </c>
    </row>
    <row r="1493" spans="2:3" x14ac:dyDescent="0.25">
      <c r="B1493">
        <v>1431</v>
      </c>
      <c r="C1493" t="s">
        <v>33</v>
      </c>
    </row>
    <row r="1494" spans="2:3" x14ac:dyDescent="0.25">
      <c r="B1494">
        <v>1426</v>
      </c>
      <c r="C1494" t="s">
        <v>33</v>
      </c>
    </row>
    <row r="1495" spans="2:3" x14ac:dyDescent="0.25">
      <c r="B1495">
        <v>1425</v>
      </c>
      <c r="C1495" t="s">
        <v>33</v>
      </c>
    </row>
    <row r="1496" spans="2:3" x14ac:dyDescent="0.25">
      <c r="B1496">
        <v>1463</v>
      </c>
      <c r="C1496" t="s">
        <v>33</v>
      </c>
    </row>
    <row r="1497" spans="2:3" x14ac:dyDescent="0.25">
      <c r="B1497">
        <v>1501</v>
      </c>
      <c r="C1497" t="s">
        <v>33</v>
      </c>
    </row>
    <row r="1498" spans="2:3" x14ac:dyDescent="0.25">
      <c r="B1498">
        <v>1497</v>
      </c>
      <c r="C1498" t="s">
        <v>33</v>
      </c>
    </row>
    <row r="1499" spans="2:3" x14ac:dyDescent="0.25">
      <c r="B1499">
        <v>1481</v>
      </c>
      <c r="C1499" t="s">
        <v>33</v>
      </c>
    </row>
    <row r="1500" spans="2:3" x14ac:dyDescent="0.25">
      <c r="B1500">
        <v>1500</v>
      </c>
      <c r="C1500" t="s">
        <v>33</v>
      </c>
    </row>
    <row r="1501" spans="2:3" x14ac:dyDescent="0.25">
      <c r="B1501">
        <v>1502</v>
      </c>
      <c r="C1501" t="s">
        <v>33</v>
      </c>
    </row>
    <row r="1502" spans="2:3" x14ac:dyDescent="0.25">
      <c r="B1502">
        <v>1495</v>
      </c>
      <c r="C1502" t="s">
        <v>33</v>
      </c>
    </row>
    <row r="1503" spans="2:3" x14ac:dyDescent="0.25">
      <c r="B1503">
        <v>1472</v>
      </c>
      <c r="C1503" t="s">
        <v>34</v>
      </c>
    </row>
    <row r="1504" spans="2:3" x14ac:dyDescent="0.25">
      <c r="B1504">
        <v>1424</v>
      </c>
      <c r="C1504" t="s">
        <v>34</v>
      </c>
    </row>
    <row r="1505" spans="2:3" x14ac:dyDescent="0.25">
      <c r="B1505">
        <v>1461</v>
      </c>
      <c r="C1505" t="s">
        <v>34</v>
      </c>
    </row>
    <row r="1506" spans="2:3" x14ac:dyDescent="0.25">
      <c r="B1506">
        <v>1438</v>
      </c>
      <c r="C1506" t="s">
        <v>34</v>
      </c>
    </row>
    <row r="1507" spans="2:3" x14ac:dyDescent="0.25">
      <c r="B1507">
        <v>1421</v>
      </c>
      <c r="C1507" t="s">
        <v>34</v>
      </c>
    </row>
    <row r="1508" spans="2:3" x14ac:dyDescent="0.25">
      <c r="B1508">
        <v>1455</v>
      </c>
      <c r="C1508" t="s">
        <v>34</v>
      </c>
    </row>
    <row r="1509" spans="2:3" x14ac:dyDescent="0.25">
      <c r="B1509">
        <v>1419</v>
      </c>
      <c r="C1509" t="s">
        <v>34</v>
      </c>
    </row>
    <row r="1510" spans="2:3" x14ac:dyDescent="0.25">
      <c r="B1510">
        <v>1422</v>
      </c>
      <c r="C1510" t="s">
        <v>34</v>
      </c>
    </row>
    <row r="1511" spans="2:3" x14ac:dyDescent="0.25">
      <c r="B1511">
        <v>1496</v>
      </c>
      <c r="C1511" t="s">
        <v>34</v>
      </c>
    </row>
    <row r="1512" spans="2:3" x14ac:dyDescent="0.25">
      <c r="B1512">
        <v>1467</v>
      </c>
      <c r="C1512" t="s">
        <v>25</v>
      </c>
    </row>
    <row r="1513" spans="2:3" x14ac:dyDescent="0.25">
      <c r="B1513">
        <v>1417</v>
      </c>
      <c r="C1513" t="s">
        <v>25</v>
      </c>
    </row>
    <row r="1514" spans="2:3" x14ac:dyDescent="0.25">
      <c r="B1514">
        <v>1464</v>
      </c>
      <c r="C1514" t="s">
        <v>25</v>
      </c>
    </row>
    <row r="1515" spans="2:3" x14ac:dyDescent="0.25">
      <c r="B1515">
        <v>1486</v>
      </c>
      <c r="C1515" t="s">
        <v>25</v>
      </c>
    </row>
    <row r="1516" spans="2:3" x14ac:dyDescent="0.25">
      <c r="B1516">
        <v>1485</v>
      </c>
      <c r="C1516" t="s">
        <v>25</v>
      </c>
    </row>
    <row r="1517" spans="2:3" x14ac:dyDescent="0.25">
      <c r="B1517">
        <v>1450</v>
      </c>
      <c r="C1517" t="s">
        <v>25</v>
      </c>
    </row>
    <row r="1518" spans="2:3" x14ac:dyDescent="0.25">
      <c r="B1518">
        <v>1470</v>
      </c>
      <c r="C1518" t="s">
        <v>25</v>
      </c>
    </row>
    <row r="1519" spans="2:3" x14ac:dyDescent="0.25">
      <c r="B1519">
        <v>1440</v>
      </c>
      <c r="C1519" t="s">
        <v>25</v>
      </c>
    </row>
    <row r="1520" spans="2:3" x14ac:dyDescent="0.25">
      <c r="B1520">
        <v>1423</v>
      </c>
      <c r="C1520" t="s">
        <v>25</v>
      </c>
    </row>
    <row r="1521" spans="2:3" x14ac:dyDescent="0.25">
      <c r="B1521">
        <v>1443</v>
      </c>
      <c r="C1521" t="s">
        <v>25</v>
      </c>
    </row>
    <row r="1522" spans="2:3" x14ac:dyDescent="0.25">
      <c r="B1522">
        <v>1493</v>
      </c>
      <c r="C1522" t="s">
        <v>25</v>
      </c>
    </row>
    <row r="1523" spans="2:3" x14ac:dyDescent="0.25">
      <c r="B1523">
        <v>1480</v>
      </c>
      <c r="C1523" t="s">
        <v>25</v>
      </c>
    </row>
    <row r="1524" spans="2:3" x14ac:dyDescent="0.25">
      <c r="B1524">
        <v>1418</v>
      </c>
      <c r="C1524" t="s">
        <v>25</v>
      </c>
    </row>
    <row r="1525" spans="2:3" x14ac:dyDescent="0.25">
      <c r="B1525">
        <v>1449</v>
      </c>
      <c r="C1525" t="s">
        <v>25</v>
      </c>
    </row>
    <row r="1526" spans="2:3" x14ac:dyDescent="0.25">
      <c r="B1526">
        <v>1447</v>
      </c>
      <c r="C1526" t="s">
        <v>25</v>
      </c>
    </row>
    <row r="1527" spans="2:3" x14ac:dyDescent="0.25">
      <c r="B1527">
        <v>1492</v>
      </c>
      <c r="C1527" t="s">
        <v>25</v>
      </c>
    </row>
    <row r="1528" spans="2:3" x14ac:dyDescent="0.25">
      <c r="B1528">
        <v>1468</v>
      </c>
      <c r="C1528" t="s">
        <v>25</v>
      </c>
    </row>
    <row r="1529" spans="2:3" x14ac:dyDescent="0.25">
      <c r="B1529">
        <v>1437</v>
      </c>
      <c r="C1529" t="s">
        <v>25</v>
      </c>
    </row>
  </sheetData>
  <conditionalFormatting sqref="B28:B1529">
    <cfRule type="duplicateValues" dxfId="3" priority="163"/>
  </conditionalFormatting>
  <conditionalFormatting sqref="B13:B16 B3:B10 B18:B22">
    <cfRule type="duplicateValues" dxfId="2" priority="166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ódulo1.selection">
                <anchor moveWithCells="1" sizeWithCells="1">
                  <from>
                    <xdr:col>4</xdr:col>
                    <xdr:colOff>9525</xdr:colOff>
                    <xdr:row>26</xdr:row>
                    <xdr:rowOff>38100</xdr:rowOff>
                  </from>
                  <to>
                    <xdr:col>5</xdr:col>
                    <xdr:colOff>600075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X739"/>
  <sheetViews>
    <sheetView tabSelected="1" zoomScale="91" zoomScaleNormal="50" workbookViewId="0">
      <selection activeCell="H15" sqref="H15"/>
    </sheetView>
  </sheetViews>
  <sheetFormatPr baseColWidth="10" defaultRowHeight="15" x14ac:dyDescent="0.25"/>
  <cols>
    <col min="2" max="2" width="22.5703125" bestFit="1" customWidth="1"/>
    <col min="3" max="3" width="14" bestFit="1" customWidth="1"/>
    <col min="4" max="4" width="14.42578125" hidden="1" customWidth="1"/>
    <col min="5" max="5" width="12.7109375" bestFit="1" customWidth="1"/>
    <col min="6" max="6" width="11.7109375" customWidth="1"/>
    <col min="7" max="7" width="23.85546875" customWidth="1"/>
    <col min="8" max="8" width="15" customWidth="1"/>
    <col min="9" max="9" width="12.5703125" bestFit="1" customWidth="1"/>
    <col min="10" max="10" width="12.5703125" hidden="1" customWidth="1"/>
    <col min="12" max="12" width="13.5703125" bestFit="1" customWidth="1"/>
    <col min="13" max="15" width="12" customWidth="1"/>
    <col min="16" max="16" width="11.85546875" customWidth="1"/>
    <col min="19" max="19" width="14.5703125" customWidth="1"/>
    <col min="22" max="22" width="13.140625" bestFit="1" customWidth="1"/>
  </cols>
  <sheetData>
    <row r="1" spans="1:24" ht="16.5" thickBot="1" x14ac:dyDescent="0.3">
      <c r="B1" s="17"/>
      <c r="C1" s="37"/>
      <c r="D1" s="37"/>
      <c r="E1" s="8">
        <v>10</v>
      </c>
      <c r="F1" s="38"/>
      <c r="G1" s="38"/>
      <c r="H1" s="9"/>
      <c r="I1" s="10">
        <f>COUNTIF(Tabla1[ERROR M1],"&gt;0")+COUNTIF(Tabla1[ERROR M1],"&lt;0")</f>
        <v>391</v>
      </c>
      <c r="J1" s="10"/>
    </row>
    <row r="2" spans="1:24" ht="15.75" thickBot="1" x14ac:dyDescent="0.3">
      <c r="A2" s="5" t="s">
        <v>6</v>
      </c>
      <c r="B2" t="s">
        <v>915</v>
      </c>
      <c r="C2" s="4" t="s">
        <v>1254</v>
      </c>
      <c r="D2" s="4" t="s">
        <v>35</v>
      </c>
      <c r="E2" s="7" t="s">
        <v>2193</v>
      </c>
      <c r="F2" t="s">
        <v>2194</v>
      </c>
      <c r="G2" t="s">
        <v>31</v>
      </c>
      <c r="H2" t="s">
        <v>32</v>
      </c>
      <c r="I2" t="s">
        <v>37</v>
      </c>
      <c r="J2" t="s">
        <v>560</v>
      </c>
      <c r="L2" s="27" t="s">
        <v>39</v>
      </c>
      <c r="M2" s="27" t="s">
        <v>38</v>
      </c>
      <c r="N2" s="27" t="s">
        <v>559</v>
      </c>
      <c r="S2" s="31" t="s">
        <v>29</v>
      </c>
      <c r="T2" s="31" t="s">
        <v>40</v>
      </c>
      <c r="U2" s="31" t="s">
        <v>42</v>
      </c>
      <c r="V2" s="31" t="s">
        <v>41</v>
      </c>
      <c r="W2" s="31" t="s">
        <v>43</v>
      </c>
    </row>
    <row r="3" spans="1:24" ht="15" customHeight="1" x14ac:dyDescent="0.25">
      <c r="A3" s="1">
        <f>Desgloce!A2</f>
        <v>9</v>
      </c>
      <c r="B3" s="14">
        <f>VLOOKUP(Tabla1[[#This Row],[No]],Tabla7[],7,FALSE)</f>
        <v>2</v>
      </c>
      <c r="C3" s="24">
        <v>9.7002181061580206</v>
      </c>
      <c r="D3" s="15">
        <f>(B3-C3)/B3*100</f>
        <v>-385.01090530790106</v>
      </c>
      <c r="E3" s="14">
        <f>IF(Tabla1[[#This Row],[% Error1]]&gt;$E$1,Tabla1[[#This Row],[No]],IF(Tabla1[[#This Row],[% Error1]]&lt;-$E$1,Tabla1[[#This Row],[No]],""))</f>
        <v>9</v>
      </c>
      <c r="F3" s="14" t="str">
        <f>IF(Tabla1[[#This Row],[ID]]="","",VLOOKUP(Tabla1[[#This Row],[ID]],Tabla7[],2,FALSE))</f>
        <v>CC(C)(C)c1ccccc1</v>
      </c>
      <c r="G3" s="14" t="str">
        <f>IF(Tabla1[[#This Row],[ID]]="","",VLOOKUP(Tabla1[[#This Row],[ID]],Tabla7[],36,FALSE))</f>
        <v>Test</v>
      </c>
      <c r="H3" s="14" t="str">
        <f>IF(Tabla1[[#This Row],[ID]]="","",VLOOKUP(Tabla1[[#This Row],[ID]],Tabla7[],4,FALSE))</f>
        <v>Aromatic</v>
      </c>
      <c r="I3" s="24">
        <f>IF(Tabla1[[#This Row],[ID]]="","",VLOOKUP(Tabla1[[#This Row],[ID]],Tabla1[],4,FALSE))</f>
        <v>-385.01090530790106</v>
      </c>
      <c r="J3" s="16">
        <f>Tabla1[[#This Row],[CN Literatura]]-Tabla1[[#This Row],[CN Predicted]]</f>
        <v>-7.7002181061580206</v>
      </c>
      <c r="L3" s="12">
        <f>SUM(V3:V22)</f>
        <v>347</v>
      </c>
      <c r="M3" s="12">
        <f>SUM(U3:U22)</f>
        <v>390</v>
      </c>
      <c r="N3" s="12">
        <f>SUM(L3:M3)</f>
        <v>737</v>
      </c>
      <c r="Q3" s="4"/>
      <c r="S3" s="41" t="s">
        <v>10</v>
      </c>
      <c r="T3" s="43">
        <f>'Random'!C3</f>
        <v>66</v>
      </c>
      <c r="U3" s="43">
        <f>T3-V3</f>
        <v>38</v>
      </c>
      <c r="V3" s="43">
        <f t="shared" ref="V3:V5" si="0">COUNTIF($H$3:$H$739,S3)</f>
        <v>28</v>
      </c>
      <c r="W3" s="44">
        <f>U3/T3*100</f>
        <v>57.575757575757578</v>
      </c>
    </row>
    <row r="4" spans="1:24" ht="15" customHeight="1" x14ac:dyDescent="0.25">
      <c r="A4" s="1">
        <f>Desgloce!A3</f>
        <v>13</v>
      </c>
      <c r="B4" s="14">
        <f>VLOOKUP(Tabla1[[#This Row],[No]],Tabla7[],7,FALSE)</f>
        <v>3</v>
      </c>
      <c r="C4" s="24">
        <v>1.2914873517046399</v>
      </c>
      <c r="D4" s="15">
        <f>(B4-C4)/B4*100</f>
        <v>56.950421609845336</v>
      </c>
      <c r="E4" s="14">
        <f>IF(Tabla1[[#This Row],[% Error1]]&gt;$E$1,Tabla1[[#This Row],[No]],IF(Tabla1[[#This Row],[% Error1]]&lt;-$E$1,Tabla1[[#This Row],[No]],""))</f>
        <v>13</v>
      </c>
      <c r="F4" s="14" t="str">
        <f>IF(Tabla1[[#This Row],[ID]]="","",VLOOKUP(Tabla1[[#This Row],[ID]],Tabla7[],2,FALSE))</f>
        <v>CC(C)(C)c1ccc2ccccc2c1</v>
      </c>
      <c r="G4" s="14" t="str">
        <f>IF(Tabla1[[#This Row],[ID]]="","",VLOOKUP(Tabla1[[#This Row],[ID]],Tabla7[],36,FALSE))</f>
        <v>Test</v>
      </c>
      <c r="H4" s="14" t="str">
        <f>IF(Tabla1[[#This Row],[ID]]="","",VLOOKUP(Tabla1[[#This Row],[ID]],Tabla7[],4,FALSE))</f>
        <v>Aromatic</v>
      </c>
      <c r="I4" s="24">
        <f>IF(Tabla1[[#This Row],[ID]]="","",VLOOKUP(Tabla1[[#This Row],[ID]],Tabla1[],4,FALSE))</f>
        <v>56.950421609845336</v>
      </c>
      <c r="J4" s="16">
        <f>Tabla1[[#This Row],[CN Literatura]]-Tabla1[[#This Row],[CN Predicted]]</f>
        <v>1.7085126482953601</v>
      </c>
      <c r="Q4" s="4"/>
      <c r="S4" s="41" t="s">
        <v>11</v>
      </c>
      <c r="T4" s="43">
        <f>'Random'!C4</f>
        <v>6</v>
      </c>
      <c r="U4" s="43">
        <f t="shared" ref="U4:U8" si="1">T4-V4</f>
        <v>4</v>
      </c>
      <c r="V4" s="43">
        <f t="shared" si="0"/>
        <v>2</v>
      </c>
      <c r="W4" s="44">
        <f t="shared" ref="W4:W8" si="2">U4/T4*100</f>
        <v>66.666666666666657</v>
      </c>
    </row>
    <row r="5" spans="1:24" ht="15" customHeight="1" x14ac:dyDescent="0.25">
      <c r="A5" s="1">
        <f>Desgloce!A4</f>
        <v>26</v>
      </c>
      <c r="B5" s="14">
        <f>VLOOKUP(Tabla1[[#This Row],[No]],Tabla7[],7,FALSE)</f>
        <v>6</v>
      </c>
      <c r="C5" s="24">
        <v>8.9233408083525401</v>
      </c>
      <c r="D5" s="15">
        <f>(B5-C5)/B5*100</f>
        <v>-48.722346805875667</v>
      </c>
      <c r="E5" s="14">
        <f>IF(Tabla1[[#This Row],[% Error1]]&gt;$E$1,Tabla1[[#This Row],[No]],IF(Tabla1[[#This Row],[% Error1]]&lt;-$E$1,Tabla1[[#This Row],[No]],""))</f>
        <v>26</v>
      </c>
      <c r="F5" s="14" t="str">
        <f>IF(Tabla1[[#This Row],[ID]]="","",VLOOKUP(Tabla1[[#This Row],[ID]],Tabla7[],2,FALSE))</f>
        <v>CC(CC)C1=CC=CC=C1</v>
      </c>
      <c r="G5" s="14" t="str">
        <f>IF(Tabla1[[#This Row],[ID]]="","",VLOOKUP(Tabla1[[#This Row],[ID]],Tabla7[],36,FALSE))</f>
        <v>Test</v>
      </c>
      <c r="H5" s="14" t="str">
        <f>IF(Tabla1[[#This Row],[ID]]="","",VLOOKUP(Tabla1[[#This Row],[ID]],Tabla7[],4,FALSE))</f>
        <v>Aromatic</v>
      </c>
      <c r="I5" s="24">
        <f>IF(Tabla1[[#This Row],[ID]]="","",VLOOKUP(Tabla1[[#This Row],[ID]],Tabla1[],4,FALSE))</f>
        <v>-48.722346805875667</v>
      </c>
      <c r="J5" s="16">
        <f>Tabla1[[#This Row],[CN Literatura]]-Tabla1[[#This Row],[CN Predicted]]</f>
        <v>-2.9233408083525401</v>
      </c>
      <c r="S5" s="41" t="s">
        <v>12</v>
      </c>
      <c r="T5" s="43">
        <f>'Random'!C5</f>
        <v>92</v>
      </c>
      <c r="U5" s="43">
        <f t="shared" si="1"/>
        <v>42</v>
      </c>
      <c r="V5" s="43">
        <f t="shared" si="0"/>
        <v>50</v>
      </c>
      <c r="W5" s="44">
        <f t="shared" si="2"/>
        <v>45.652173913043477</v>
      </c>
    </row>
    <row r="6" spans="1:24" ht="15" customHeight="1" x14ac:dyDescent="0.25">
      <c r="A6" s="1">
        <f>Desgloce!A5</f>
        <v>32</v>
      </c>
      <c r="B6" s="14">
        <f>VLOOKUP(Tabla1[[#This Row],[No]],Tabla7[],7,FALSE)</f>
        <v>6.1</v>
      </c>
      <c r="C6" s="24">
        <v>14.223439240312199</v>
      </c>
      <c r="D6" s="15">
        <f>(B6-C6)/B6*100</f>
        <v>-133.17113508708525</v>
      </c>
      <c r="E6" s="14">
        <f>IF(Tabla1[[#This Row],[% Error1]]&gt;$E$1,Tabla1[[#This Row],[No]],IF(Tabla1[[#This Row],[% Error1]]&lt;-$E$1,Tabla1[[#This Row],[No]],""))</f>
        <v>32</v>
      </c>
      <c r="F6" s="14" t="str">
        <f>IF(Tabla1[[#This Row],[ID]]="","",VLOOKUP(Tabla1[[#This Row],[ID]],Tabla7[],2,FALSE))</f>
        <v>C1CCCC1</v>
      </c>
      <c r="G6" s="14" t="str">
        <f>IF(Tabla1[[#This Row],[ID]]="","",VLOOKUP(Tabla1[[#This Row],[ID]],Tabla7[],36,FALSE))</f>
        <v>Test</v>
      </c>
      <c r="H6" s="14" t="str">
        <f>IF(Tabla1[[#This Row],[ID]]="","",VLOOKUP(Tabla1[[#This Row],[ID]],Tabla7[],4,FALSE))</f>
        <v>cyclo-alkane</v>
      </c>
      <c r="I6" s="16">
        <f>IF(Tabla1[[#This Row],[ID]]="","",VLOOKUP(Tabla1[[#This Row],[ID]],Tabla1[],4,FALSE))</f>
        <v>-133.17113508708525</v>
      </c>
      <c r="J6" s="16">
        <f>Tabla1[[#This Row],[CN Literatura]]-Tabla1[[#This Row],[CN Predicted]]</f>
        <v>-8.1234392403121998</v>
      </c>
      <c r="L6" s="13"/>
      <c r="M6" s="13"/>
      <c r="S6" s="41" t="s">
        <v>13</v>
      </c>
      <c r="T6" s="32">
        <f>'Random'!C6</f>
        <v>102</v>
      </c>
      <c r="U6" s="32">
        <f t="shared" si="1"/>
        <v>36</v>
      </c>
      <c r="V6" s="32">
        <f>COUNTIF($H$3:$H$739,S6)</f>
        <v>66</v>
      </c>
      <c r="W6" s="33">
        <f t="shared" si="2"/>
        <v>35.294117647058826</v>
      </c>
      <c r="X6" t="s">
        <v>2192</v>
      </c>
    </row>
    <row r="7" spans="1:24" ht="15" customHeight="1" x14ac:dyDescent="0.25">
      <c r="A7" s="1">
        <f>Desgloce!A6</f>
        <v>34</v>
      </c>
      <c r="B7" s="14">
        <f>VLOOKUP(Tabla1[[#This Row],[No]],Tabla7[],7,FALSE)</f>
        <v>6.3</v>
      </c>
      <c r="C7" s="24">
        <v>10.4734502627644</v>
      </c>
      <c r="D7" s="15">
        <f>(B7-C7)/B7*100</f>
        <v>-66.245242266101585</v>
      </c>
      <c r="E7" s="14">
        <f>IF(Tabla1[[#This Row],[% Error1]]&gt;$E$1,Tabla1[[#This Row],[No]],IF(Tabla1[[#This Row],[% Error1]]&lt;-$E$1,Tabla1[[#This Row],[No]],""))</f>
        <v>34</v>
      </c>
      <c r="F7" s="14" t="str">
        <f>IF(Tabla1[[#This Row],[ID]]="","",VLOOKUP(Tabla1[[#This Row],[ID]],Tabla7[],2,FALSE))</f>
        <v>C(C)C1=CC=CC=C1</v>
      </c>
      <c r="G7" s="14" t="str">
        <f>IF(Tabla1[[#This Row],[ID]]="","",VLOOKUP(Tabla1[[#This Row],[ID]],Tabla7[],36,FALSE))</f>
        <v>Test</v>
      </c>
      <c r="H7" s="14" t="str">
        <f>IF(Tabla1[[#This Row],[ID]]="","",VLOOKUP(Tabla1[[#This Row],[ID]],Tabla7[],4,FALSE))</f>
        <v>Aromatic</v>
      </c>
      <c r="I7" s="24">
        <f>IF(Tabla1[[#This Row],[ID]]="","",VLOOKUP(Tabla1[[#This Row],[ID]],Tabla1[],4,FALSE))</f>
        <v>-66.245242266101585</v>
      </c>
      <c r="J7" s="16">
        <f>Tabla1[[#This Row],[CN Literatura]]-Tabla1[[#This Row],[CN Predicted]]</f>
        <v>-4.1734502627644003</v>
      </c>
      <c r="L7" s="13"/>
      <c r="M7" s="13"/>
      <c r="S7" s="41" t="s">
        <v>1537</v>
      </c>
      <c r="T7" s="32">
        <f>'Random'!C7</f>
        <v>4</v>
      </c>
      <c r="U7" s="32">
        <f t="shared" si="1"/>
        <v>1</v>
      </c>
      <c r="V7" s="32">
        <f t="shared" ref="V7:V22" si="3">COUNTIF($H$3:$H$739,S7)</f>
        <v>3</v>
      </c>
      <c r="W7" s="33">
        <f t="shared" si="2"/>
        <v>25</v>
      </c>
    </row>
    <row r="8" spans="1:24" ht="15" customHeight="1" x14ac:dyDescent="0.25">
      <c r="A8" s="1">
        <f>Desgloce!A7</f>
        <v>36</v>
      </c>
      <c r="B8" s="14">
        <f>VLOOKUP(Tabla1[[#This Row],[No]],Tabla7[],7,FALSE)</f>
        <v>6.4</v>
      </c>
      <c r="C8" s="24">
        <v>20.477714268509899</v>
      </c>
      <c r="D8" s="15">
        <f>(B8-C8)/B8*100</f>
        <v>-219.96428544546717</v>
      </c>
      <c r="E8" s="14">
        <f>IF(Tabla1[[#This Row],[% Error1]]&gt;$E$1,Tabla1[[#This Row],[No]],IF(Tabla1[[#This Row],[% Error1]]&lt;-$E$1,Tabla1[[#This Row],[No]],""))</f>
        <v>36</v>
      </c>
      <c r="F8" s="14" t="str">
        <f>IF(Tabla1[[#This Row],[ID]]="","",VLOOKUP(Tabla1[[#This Row],[ID]],Tabla7[],2,FALSE))</f>
        <v>CCCC(=O)OC</v>
      </c>
      <c r="G8" s="14" t="str">
        <f>IF(Tabla1[[#This Row],[ID]]="","",VLOOKUP(Tabla1[[#This Row],[ID]],Tabla7[],36,FALSE))</f>
        <v>Test</v>
      </c>
      <c r="H8" s="14" t="str">
        <f>IF(Tabla1[[#This Row],[ID]]="","",VLOOKUP(Tabla1[[#This Row],[ID]],Tabla7[],4,FALSE))</f>
        <v>Ester</v>
      </c>
      <c r="I8" s="16">
        <f>IF(Tabla1[[#This Row],[ID]]="","",VLOOKUP(Tabla1[[#This Row],[ID]],Tabla1[],4,FALSE))</f>
        <v>-219.96428544546717</v>
      </c>
      <c r="J8" s="16">
        <f>Tabla1[[#This Row],[CN Literatura]]-Tabla1[[#This Row],[CN Predicted]]</f>
        <v>-14.077714268509899</v>
      </c>
      <c r="S8" s="41" t="s">
        <v>1932</v>
      </c>
      <c r="T8" s="32">
        <f>'Random'!C8</f>
        <v>8</v>
      </c>
      <c r="U8" s="32">
        <f t="shared" si="1"/>
        <v>5</v>
      </c>
      <c r="V8" s="32">
        <f t="shared" si="3"/>
        <v>3</v>
      </c>
      <c r="W8" s="33">
        <f t="shared" si="2"/>
        <v>62.5</v>
      </c>
      <c r="X8" t="s">
        <v>2192</v>
      </c>
    </row>
    <row r="9" spans="1:24" ht="15" customHeight="1" x14ac:dyDescent="0.25">
      <c r="A9" s="1">
        <f>Desgloce!A8</f>
        <v>37</v>
      </c>
      <c r="B9" s="14">
        <f>VLOOKUP(Tabla1[[#This Row],[No]],Tabla7[],7,FALSE)</f>
        <v>6.4</v>
      </c>
      <c r="C9" s="24">
        <v>11.8179937404849</v>
      </c>
      <c r="D9" s="15">
        <f>(B9-C9)/B9*100</f>
        <v>-84.656152195076544</v>
      </c>
      <c r="E9" s="14">
        <f>IF(Tabla1[[#This Row],[% Error1]]&gt;$E$1,Tabla1[[#This Row],[No]],IF(Tabla1[[#This Row],[% Error1]]&lt;-$E$1,Tabla1[[#This Row],[No]],""))</f>
        <v>37</v>
      </c>
      <c r="F9" s="14" t="str">
        <f>IF(Tabla1[[#This Row],[ID]]="","",VLOOKUP(Tabla1[[#This Row],[ID]],Tabla7[],2,FALSE))</f>
        <v>C1(=CC=CC=C1)OC</v>
      </c>
      <c r="G9" s="14" t="str">
        <f>IF(Tabla1[[#This Row],[ID]]="","",VLOOKUP(Tabla1[[#This Row],[ID]],Tabla7[],36,FALSE))</f>
        <v>Test</v>
      </c>
      <c r="H9" s="14" t="str">
        <f>IF(Tabla1[[#This Row],[ID]]="","",VLOOKUP(Tabla1[[#This Row],[ID]],Tabla7[],4,FALSE))</f>
        <v>Ether</v>
      </c>
      <c r="I9" s="16">
        <f>IF(Tabla1[[#This Row],[ID]]="","",VLOOKUP(Tabla1[[#This Row],[ID]],Tabla1[],4,FALSE))</f>
        <v>-84.656152195076544</v>
      </c>
      <c r="J9" s="16">
        <f>Tabla1[[#This Row],[CN Literatura]]-Tabla1[[#This Row],[CN Predicted]]</f>
        <v>-5.4179937404848992</v>
      </c>
      <c r="S9" s="41" t="s">
        <v>14</v>
      </c>
      <c r="T9" s="43">
        <f>'Random'!C9</f>
        <v>6</v>
      </c>
      <c r="U9" s="43">
        <f>T9-V9</f>
        <v>3</v>
      </c>
      <c r="V9" s="43">
        <f t="shared" si="3"/>
        <v>3</v>
      </c>
      <c r="W9" s="44">
        <f>U9/T9*100</f>
        <v>50</v>
      </c>
    </row>
    <row r="10" spans="1:24" ht="15" customHeight="1" x14ac:dyDescent="0.25">
      <c r="A10" s="1">
        <f>Desgloce!A9</f>
        <v>45</v>
      </c>
      <c r="B10" s="14">
        <f>VLOOKUP(Tabla1[[#This Row],[No]],Tabla7[],7,FALSE)</f>
        <v>7.5</v>
      </c>
      <c r="C10" s="24">
        <v>21.055145717603398</v>
      </c>
      <c r="D10" s="15">
        <f>(B10-C10)/B10*100</f>
        <v>-180.73527623471196</v>
      </c>
      <c r="E10" s="14">
        <f>IF(Tabla1[[#This Row],[% Error1]]&gt;$E$1,Tabla1[[#This Row],[No]],IF(Tabla1[[#This Row],[% Error1]]&lt;-$E$1,Tabla1[[#This Row],[No]],""))</f>
        <v>45</v>
      </c>
      <c r="F10" s="14" t="str">
        <f>IF(Tabla1[[#This Row],[ID]]="","",VLOOKUP(Tabla1[[#This Row],[ID]],Tabla7[],2,FALSE))</f>
        <v>C(CC)C1=CC=C(C=C1)OC</v>
      </c>
      <c r="G10" s="14" t="str">
        <f>IF(Tabla1[[#This Row],[ID]]="","",VLOOKUP(Tabla1[[#This Row],[ID]],Tabla7[],36,FALSE))</f>
        <v>Test</v>
      </c>
      <c r="H10" s="14" t="str">
        <f>IF(Tabla1[[#This Row],[ID]]="","",VLOOKUP(Tabla1[[#This Row],[ID]],Tabla7[],4,FALSE))</f>
        <v>Ether</v>
      </c>
      <c r="I10" s="16">
        <f>IF(Tabla1[[#This Row],[ID]]="","",VLOOKUP(Tabla1[[#This Row],[ID]],Tabla1[],4,FALSE))</f>
        <v>-180.73527623471196</v>
      </c>
      <c r="J10" s="16">
        <f>Tabla1[[#This Row],[CN Literatura]]-Tabla1[[#This Row],[CN Predicted]]</f>
        <v>-13.555145717603398</v>
      </c>
      <c r="S10" s="48" t="s">
        <v>15</v>
      </c>
      <c r="T10" s="32">
        <f>'Random'!C10</f>
        <v>4</v>
      </c>
      <c r="U10" s="32">
        <f>T10-V10</f>
        <v>1</v>
      </c>
      <c r="V10" s="32">
        <f t="shared" si="3"/>
        <v>3</v>
      </c>
      <c r="W10" s="33">
        <f>U10/T10*100</f>
        <v>25</v>
      </c>
      <c r="X10" t="s">
        <v>2192</v>
      </c>
    </row>
    <row r="11" spans="1:24" ht="15" customHeight="1" x14ac:dyDescent="0.25">
      <c r="A11" s="1">
        <f>Desgloce!A10</f>
        <v>46</v>
      </c>
      <c r="B11" s="14">
        <f>VLOOKUP(Tabla1[[#This Row],[No]],Tabla7[],7,FALSE)</f>
        <v>7.6</v>
      </c>
      <c r="C11" s="24">
        <v>3.1768230408659899</v>
      </c>
      <c r="D11" s="15">
        <f>(B11-C11)/B11*100</f>
        <v>58.199696830710657</v>
      </c>
      <c r="E11" s="14">
        <f>IF(Tabla1[[#This Row],[% Error1]]&gt;$E$1,Tabla1[[#This Row],[No]],IF(Tabla1[[#This Row],[% Error1]]&lt;-$E$1,Tabla1[[#This Row],[No]],""))</f>
        <v>46</v>
      </c>
      <c r="F11" s="14" t="str">
        <f>IF(Tabla1[[#This Row],[ID]]="","",VLOOKUP(Tabla1[[#This Row],[ID]],Tabla7[],2,FALSE))</f>
        <v>C(C)C1=CC(=CC(=C1)CC)CC</v>
      </c>
      <c r="G11" s="14" t="str">
        <f>IF(Tabla1[[#This Row],[ID]]="","",VLOOKUP(Tabla1[[#This Row],[ID]],Tabla7[],36,FALSE))</f>
        <v>Test</v>
      </c>
      <c r="H11" s="14" t="str">
        <f>IF(Tabla1[[#This Row],[ID]]="","",VLOOKUP(Tabla1[[#This Row],[ID]],Tabla7[],4,FALSE))</f>
        <v>Aromatic</v>
      </c>
      <c r="I11" s="24">
        <f>IF(Tabla1[[#This Row],[ID]]="","",VLOOKUP(Tabla1[[#This Row],[ID]],Tabla1[],4,FALSE))</f>
        <v>58.199696830710657</v>
      </c>
      <c r="J11" s="16">
        <f>Tabla1[[#This Row],[CN Literatura]]-Tabla1[[#This Row],[CN Predicted]]</f>
        <v>4.4231769591340093</v>
      </c>
      <c r="S11" s="41" t="s">
        <v>16</v>
      </c>
      <c r="T11" s="32">
        <f>'Random'!C11</f>
        <v>67</v>
      </c>
      <c r="U11" s="32">
        <f>T11-V11</f>
        <v>25</v>
      </c>
      <c r="V11" s="32">
        <f t="shared" si="3"/>
        <v>42</v>
      </c>
      <c r="W11" s="33">
        <f>U11/T11*100</f>
        <v>37.313432835820898</v>
      </c>
      <c r="X11" t="s">
        <v>2192</v>
      </c>
    </row>
    <row r="12" spans="1:24" ht="15" customHeight="1" x14ac:dyDescent="0.25">
      <c r="A12" s="1">
        <f>Desgloce!A11</f>
        <v>47</v>
      </c>
      <c r="B12" s="14">
        <f>VLOOKUP(Tabla1[[#This Row],[No]],Tabla7[],7,FALSE)</f>
        <v>7.8</v>
      </c>
      <c r="C12" s="24">
        <v>10.427946626241001</v>
      </c>
      <c r="D12" s="15">
        <f>(B12-C12)/B12*100</f>
        <v>-33.691623413346164</v>
      </c>
      <c r="E12" s="14">
        <f>IF(Tabla1[[#This Row],[% Error1]]&gt;$E$1,Tabla1[[#This Row],[No]],IF(Tabla1[[#This Row],[% Error1]]&lt;-$E$1,Tabla1[[#This Row],[No]],""))</f>
        <v>47</v>
      </c>
      <c r="F12" s="14" t="str">
        <f>IF(Tabla1[[#This Row],[ID]]="","",VLOOKUP(Tabla1[[#This Row],[ID]],Tabla7[],2,FALSE))</f>
        <v>C(CCC(=O)C)(=O)OC</v>
      </c>
      <c r="G12" s="14" t="str">
        <f>IF(Tabla1[[#This Row],[ID]]="","",VLOOKUP(Tabla1[[#This Row],[ID]],Tabla7[],36,FALSE))</f>
        <v>Test</v>
      </c>
      <c r="H12" s="14" t="str">
        <f>IF(Tabla1[[#This Row],[ID]]="","",VLOOKUP(Tabla1[[#This Row],[ID]],Tabla7[],4,FALSE))</f>
        <v>Ester: saturated</v>
      </c>
      <c r="I12" s="16">
        <f>IF(Tabla1[[#This Row],[ID]]="","",VLOOKUP(Tabla1[[#This Row],[ID]],Tabla1[],4,FALSE))</f>
        <v>-33.691623413346164</v>
      </c>
      <c r="J12" s="16">
        <f>Tabla1[[#This Row],[CN Literatura]]-Tabla1[[#This Row],[CN Predicted]]</f>
        <v>-2.6279466262410009</v>
      </c>
      <c r="S12" s="41" t="s">
        <v>17</v>
      </c>
      <c r="T12" s="32">
        <f>'Random'!C12</f>
        <v>74</v>
      </c>
      <c r="U12" s="32">
        <f>T12-V12</f>
        <v>38</v>
      </c>
      <c r="V12" s="32">
        <f t="shared" si="3"/>
        <v>36</v>
      </c>
      <c r="W12" s="33">
        <f>U12/T12*100</f>
        <v>51.351351351351347</v>
      </c>
    </row>
    <row r="13" spans="1:24" ht="15" customHeight="1" x14ac:dyDescent="0.25">
      <c r="A13" s="1">
        <f>Desgloce!A12</f>
        <v>49</v>
      </c>
      <c r="B13" s="14">
        <f>VLOOKUP(Tabla1[[#This Row],[No]],Tabla7[],7,FALSE)</f>
        <v>8</v>
      </c>
      <c r="C13" s="24">
        <v>3.6333416664510798</v>
      </c>
      <c r="D13" s="15">
        <f>(B13-C13)/B13*100</f>
        <v>54.583229169361502</v>
      </c>
      <c r="E13" s="14">
        <f>IF(Tabla1[[#This Row],[% Error1]]&gt;$E$1,Tabla1[[#This Row],[No]],IF(Tabla1[[#This Row],[% Error1]]&lt;-$E$1,Tabla1[[#This Row],[No]],""))</f>
        <v>49</v>
      </c>
      <c r="F13" s="14" t="str">
        <f>IF(Tabla1[[#This Row],[ID]]="","",VLOOKUP(Tabla1[[#This Row],[ID]],Tabla7[],2,FALSE))</f>
        <v>CCc1ccccc1</v>
      </c>
      <c r="G13" s="14" t="str">
        <f>IF(Tabla1[[#This Row],[ID]]="","",VLOOKUP(Tabla1[[#This Row],[ID]],Tabla7[],36,FALSE))</f>
        <v>Test</v>
      </c>
      <c r="H13" s="14" t="str">
        <f>IF(Tabla1[[#This Row],[ID]]="","",VLOOKUP(Tabla1[[#This Row],[ID]],Tabla7[],4,FALSE))</f>
        <v>Aromatic</v>
      </c>
      <c r="I13" s="24">
        <f>IF(Tabla1[[#This Row],[ID]]="","",VLOOKUP(Tabla1[[#This Row],[ID]],Tabla1[],4,FALSE))</f>
        <v>54.583229169361502</v>
      </c>
      <c r="J13" s="16">
        <f>Tabla1[[#This Row],[CN Literatura]]-Tabla1[[#This Row],[CN Predicted]]</f>
        <v>4.3666583335489202</v>
      </c>
      <c r="S13" s="41" t="s">
        <v>1939</v>
      </c>
      <c r="T13" s="43">
        <f>'Random'!C13</f>
        <v>15</v>
      </c>
      <c r="U13" s="43">
        <f>T13-V13</f>
        <v>15</v>
      </c>
      <c r="V13" s="43">
        <f t="shared" si="3"/>
        <v>0</v>
      </c>
      <c r="W13" s="44">
        <f>U13/T13*100</f>
        <v>100</v>
      </c>
    </row>
    <row r="14" spans="1:24" ht="15" customHeight="1" x14ac:dyDescent="0.25">
      <c r="A14" s="1">
        <f>Desgloce!A13</f>
        <v>57</v>
      </c>
      <c r="B14" s="14">
        <f>VLOOKUP(Tabla1[[#This Row],[No]],Tabla7[],7,FALSE)</f>
        <v>8.5</v>
      </c>
      <c r="C14" s="24">
        <v>6.0568028153220901</v>
      </c>
      <c r="D14" s="15">
        <f>(B14-C14)/B14*100</f>
        <v>28.743496290328352</v>
      </c>
      <c r="E14" s="14">
        <f>IF(Tabla1[[#This Row],[% Error1]]&gt;$E$1,Tabla1[[#This Row],[No]],IF(Tabla1[[#This Row],[% Error1]]&lt;-$E$1,Tabla1[[#This Row],[No]],""))</f>
        <v>57</v>
      </c>
      <c r="F14" s="14" t="str">
        <f>IF(Tabla1[[#This Row],[ID]]="","",VLOOKUP(Tabla1[[#This Row],[ID]],Tabla7[],2,FALSE))</f>
        <v>CCC(C)O</v>
      </c>
      <c r="G14" s="14" t="str">
        <f>IF(Tabla1[[#This Row],[ID]]="","",VLOOKUP(Tabla1[[#This Row],[ID]],Tabla7[],36,FALSE))</f>
        <v>Test</v>
      </c>
      <c r="H14" s="14" t="str">
        <f>IF(Tabla1[[#This Row],[ID]]="","",VLOOKUP(Tabla1[[#This Row],[ID]],Tabla7[],4,FALSE))</f>
        <v>Alcohol</v>
      </c>
      <c r="I14" s="16">
        <f>IF(Tabla1[[#This Row],[ID]]="","",VLOOKUP(Tabla1[[#This Row],[ID]],Tabla1[],4,FALSE))</f>
        <v>28.743496290328352</v>
      </c>
      <c r="J14" s="16">
        <f>Tabla1[[#This Row],[CN Literatura]]-Tabla1[[#This Row],[CN Predicted]]</f>
        <v>2.4431971846779099</v>
      </c>
      <c r="S14" s="41" t="s">
        <v>1937</v>
      </c>
      <c r="T14" s="43">
        <f>'Random'!C14</f>
        <v>47</v>
      </c>
      <c r="U14" s="43">
        <f>T14-V14</f>
        <v>47</v>
      </c>
      <c r="V14" s="43">
        <f t="shared" si="3"/>
        <v>0</v>
      </c>
      <c r="W14" s="44">
        <f>U14/T14*100</f>
        <v>100</v>
      </c>
    </row>
    <row r="15" spans="1:24" ht="15" customHeight="1" x14ac:dyDescent="0.25">
      <c r="A15" s="1">
        <f>Desgloce!A14</f>
        <v>64</v>
      </c>
      <c r="B15" s="14">
        <f>VLOOKUP(Tabla1[[#This Row],[No]],Tabla7[],7,FALSE)</f>
        <v>8.9</v>
      </c>
      <c r="C15" s="24">
        <v>4.6200206534048203</v>
      </c>
      <c r="D15" s="15">
        <f>(B15-C15)/B15*100</f>
        <v>48.089655579721125</v>
      </c>
      <c r="E15" s="14">
        <f>IF(Tabla1[[#This Row],[% Error1]]&gt;$E$1,Tabla1[[#This Row],[No]],IF(Tabla1[[#This Row],[% Error1]]&lt;-$E$1,Tabla1[[#This Row],[No]],""))</f>
        <v>64</v>
      </c>
      <c r="F15" s="14" t="str">
        <f>IF(Tabla1[[#This Row],[ID]]="","",VLOOKUP(Tabla1[[#This Row],[ID]],Tabla7[],2,FALSE))</f>
        <v>Cc1ccc(c(c1)C)C</v>
      </c>
      <c r="G15" s="14" t="str">
        <f>IF(Tabla1[[#This Row],[ID]]="","",VLOOKUP(Tabla1[[#This Row],[ID]],Tabla7[],36,FALSE))</f>
        <v>Test</v>
      </c>
      <c r="H15" s="14" t="str">
        <f>IF(Tabla1[[#This Row],[ID]]="","",VLOOKUP(Tabla1[[#This Row],[ID]],Tabla7[],4,FALSE))</f>
        <v>Aromatic</v>
      </c>
      <c r="I15" s="24">
        <f>IF(Tabla1[[#This Row],[ID]]="","",VLOOKUP(Tabla1[[#This Row],[ID]],Tabla1[],4,FALSE))</f>
        <v>48.089655579721125</v>
      </c>
      <c r="J15" s="16">
        <f>Tabla1[[#This Row],[CN Literatura]]-Tabla1[[#This Row],[CN Predicted]]</f>
        <v>4.2799793465951801</v>
      </c>
      <c r="S15" s="41" t="s">
        <v>1938</v>
      </c>
      <c r="T15" s="43">
        <f>'Random'!C15</f>
        <v>15</v>
      </c>
      <c r="U15" s="43">
        <f>T15-V15</f>
        <v>15</v>
      </c>
      <c r="V15" s="43">
        <f t="shared" si="3"/>
        <v>0</v>
      </c>
      <c r="W15" s="44">
        <f t="shared" ref="W15:W22" si="4">U15/T15*100</f>
        <v>100</v>
      </c>
    </row>
    <row r="16" spans="1:24" ht="15" customHeight="1" x14ac:dyDescent="0.25">
      <c r="A16" s="1">
        <f>Desgloce!A15</f>
        <v>68</v>
      </c>
      <c r="B16" s="14">
        <f>VLOOKUP(Tabla1[[#This Row],[No]],Tabla7[],7,FALSE)</f>
        <v>9</v>
      </c>
      <c r="C16" s="24">
        <v>4.0155028971640601</v>
      </c>
      <c r="D16" s="15">
        <f>(B16-C16)/B16*100</f>
        <v>55.383301142621555</v>
      </c>
      <c r="E16" s="14">
        <f>IF(Tabla1[[#This Row],[% Error1]]&gt;$E$1,Tabla1[[#This Row],[No]],IF(Tabla1[[#This Row],[% Error1]]&lt;-$E$1,Tabla1[[#This Row],[No]],""))</f>
        <v>68</v>
      </c>
      <c r="F16" s="14" t="str">
        <f>IF(Tabla1[[#This Row],[ID]]="","",VLOOKUP(Tabla1[[#This Row],[ID]],Tabla7[],2,FALSE))</f>
        <v>CCCC(C)(CCC)c1ccc2ccccc2c1</v>
      </c>
      <c r="G16" s="14" t="str">
        <f>IF(Tabla1[[#This Row],[ID]]="","",VLOOKUP(Tabla1[[#This Row],[ID]],Tabla7[],36,FALSE))</f>
        <v>Test</v>
      </c>
      <c r="H16" s="14" t="str">
        <f>IF(Tabla1[[#This Row],[ID]]="","",VLOOKUP(Tabla1[[#This Row],[ID]],Tabla7[],4,FALSE))</f>
        <v>Aromatic</v>
      </c>
      <c r="I16" s="24">
        <f>IF(Tabla1[[#This Row],[ID]]="","",VLOOKUP(Tabla1[[#This Row],[ID]],Tabla1[],4,FALSE))</f>
        <v>55.383301142621555</v>
      </c>
      <c r="J16" s="16">
        <f>Tabla1[[#This Row],[CN Literatura]]-Tabla1[[#This Row],[CN Predicted]]</f>
        <v>4.9844971028359399</v>
      </c>
      <c r="S16" s="41" t="s">
        <v>18</v>
      </c>
      <c r="T16" s="32">
        <f>'Random'!C16</f>
        <v>25</v>
      </c>
      <c r="U16" s="32">
        <f t="shared" ref="U16:U22" si="5">T16-V16</f>
        <v>12</v>
      </c>
      <c r="V16" s="32">
        <f t="shared" si="3"/>
        <v>13</v>
      </c>
      <c r="W16" s="33">
        <f t="shared" si="4"/>
        <v>48</v>
      </c>
    </row>
    <row r="17" spans="1:24" ht="15" customHeight="1" x14ac:dyDescent="0.25">
      <c r="A17" s="1">
        <f>Desgloce!A16</f>
        <v>74</v>
      </c>
      <c r="B17" s="14">
        <f>VLOOKUP(Tabla1[[#This Row],[No]],Tabla7[],7,FALSE)</f>
        <v>9</v>
      </c>
      <c r="C17" s="24">
        <v>7.6508640182232401</v>
      </c>
      <c r="D17" s="15">
        <f>(B17-C17)/B17*100</f>
        <v>14.990399797519554</v>
      </c>
      <c r="E17" s="14">
        <f>IF(Tabla1[[#This Row],[% Error1]]&gt;$E$1,Tabla1[[#This Row],[No]],IF(Tabla1[[#This Row],[% Error1]]&lt;-$E$1,Tabla1[[#This Row],[No]],""))</f>
        <v>74</v>
      </c>
      <c r="F17" s="14" t="str">
        <f>IF(Tabla1[[#This Row],[ID]]="","",VLOOKUP(Tabla1[[#This Row],[ID]],Tabla7[],2,FALSE))</f>
        <v>C[C@@H](C(C)C)C(C)[C@@H](C)C(C)C</v>
      </c>
      <c r="G17" s="14" t="str">
        <f>IF(Tabla1[[#This Row],[ID]]="","",VLOOKUP(Tabla1[[#This Row],[ID]],Tabla7[],36,FALSE))</f>
        <v>Test</v>
      </c>
      <c r="H17" s="14" t="str">
        <f>IF(Tabla1[[#This Row],[ID]]="","",VLOOKUP(Tabla1[[#This Row],[ID]],Tabla7[],4,FALSE))</f>
        <v>n-Alkane</v>
      </c>
      <c r="I17" s="16">
        <f>IF(Tabla1[[#This Row],[ID]]="","",VLOOKUP(Tabla1[[#This Row],[ID]],Tabla1[],4,FALSE))</f>
        <v>14.990399797519554</v>
      </c>
      <c r="J17" s="16">
        <f>Tabla1[[#This Row],[CN Literatura]]-Tabla1[[#This Row],[CN Predicted]]</f>
        <v>1.3491359817767599</v>
      </c>
      <c r="S17" s="40" t="s">
        <v>1509</v>
      </c>
      <c r="T17" s="32">
        <f>'Random'!C17</f>
        <v>5</v>
      </c>
      <c r="U17" s="32">
        <f t="shared" si="5"/>
        <v>2</v>
      </c>
      <c r="V17" s="32">
        <f t="shared" si="3"/>
        <v>3</v>
      </c>
      <c r="W17" s="33">
        <f t="shared" si="4"/>
        <v>40</v>
      </c>
      <c r="X17" t="s">
        <v>2192</v>
      </c>
    </row>
    <row r="18" spans="1:24" ht="15" customHeight="1" x14ac:dyDescent="0.25">
      <c r="A18" s="1">
        <f>Desgloce!A17</f>
        <v>85</v>
      </c>
      <c r="B18" s="14">
        <f>VLOOKUP(Tabla1[[#This Row],[No]],Tabla7[],7,FALSE)</f>
        <v>10.199999999999999</v>
      </c>
      <c r="C18" s="24">
        <v>12.9316470095876</v>
      </c>
      <c r="D18" s="15">
        <f>(B18-C18)/B18*100</f>
        <v>-26.780853035172559</v>
      </c>
      <c r="E18" s="14">
        <f>IF(Tabla1[[#This Row],[% Error1]]&gt;$E$1,Tabla1[[#This Row],[No]],IF(Tabla1[[#This Row],[% Error1]]&lt;-$E$1,Tabla1[[#This Row],[No]],""))</f>
        <v>85</v>
      </c>
      <c r="F18" s="14" t="str">
        <f>IF(Tabla1[[#This Row],[ID]]="","",VLOOKUP(Tabla1[[#This Row],[ID]],Tabla7[],2,FALSE))</f>
        <v>CCc1ccco1</v>
      </c>
      <c r="G18" s="14" t="str">
        <f>IF(Tabla1[[#This Row],[ID]]="","",VLOOKUP(Tabla1[[#This Row],[ID]],Tabla7[],36,FALSE))</f>
        <v>Test</v>
      </c>
      <c r="H18" s="14" t="str">
        <f>IF(Tabla1[[#This Row],[ID]]="","",VLOOKUP(Tabla1[[#This Row],[ID]],Tabla7[],4,FALSE))</f>
        <v>Polyfunctional</v>
      </c>
      <c r="I18" s="16">
        <f>IF(Tabla1[[#This Row],[ID]]="","",VLOOKUP(Tabla1[[#This Row],[ID]],Tabla1[],4,FALSE))</f>
        <v>-26.780853035172559</v>
      </c>
      <c r="J18" s="16">
        <f>Tabla1[[#This Row],[CN Literatura]]-Tabla1[[#This Row],[CN Predicted]]</f>
        <v>-2.7316470095876006</v>
      </c>
      <c r="S18" s="41" t="s">
        <v>19</v>
      </c>
      <c r="T18" s="32">
        <f>'Random'!C18</f>
        <v>67</v>
      </c>
      <c r="U18" s="32">
        <f t="shared" si="5"/>
        <v>28</v>
      </c>
      <c r="V18" s="32">
        <f t="shared" si="3"/>
        <v>39</v>
      </c>
      <c r="W18" s="33">
        <f t="shared" si="4"/>
        <v>41.791044776119399</v>
      </c>
    </row>
    <row r="19" spans="1:24" ht="15" customHeight="1" x14ac:dyDescent="0.25">
      <c r="A19" s="1">
        <f>Desgloce!A18</f>
        <v>86</v>
      </c>
      <c r="B19" s="14">
        <f>VLOOKUP(Tabla1[[#This Row],[No]],Tabla7[],7,FALSE)</f>
        <v>10.4</v>
      </c>
      <c r="C19" s="24">
        <v>16.208657931540898</v>
      </c>
      <c r="D19" s="15">
        <f>(B19-C19)/B19*100</f>
        <v>-55.85248011097017</v>
      </c>
      <c r="E19" s="14">
        <f>IF(Tabla1[[#This Row],[% Error1]]&gt;$E$1,Tabla1[[#This Row],[No]],IF(Tabla1[[#This Row],[% Error1]]&lt;-$E$1,Tabla1[[#This Row],[No]],""))</f>
        <v>86</v>
      </c>
      <c r="F19" s="14" t="str">
        <f>IF(Tabla1[[#This Row],[ID]]="","",VLOOKUP(Tabla1[[#This Row],[ID]],Tabla7[],2,FALSE))</f>
        <v>C1CCC(=O)CC1</v>
      </c>
      <c r="G19" s="14" t="str">
        <f>IF(Tabla1[[#This Row],[ID]]="","",VLOOKUP(Tabla1[[#This Row],[ID]],Tabla7[],36,FALSE))</f>
        <v>Test</v>
      </c>
      <c r="H19" s="14" t="str">
        <f>IF(Tabla1[[#This Row],[ID]]="","",VLOOKUP(Tabla1[[#This Row],[ID]],Tabla7[],4,FALSE))</f>
        <v>Cyclic Ketone</v>
      </c>
      <c r="I19" s="16">
        <f>IF(Tabla1[[#This Row],[ID]]="","",VLOOKUP(Tabla1[[#This Row],[ID]],Tabla1[],4,FALSE))</f>
        <v>-55.85248011097017</v>
      </c>
      <c r="J19" s="16">
        <f>Tabla1[[#This Row],[CN Literatura]]-Tabla1[[#This Row],[CN Predicted]]</f>
        <v>-5.8086579315408979</v>
      </c>
      <c r="S19" s="41" t="s">
        <v>20</v>
      </c>
      <c r="T19" s="43">
        <f>'Random'!C19</f>
        <v>11</v>
      </c>
      <c r="U19" s="43">
        <f t="shared" si="5"/>
        <v>5</v>
      </c>
      <c r="V19" s="43">
        <f t="shared" si="3"/>
        <v>6</v>
      </c>
      <c r="W19" s="44">
        <f t="shared" si="4"/>
        <v>45.454545454545453</v>
      </c>
    </row>
    <row r="20" spans="1:24" ht="15" customHeight="1" x14ac:dyDescent="0.25">
      <c r="A20" s="1">
        <f>Desgloce!A19</f>
        <v>87</v>
      </c>
      <c r="B20" s="14">
        <f>VLOOKUP(Tabla1[[#This Row],[No]],Tabla7[],7,FALSE)</f>
        <v>10.4</v>
      </c>
      <c r="C20" s="24">
        <v>13.335895544042</v>
      </c>
      <c r="D20" s="15">
        <f>(B20-C20)/B20*100</f>
        <v>-28.229764846557686</v>
      </c>
      <c r="E20" s="14">
        <f>IF(Tabla1[[#This Row],[% Error1]]&gt;$E$1,Tabla1[[#This Row],[No]],IF(Tabla1[[#This Row],[% Error1]]&lt;-$E$1,Tabla1[[#This Row],[No]],""))</f>
        <v>87</v>
      </c>
      <c r="F20" s="14" t="str">
        <f>IF(Tabla1[[#This Row],[ID]]="","",VLOOKUP(Tabla1[[#This Row],[ID]],Tabla7[],2,FALSE))</f>
        <v>COC(c1ccccc1)OC</v>
      </c>
      <c r="G20" s="14" t="str">
        <f>IF(Tabla1[[#This Row],[ID]]="","",VLOOKUP(Tabla1[[#This Row],[ID]],Tabla7[],36,FALSE))</f>
        <v>Test</v>
      </c>
      <c r="H20" s="14" t="str">
        <f>IF(Tabla1[[#This Row],[ID]]="","",VLOOKUP(Tabla1[[#This Row],[ID]],Tabla7[],4,FALSE))</f>
        <v>Polyfunctional</v>
      </c>
      <c r="I20" s="16">
        <f>IF(Tabla1[[#This Row],[ID]]="","",VLOOKUP(Tabla1[[#This Row],[ID]],Tabla1[],4,FALSE))</f>
        <v>-28.229764846557686</v>
      </c>
      <c r="J20" s="16">
        <f>Tabla1[[#This Row],[CN Literatura]]-Tabla1[[#This Row],[CN Predicted]]</f>
        <v>-2.9358955440419994</v>
      </c>
      <c r="S20" s="40" t="s">
        <v>595</v>
      </c>
      <c r="T20" s="32">
        <f>'Random'!C20</f>
        <v>4</v>
      </c>
      <c r="U20" s="32">
        <f t="shared" si="5"/>
        <v>3</v>
      </c>
      <c r="V20" s="32">
        <f t="shared" si="3"/>
        <v>1</v>
      </c>
      <c r="W20" s="33">
        <f t="shared" si="4"/>
        <v>75</v>
      </c>
    </row>
    <row r="21" spans="1:24" ht="15" customHeight="1" x14ac:dyDescent="0.25">
      <c r="A21" s="1">
        <f>Desgloce!A20</f>
        <v>92</v>
      </c>
      <c r="B21" s="14">
        <f>VLOOKUP(Tabla1[[#This Row],[No]],Tabla7[],7,FALSE)</f>
        <v>11.5</v>
      </c>
      <c r="C21" s="24">
        <v>11.634883125442</v>
      </c>
      <c r="D21" s="15">
        <f>(B21-C21)/B21*100</f>
        <v>-1.1728967429739148</v>
      </c>
      <c r="E21" s="14" t="str">
        <f>IF(Tabla1[[#This Row],[% Error1]]&gt;$E$1,Tabla1[[#This Row],[No]],IF(Tabla1[[#This Row],[% Error1]]&lt;-$E$1,Tabla1[[#This Row],[No]],""))</f>
        <v/>
      </c>
      <c r="F21" s="14" t="str">
        <f>IF(Tabla1[[#This Row],[ID]]="","",VLOOKUP(Tabla1[[#This Row],[ID]],Tabla7[],2,FALSE))</f>
        <v/>
      </c>
      <c r="G21" s="14" t="str">
        <f>IF(Tabla1[[#This Row],[ID]]="","",VLOOKUP(Tabla1[[#This Row],[ID]],Tabla7[],36,FALSE))</f>
        <v/>
      </c>
      <c r="H21" s="14" t="str">
        <f>IF(Tabla1[[#This Row],[ID]]="","",VLOOKUP(Tabla1[[#This Row],[ID]],Tabla7[],4,FALSE))</f>
        <v/>
      </c>
      <c r="I21" s="16" t="str">
        <f>IF(Tabla1[[#This Row],[ID]]="","",VLOOKUP(Tabla1[[#This Row],[ID]],Tabla1[],4,FALSE))</f>
        <v/>
      </c>
      <c r="J21" s="16">
        <f>Tabla1[[#This Row],[CN Literatura]]-Tabla1[[#This Row],[CN Predicted]]</f>
        <v>-0.13488312544200021</v>
      </c>
      <c r="S21" s="41" t="s">
        <v>7</v>
      </c>
      <c r="T21" s="32">
        <f>'Random'!C21</f>
        <v>41</v>
      </c>
      <c r="U21" s="32">
        <f t="shared" si="5"/>
        <v>21</v>
      </c>
      <c r="V21" s="32">
        <f t="shared" si="3"/>
        <v>20</v>
      </c>
      <c r="W21" s="33">
        <f t="shared" si="4"/>
        <v>51.219512195121951</v>
      </c>
      <c r="X21" t="s">
        <v>2192</v>
      </c>
    </row>
    <row r="22" spans="1:24" ht="15" customHeight="1" thickBot="1" x14ac:dyDescent="0.3">
      <c r="A22" s="1">
        <f>Desgloce!A21</f>
        <v>94</v>
      </c>
      <c r="B22" s="14">
        <f>VLOOKUP(Tabla1[[#This Row],[No]],Tabla7[],7,FALSE)</f>
        <v>12</v>
      </c>
      <c r="C22" s="24">
        <v>15.8987716932317</v>
      </c>
      <c r="D22" s="15">
        <f>(B22-C22)/B22*100</f>
        <v>-32.489764110264161</v>
      </c>
      <c r="E22" s="14">
        <f>IF(Tabla1[[#This Row],[% Error1]]&gt;$E$1,Tabla1[[#This Row],[No]],IF(Tabla1[[#This Row],[% Error1]]&lt;-$E$1,Tabla1[[#This Row],[No]],""))</f>
        <v>94</v>
      </c>
      <c r="F22" s="14" t="str">
        <f>IF(Tabla1[[#This Row],[ID]]="","",VLOOKUP(Tabla1[[#This Row],[ID]],Tabla7[],2,FALSE))</f>
        <v>CCCO</v>
      </c>
      <c r="G22" s="14" t="str">
        <f>IF(Tabla1[[#This Row],[ID]]="","",VLOOKUP(Tabla1[[#This Row],[ID]],Tabla7[],36,FALSE))</f>
        <v>Test</v>
      </c>
      <c r="H22" s="14" t="str">
        <f>IF(Tabla1[[#This Row],[ID]]="","",VLOOKUP(Tabla1[[#This Row],[ID]],Tabla7[],4,FALSE))</f>
        <v>Alcohol</v>
      </c>
      <c r="I22" s="16">
        <f>IF(Tabla1[[#This Row],[ID]]="","",VLOOKUP(Tabla1[[#This Row],[ID]],Tabla1[],4,FALSE))</f>
        <v>-32.489764110264161</v>
      </c>
      <c r="J22" s="16">
        <f>Tabla1[[#This Row],[CN Literatura]]-Tabla1[[#This Row],[CN Predicted]]</f>
        <v>-3.8987716932316996</v>
      </c>
      <c r="S22" s="42" t="s">
        <v>21</v>
      </c>
      <c r="T22" s="45">
        <f>'Random'!C22</f>
        <v>78</v>
      </c>
      <c r="U22" s="46">
        <f t="shared" si="5"/>
        <v>49</v>
      </c>
      <c r="V22" s="43">
        <f t="shared" si="3"/>
        <v>29</v>
      </c>
      <c r="W22" s="47">
        <f t="shared" si="4"/>
        <v>62.820512820512818</v>
      </c>
    </row>
    <row r="23" spans="1:24" ht="15" customHeight="1" x14ac:dyDescent="0.25">
      <c r="A23" s="1">
        <f>Desgloce!A22</f>
        <v>95</v>
      </c>
      <c r="B23" s="14">
        <f>VLOOKUP(Tabla1[[#This Row],[No]],Tabla7[],7,FALSE)</f>
        <v>12</v>
      </c>
      <c r="C23" s="24">
        <v>15.8987716932317</v>
      </c>
      <c r="D23" s="15">
        <f>(B23-C23)/B23*100</f>
        <v>-32.489764110264161</v>
      </c>
      <c r="E23" s="14">
        <f>IF(Tabla1[[#This Row],[% Error1]]&gt;$E$1,Tabla1[[#This Row],[No]],IF(Tabla1[[#This Row],[% Error1]]&lt;-$E$1,Tabla1[[#This Row],[No]],""))</f>
        <v>95</v>
      </c>
      <c r="F23" s="14" t="str">
        <f>IF(Tabla1[[#This Row],[ID]]="","",VLOOKUP(Tabla1[[#This Row],[ID]],Tabla7[],2,FALSE))</f>
        <v>C(CC)O</v>
      </c>
      <c r="G23" s="14" t="str">
        <f>IF(Tabla1[[#This Row],[ID]]="","",VLOOKUP(Tabla1[[#This Row],[ID]],Tabla7[],36,FALSE))</f>
        <v>Test</v>
      </c>
      <c r="H23" s="14" t="str">
        <f>IF(Tabla1[[#This Row],[ID]]="","",VLOOKUP(Tabla1[[#This Row],[ID]],Tabla7[],4,FALSE))</f>
        <v>Alcohol</v>
      </c>
      <c r="I23" s="16">
        <f>IF(Tabla1[[#This Row],[ID]]="","",VLOOKUP(Tabla1[[#This Row],[ID]],Tabla1[],4,FALSE))</f>
        <v>-32.489764110264161</v>
      </c>
      <c r="J23" s="16">
        <f>Tabla1[[#This Row],[CN Literatura]]-Tabla1[[#This Row],[CN Predicted]]</f>
        <v>-3.8987716932316996</v>
      </c>
    </row>
    <row r="24" spans="1:24" ht="15" customHeight="1" x14ac:dyDescent="0.25">
      <c r="A24" s="1">
        <f>Desgloce!A23</f>
        <v>97</v>
      </c>
      <c r="B24" s="14">
        <f>VLOOKUP(Tabla1[[#This Row],[No]],Tabla7[],7,FALSE)</f>
        <v>12</v>
      </c>
      <c r="C24" s="24">
        <v>11.2474156803558</v>
      </c>
      <c r="D24" s="15">
        <f>(B24-C24)/B24*100</f>
        <v>6.2715359970349978</v>
      </c>
      <c r="E24" s="14" t="str">
        <f>IF(Tabla1[[#This Row],[% Error1]]&gt;$E$1,Tabla1[[#This Row],[No]],IF(Tabla1[[#This Row],[% Error1]]&lt;-$E$1,Tabla1[[#This Row],[No]],""))</f>
        <v/>
      </c>
      <c r="F24" s="14" t="str">
        <f>IF(Tabla1[[#This Row],[ID]]="","",VLOOKUP(Tabla1[[#This Row],[ID]],Tabla7[],2,FALSE))</f>
        <v/>
      </c>
      <c r="G24" s="14" t="str">
        <f>IF(Tabla1[[#This Row],[ID]]="","",VLOOKUP(Tabla1[[#This Row],[ID]],Tabla7[],36,FALSE))</f>
        <v/>
      </c>
      <c r="H24" s="14" t="str">
        <f>IF(Tabla1[[#This Row],[ID]]="","",VLOOKUP(Tabla1[[#This Row],[ID]],Tabla7[],4,FALSE))</f>
        <v/>
      </c>
      <c r="I24" s="16" t="str">
        <f>IF(Tabla1[[#This Row],[ID]]="","",VLOOKUP(Tabla1[[#This Row],[ID]],Tabla1[],4,FALSE))</f>
        <v/>
      </c>
      <c r="J24" s="16">
        <f>Tabla1[[#This Row],[CN Literatura]]-Tabla1[[#This Row],[CN Predicted]]</f>
        <v>0.7525843196441997</v>
      </c>
      <c r="U24" s="50">
        <f>SUM(U3:U22)</f>
        <v>390</v>
      </c>
    </row>
    <row r="25" spans="1:24" ht="15" customHeight="1" x14ac:dyDescent="0.25">
      <c r="A25" s="1">
        <f>Desgloce!A24</f>
        <v>99</v>
      </c>
      <c r="B25" s="14">
        <f>VLOOKUP(Tabla1[[#This Row],[No]],Tabla7[],7,FALSE)</f>
        <v>12.1</v>
      </c>
      <c r="C25" s="24">
        <v>7.7525323276286997</v>
      </c>
      <c r="D25" s="15">
        <f>(B25-C25)/B25*100</f>
        <v>35.92948489563058</v>
      </c>
      <c r="E25" s="14">
        <f>IF(Tabla1[[#This Row],[% Error1]]&gt;$E$1,Tabla1[[#This Row],[No]],IF(Tabla1[[#This Row],[% Error1]]&lt;-$E$1,Tabla1[[#This Row],[No]],""))</f>
        <v>99</v>
      </c>
      <c r="F25" s="14" t="str">
        <f>IF(Tabla1[[#This Row],[ID]]="","",VLOOKUP(Tabla1[[#This Row],[ID]],Tabla7[],2,FALSE))</f>
        <v>CCC(C)(C)O</v>
      </c>
      <c r="G25" s="14" t="str">
        <f>IF(Tabla1[[#This Row],[ID]]="","",VLOOKUP(Tabla1[[#This Row],[ID]],Tabla7[],36,FALSE))</f>
        <v>Test</v>
      </c>
      <c r="H25" s="14" t="str">
        <f>IF(Tabla1[[#This Row],[ID]]="","",VLOOKUP(Tabla1[[#This Row],[ID]],Tabla7[],4,FALSE))</f>
        <v>Alcohol</v>
      </c>
      <c r="I25" s="16">
        <f>IF(Tabla1[[#This Row],[ID]]="","",VLOOKUP(Tabla1[[#This Row],[ID]],Tabla1[],4,FALSE))</f>
        <v>35.92948489563058</v>
      </c>
      <c r="J25" s="16">
        <f>Tabla1[[#This Row],[CN Literatura]]-Tabla1[[#This Row],[CN Predicted]]</f>
        <v>4.3474676723712999</v>
      </c>
    </row>
    <row r="26" spans="1:24" ht="15" customHeight="1" x14ac:dyDescent="0.25">
      <c r="A26" s="1">
        <f>Desgloce!A25</f>
        <v>111</v>
      </c>
      <c r="B26" s="14">
        <f>VLOOKUP(Tabla1[[#This Row],[No]],Tabla7[],7,FALSE)</f>
        <v>13.3</v>
      </c>
      <c r="C26" s="24">
        <v>22.180718815402699</v>
      </c>
      <c r="D26" s="15">
        <f>(B26-C26)/B26*100</f>
        <v>-66.772321920321033</v>
      </c>
      <c r="E26" s="14">
        <f>IF(Tabla1[[#This Row],[% Error1]]&gt;$E$1,Tabla1[[#This Row],[No]],IF(Tabla1[[#This Row],[% Error1]]&lt;-$E$1,Tabla1[[#This Row],[No]],""))</f>
        <v>111</v>
      </c>
      <c r="F26" s="14" t="str">
        <f>IF(Tabla1[[#This Row],[ID]]="","",VLOOKUP(Tabla1[[#This Row],[ID]],Tabla7[],2,FALSE))</f>
        <v>CCCCC(=O)OC</v>
      </c>
      <c r="G26" s="14" t="str">
        <f>IF(Tabla1[[#This Row],[ID]]="","",VLOOKUP(Tabla1[[#This Row],[ID]],Tabla7[],36,FALSE))</f>
        <v>Test</v>
      </c>
      <c r="H26" s="14" t="str">
        <f>IF(Tabla1[[#This Row],[ID]]="","",VLOOKUP(Tabla1[[#This Row],[ID]],Tabla7[],4,FALSE))</f>
        <v>Ester</v>
      </c>
      <c r="I26" s="16">
        <f>IF(Tabla1[[#This Row],[ID]]="","",VLOOKUP(Tabla1[[#This Row],[ID]],Tabla1[],4,FALSE))</f>
        <v>-66.772321920321033</v>
      </c>
      <c r="J26" s="16">
        <f>Tabla1[[#This Row],[CN Literatura]]-Tabla1[[#This Row],[CN Predicted]]</f>
        <v>-8.8807188154026981</v>
      </c>
    </row>
    <row r="27" spans="1:24" ht="15" customHeight="1" x14ac:dyDescent="0.25">
      <c r="A27" s="1">
        <f>Desgloce!A26</f>
        <v>113</v>
      </c>
      <c r="B27" s="14">
        <f>VLOOKUP(Tabla1[[#This Row],[No]],Tabla7[],7,FALSE)</f>
        <v>13.9</v>
      </c>
      <c r="C27" s="24">
        <v>10.8128895874833</v>
      </c>
      <c r="D27" s="15">
        <f>(B27-C27)/B27*100</f>
        <v>22.209427428177701</v>
      </c>
      <c r="E27" s="14">
        <f>IF(Tabla1[[#This Row],[% Error1]]&gt;$E$1,Tabla1[[#This Row],[No]],IF(Tabla1[[#This Row],[% Error1]]&lt;-$E$1,Tabla1[[#This Row],[No]],""))</f>
        <v>113</v>
      </c>
      <c r="F27" s="14" t="str">
        <f>IF(Tabla1[[#This Row],[ID]]="","",VLOOKUP(Tabla1[[#This Row],[ID]],Tabla7[],2,FALSE))</f>
        <v>c1cc(oc1)C=O</v>
      </c>
      <c r="G27" s="14" t="str">
        <f>IF(Tabla1[[#This Row],[ID]]="","",VLOOKUP(Tabla1[[#This Row],[ID]],Tabla7[],36,FALSE))</f>
        <v>Test</v>
      </c>
      <c r="H27" s="14" t="str">
        <f>IF(Tabla1[[#This Row],[ID]]="","",VLOOKUP(Tabla1[[#This Row],[ID]],Tabla7[],4,FALSE))</f>
        <v>Polyfunctional</v>
      </c>
      <c r="I27" s="16">
        <f>IF(Tabla1[[#This Row],[ID]]="","",VLOOKUP(Tabla1[[#This Row],[ID]],Tabla1[],4,FALSE))</f>
        <v>22.209427428177701</v>
      </c>
      <c r="J27" s="16">
        <f>Tabla1[[#This Row],[CN Literatura]]-Tabla1[[#This Row],[CN Predicted]]</f>
        <v>3.0871104125167008</v>
      </c>
    </row>
    <row r="28" spans="1:24" ht="15" customHeight="1" x14ac:dyDescent="0.25">
      <c r="A28" s="1">
        <f>Desgloce!A27</f>
        <v>123</v>
      </c>
      <c r="B28" s="14">
        <f>VLOOKUP(Tabla1[[#This Row],[No]],Tabla7[],7,FALSE)</f>
        <v>15</v>
      </c>
      <c r="C28" s="24">
        <v>20.757107468671698</v>
      </c>
      <c r="D28" s="15">
        <f>(B28-C28)/B28*100</f>
        <v>-38.380716457811317</v>
      </c>
      <c r="E28" s="14">
        <f>IF(Tabla1[[#This Row],[% Error1]]&gt;$E$1,Tabla1[[#This Row],[No]],IF(Tabla1[[#This Row],[% Error1]]&lt;-$E$1,Tabla1[[#This Row],[No]],""))</f>
        <v>123</v>
      </c>
      <c r="F28" s="14" t="str">
        <f>IF(Tabla1[[#This Row],[ID]]="","",VLOOKUP(Tabla1[[#This Row],[ID]],Tabla7[],2,FALSE))</f>
        <v>C(CCCCC(=O)OCC)(=O)OCC</v>
      </c>
      <c r="G28" s="14" t="str">
        <f>IF(Tabla1[[#This Row],[ID]]="","",VLOOKUP(Tabla1[[#This Row],[ID]],Tabla7[],36,FALSE))</f>
        <v>Test</v>
      </c>
      <c r="H28" s="14" t="str">
        <f>IF(Tabla1[[#This Row],[ID]]="","",VLOOKUP(Tabla1[[#This Row],[ID]],Tabla7[],4,FALSE))</f>
        <v>Ester of Dicarboxylic Acids</v>
      </c>
      <c r="I28" s="16">
        <f>IF(Tabla1[[#This Row],[ID]]="","",VLOOKUP(Tabla1[[#This Row],[ID]],Tabla1[],4,FALSE))</f>
        <v>-38.380716457811317</v>
      </c>
      <c r="J28" s="16">
        <f>Tabla1[[#This Row],[CN Literatura]]-Tabla1[[#This Row],[CN Predicted]]</f>
        <v>-5.7571074686716983</v>
      </c>
    </row>
    <row r="29" spans="1:24" ht="15" customHeight="1" x14ac:dyDescent="0.25">
      <c r="A29" s="1">
        <f>Desgloce!A28</f>
        <v>128</v>
      </c>
      <c r="B29" s="14">
        <f>VLOOKUP(Tabla1[[#This Row],[No]],Tabla7[],7,FALSE)</f>
        <v>15.5</v>
      </c>
      <c r="C29" s="24">
        <v>16.624480710920398</v>
      </c>
      <c r="D29" s="15">
        <f>(B29-C29)/B29*100</f>
        <v>-7.254714264002569</v>
      </c>
      <c r="E29" s="14" t="str">
        <f>IF(Tabla1[[#This Row],[% Error1]]&gt;$E$1,Tabla1[[#This Row],[No]],IF(Tabla1[[#This Row],[% Error1]]&lt;-$E$1,Tabla1[[#This Row],[No]],""))</f>
        <v/>
      </c>
      <c r="F29" s="14" t="str">
        <f>IF(Tabla1[[#This Row],[ID]]="","",VLOOKUP(Tabla1[[#This Row],[ID]],Tabla7[],2,FALSE))</f>
        <v/>
      </c>
      <c r="G29" s="14" t="str">
        <f>IF(Tabla1[[#This Row],[ID]]="","",VLOOKUP(Tabla1[[#This Row],[ID]],Tabla7[],36,FALSE))</f>
        <v/>
      </c>
      <c r="H29" s="14" t="str">
        <f>IF(Tabla1[[#This Row],[ID]]="","",VLOOKUP(Tabla1[[#This Row],[ID]],Tabla7[],4,FALSE))</f>
        <v/>
      </c>
      <c r="I29" s="16" t="str">
        <f>IF(Tabla1[[#This Row],[ID]]="","",VLOOKUP(Tabla1[[#This Row],[ID]],Tabla1[],4,FALSE))</f>
        <v/>
      </c>
      <c r="J29" s="16">
        <f>Tabla1[[#This Row],[CN Literatura]]-Tabla1[[#This Row],[CN Predicted]]</f>
        <v>-1.1244807109203983</v>
      </c>
    </row>
    <row r="30" spans="1:24" ht="15" customHeight="1" x14ac:dyDescent="0.25">
      <c r="A30" s="1">
        <f>Desgloce!A29</f>
        <v>136</v>
      </c>
      <c r="B30" s="14">
        <f>VLOOKUP(Tabla1[[#This Row],[No]],Tabla7[],7,FALSE)</f>
        <v>16.3</v>
      </c>
      <c r="C30" s="24">
        <v>11.160003323345901</v>
      </c>
      <c r="D30" s="15">
        <f>(B30-C30)/B30*100</f>
        <v>31.533721942663188</v>
      </c>
      <c r="E30" s="14">
        <f>IF(Tabla1[[#This Row],[% Error1]]&gt;$E$1,Tabla1[[#This Row],[No]],IF(Tabla1[[#This Row],[% Error1]]&lt;-$E$1,Tabla1[[#This Row],[No]],""))</f>
        <v>136</v>
      </c>
      <c r="F30" s="14" t="str">
        <f>IF(Tabla1[[#This Row],[ID]]="","",VLOOKUP(Tabla1[[#This Row],[ID]],Tabla7[],2,FALSE))</f>
        <v>COCC(C)O</v>
      </c>
      <c r="G30" s="14" t="str">
        <f>IF(Tabla1[[#This Row],[ID]]="","",VLOOKUP(Tabla1[[#This Row],[ID]],Tabla7[],36,FALSE))</f>
        <v>Test</v>
      </c>
      <c r="H30" s="14" t="str">
        <f>IF(Tabla1[[#This Row],[ID]]="","",VLOOKUP(Tabla1[[#This Row],[ID]],Tabla7[],4,FALSE))</f>
        <v>Alcohol</v>
      </c>
      <c r="I30" s="16">
        <f>IF(Tabla1[[#This Row],[ID]]="","",VLOOKUP(Tabla1[[#This Row],[ID]],Tabla1[],4,FALSE))</f>
        <v>31.533721942663188</v>
      </c>
      <c r="J30" s="16">
        <f>Tabla1[[#This Row],[CN Literatura]]-Tabla1[[#This Row],[CN Predicted]]</f>
        <v>5.1399966766540999</v>
      </c>
    </row>
    <row r="31" spans="1:24" ht="15" customHeight="1" x14ac:dyDescent="0.25">
      <c r="A31" s="1">
        <f>Desgloce!A30</f>
        <v>146</v>
      </c>
      <c r="B31" s="14">
        <f>VLOOKUP(Tabla1[[#This Row],[No]],Tabla7[],7,FALSE)</f>
        <v>17.899999999999999</v>
      </c>
      <c r="C31" s="24">
        <v>4.9772261441127004</v>
      </c>
      <c r="D31" s="15">
        <f>(B31-C31)/B31*100</f>
        <v>72.194267351325692</v>
      </c>
      <c r="E31" s="14">
        <f>IF(Tabla1[[#This Row],[% Error1]]&gt;$E$1,Tabla1[[#This Row],[No]],IF(Tabla1[[#This Row],[% Error1]]&lt;-$E$1,Tabla1[[#This Row],[No]],""))</f>
        <v>146</v>
      </c>
      <c r="F31" s="14" t="str">
        <f>IF(Tabla1[[#This Row],[ID]]="","",VLOOKUP(Tabla1[[#This Row],[ID]],Tabla7[],2,FALSE))</f>
        <v>C1CC(OC1)CO</v>
      </c>
      <c r="G31" s="14" t="str">
        <f>IF(Tabla1[[#This Row],[ID]]="","",VLOOKUP(Tabla1[[#This Row],[ID]],Tabla7[],36,FALSE))</f>
        <v>Test</v>
      </c>
      <c r="H31" s="14" t="str">
        <f>IF(Tabla1[[#This Row],[ID]]="","",VLOOKUP(Tabla1[[#This Row],[ID]],Tabla7[],4,FALSE))</f>
        <v>Polyfunctional</v>
      </c>
      <c r="I31" s="16">
        <f>IF(Tabla1[[#This Row],[ID]]="","",VLOOKUP(Tabla1[[#This Row],[ID]],Tabla1[],4,FALSE))</f>
        <v>72.194267351325692</v>
      </c>
      <c r="J31" s="16">
        <f>Tabla1[[#This Row],[CN Literatura]]-Tabla1[[#This Row],[CN Predicted]]</f>
        <v>12.922773855887298</v>
      </c>
    </row>
    <row r="32" spans="1:24" ht="15" customHeight="1" x14ac:dyDescent="0.25">
      <c r="A32" s="1">
        <f>Desgloce!A31</f>
        <v>148</v>
      </c>
      <c r="B32" s="14">
        <f>VLOOKUP(Tabla1[[#This Row],[No]],Tabla7[],7,FALSE)</f>
        <v>18</v>
      </c>
      <c r="C32" s="24">
        <v>26.211231576776001</v>
      </c>
      <c r="D32" s="15">
        <f>(B32-C32)/B32*100</f>
        <v>-45.617953204311121</v>
      </c>
      <c r="E32" s="14">
        <f>IF(Tabla1[[#This Row],[% Error1]]&gt;$E$1,Tabla1[[#This Row],[No]],IF(Tabla1[[#This Row],[% Error1]]&lt;-$E$1,Tabla1[[#This Row],[No]],""))</f>
        <v>148</v>
      </c>
      <c r="F32" s="14" t="str">
        <f>IF(Tabla1[[#This Row],[ID]]="","",VLOOKUP(Tabla1[[#This Row],[ID]],Tabla7[],2,FALSE))</f>
        <v>CCCCCCCCC1CCCc2ccccc12</v>
      </c>
      <c r="G32" s="14" t="str">
        <f>IF(Tabla1[[#This Row],[ID]]="","",VLOOKUP(Tabla1[[#This Row],[ID]],Tabla7[],36,FALSE))</f>
        <v>Test</v>
      </c>
      <c r="H32" s="14" t="str">
        <f>IF(Tabla1[[#This Row],[ID]]="","",VLOOKUP(Tabla1[[#This Row],[ID]],Tabla7[],4,FALSE))</f>
        <v>Aromatic</v>
      </c>
      <c r="I32" s="24">
        <f>IF(Tabla1[[#This Row],[ID]]="","",VLOOKUP(Tabla1[[#This Row],[ID]],Tabla1[],4,FALSE))</f>
        <v>-45.617953204311121</v>
      </c>
      <c r="J32" s="16">
        <f>Tabla1[[#This Row],[CN Literatura]]-Tabla1[[#This Row],[CN Predicted]]</f>
        <v>-8.2112315767760009</v>
      </c>
    </row>
    <row r="33" spans="1:10" ht="15" customHeight="1" x14ac:dyDescent="0.25">
      <c r="A33" s="1">
        <f>Desgloce!A32</f>
        <v>153</v>
      </c>
      <c r="B33" s="14">
        <f>VLOOKUP(Tabla1[[#This Row],[No]],Tabla7[],7,FALSE)</f>
        <v>18</v>
      </c>
      <c r="C33" s="24">
        <v>27.478064738542599</v>
      </c>
      <c r="D33" s="15">
        <f>(B33-C33)/B33*100</f>
        <v>-52.65591521412555</v>
      </c>
      <c r="E33" s="14">
        <f>IF(Tabla1[[#This Row],[% Error1]]&gt;$E$1,Tabla1[[#This Row],[No]],IF(Tabla1[[#This Row],[% Error1]]&lt;-$E$1,Tabla1[[#This Row],[No]],""))</f>
        <v>153</v>
      </c>
      <c r="F33" s="14" t="str">
        <f>IF(Tabla1[[#This Row],[ID]]="","",VLOOKUP(Tabla1[[#This Row],[ID]],Tabla7[],2,FALSE))</f>
        <v>CC(CC)(CCC(CC)C)C1=CC2=CC=CC=C2C=C1</v>
      </c>
      <c r="G33" s="14" t="str">
        <f>IF(Tabla1[[#This Row],[ID]]="","",VLOOKUP(Tabla1[[#This Row],[ID]],Tabla7[],36,FALSE))</f>
        <v>Test</v>
      </c>
      <c r="H33" s="14" t="str">
        <f>IF(Tabla1[[#This Row],[ID]]="","",VLOOKUP(Tabla1[[#This Row],[ID]],Tabla7[],4,FALSE))</f>
        <v>Aromatic</v>
      </c>
      <c r="I33" s="24">
        <f>IF(Tabla1[[#This Row],[ID]]="","",VLOOKUP(Tabla1[[#This Row],[ID]],Tabla1[],4,FALSE))</f>
        <v>-52.65591521412555</v>
      </c>
      <c r="J33" s="16">
        <f>Tabla1[[#This Row],[CN Literatura]]-Tabla1[[#This Row],[CN Predicted]]</f>
        <v>-9.4780647385425993</v>
      </c>
    </row>
    <row r="34" spans="1:10" ht="15" customHeight="1" x14ac:dyDescent="0.25">
      <c r="A34" s="1">
        <f>Desgloce!A33</f>
        <v>154</v>
      </c>
      <c r="B34" s="14">
        <f>VLOOKUP(Tabla1[[#This Row],[No]],Tabla7[],7,FALSE)</f>
        <v>18</v>
      </c>
      <c r="C34" s="24">
        <v>19.7273740398333</v>
      </c>
      <c r="D34" s="15">
        <f>(B34-C34)/B34*100</f>
        <v>-9.5965224435183352</v>
      </c>
      <c r="E34" s="14" t="str">
        <f>IF(Tabla1[[#This Row],[% Error1]]&gt;$E$1,Tabla1[[#This Row],[No]],IF(Tabla1[[#This Row],[% Error1]]&lt;-$E$1,Tabla1[[#This Row],[No]],""))</f>
        <v/>
      </c>
      <c r="F34" s="14" t="str">
        <f>IF(Tabla1[[#This Row],[ID]]="","",VLOOKUP(Tabla1[[#This Row],[ID]],Tabla7[],2,FALSE))</f>
        <v/>
      </c>
      <c r="G34" s="14" t="str">
        <f>IF(Tabla1[[#This Row],[ID]]="","",VLOOKUP(Tabla1[[#This Row],[ID]],Tabla7[],36,FALSE))</f>
        <v/>
      </c>
      <c r="H34" s="14" t="str">
        <f>IF(Tabla1[[#This Row],[ID]]="","",VLOOKUP(Tabla1[[#This Row],[ID]],Tabla7[],4,FALSE))</f>
        <v/>
      </c>
      <c r="I34" s="16" t="str">
        <f>IF(Tabla1[[#This Row],[ID]]="","",VLOOKUP(Tabla1[[#This Row],[ID]],Tabla1[],4,FALSE))</f>
        <v/>
      </c>
      <c r="J34" s="16">
        <f>Tabla1[[#This Row],[CN Literatura]]-Tabla1[[#This Row],[CN Predicted]]</f>
        <v>-1.7273740398333004</v>
      </c>
    </row>
    <row r="35" spans="1:10" ht="15" customHeight="1" x14ac:dyDescent="0.25">
      <c r="A35" s="1">
        <f>Desgloce!A34</f>
        <v>157</v>
      </c>
      <c r="B35" s="14">
        <f>VLOOKUP(Tabla1[[#This Row],[No]],Tabla7[],7,FALSE)</f>
        <v>18</v>
      </c>
      <c r="C35" s="24">
        <v>20.842614771887401</v>
      </c>
      <c r="D35" s="15">
        <f>(B35-C35)/B35*100</f>
        <v>-15.79230428826334</v>
      </c>
      <c r="E35" s="14">
        <f>IF(Tabla1[[#This Row],[% Error1]]&gt;$E$1,Tabla1[[#This Row],[No]],IF(Tabla1[[#This Row],[% Error1]]&lt;-$E$1,Tabla1[[#This Row],[No]],""))</f>
        <v>157</v>
      </c>
      <c r="F35" s="14" t="str">
        <f>IF(Tabla1[[#This Row],[ID]]="","",VLOOKUP(Tabla1[[#This Row],[ID]],Tabla7[],2,FALSE))</f>
        <v>C(CCCC)C1=CC=CC=C1</v>
      </c>
      <c r="G35" s="14" t="str">
        <f>IF(Tabla1[[#This Row],[ID]]="","",VLOOKUP(Tabla1[[#This Row],[ID]],Tabla7[],36,FALSE))</f>
        <v>Test</v>
      </c>
      <c r="H35" s="14" t="str">
        <f>IF(Tabla1[[#This Row],[ID]]="","",VLOOKUP(Tabla1[[#This Row],[ID]],Tabla7[],4,FALSE))</f>
        <v>Aromatic</v>
      </c>
      <c r="I35" s="24">
        <f>IF(Tabla1[[#This Row],[ID]]="","",VLOOKUP(Tabla1[[#This Row],[ID]],Tabla1[],4,FALSE))</f>
        <v>-15.79230428826334</v>
      </c>
      <c r="J35" s="16">
        <f>Tabla1[[#This Row],[CN Literatura]]-Tabla1[[#This Row],[CN Predicted]]</f>
        <v>-2.8426147718874013</v>
      </c>
    </row>
    <row r="36" spans="1:10" ht="15" customHeight="1" x14ac:dyDescent="0.25">
      <c r="A36" s="1">
        <f>Desgloce!A35</f>
        <v>167</v>
      </c>
      <c r="B36" s="14">
        <f>VLOOKUP(Tabla1[[#This Row],[No]],Tabla7[],7,FALSE)</f>
        <v>18.8</v>
      </c>
      <c r="C36" s="24">
        <v>49.350395012033701</v>
      </c>
      <c r="D36" s="15">
        <f>(B36-C36)/B36*100</f>
        <v>-162.50210112783884</v>
      </c>
      <c r="E36" s="14">
        <f>IF(Tabla1[[#This Row],[% Error1]]&gt;$E$1,Tabla1[[#This Row],[No]],IF(Tabla1[[#This Row],[% Error1]]&lt;-$E$1,Tabla1[[#This Row],[No]],""))</f>
        <v>167</v>
      </c>
      <c r="F36" s="14" t="str">
        <f>IF(Tabla1[[#This Row],[ID]]="","",VLOOKUP(Tabla1[[#This Row],[ID]],Tabla7[],2,FALSE))</f>
        <v>CC1(C2CCC(O1)(CC2)C)C</v>
      </c>
      <c r="G36" s="14" t="str">
        <f>IF(Tabla1[[#This Row],[ID]]="","",VLOOKUP(Tabla1[[#This Row],[ID]],Tabla7[],36,FALSE))</f>
        <v>Test</v>
      </c>
      <c r="H36" s="14" t="str">
        <f>IF(Tabla1[[#This Row],[ID]]="","",VLOOKUP(Tabla1[[#This Row],[ID]],Tabla7[],4,FALSE))</f>
        <v>Cyclic Ether</v>
      </c>
      <c r="I36" s="16">
        <f>IF(Tabla1[[#This Row],[ID]]="","",VLOOKUP(Tabla1[[#This Row],[ID]],Tabla1[],4,FALSE))</f>
        <v>-162.50210112783884</v>
      </c>
      <c r="J36" s="16">
        <f>Tabla1[[#This Row],[CN Literatura]]-Tabla1[[#This Row],[CN Predicted]]</f>
        <v>-30.5503950120337</v>
      </c>
    </row>
    <row r="37" spans="1:10" ht="15" customHeight="1" x14ac:dyDescent="0.25">
      <c r="A37" s="1">
        <f>Desgloce!A36</f>
        <v>172</v>
      </c>
      <c r="B37" s="14">
        <f>VLOOKUP(Tabla1[[#This Row],[No]],Tabla7[],7,FALSE)</f>
        <v>19</v>
      </c>
      <c r="C37" s="24">
        <v>22.2141899353452</v>
      </c>
      <c r="D37" s="15">
        <f>(B37-C37)/B37*100</f>
        <v>-16.916789133395788</v>
      </c>
      <c r="E37" s="14">
        <f>IF(Tabla1[[#This Row],[% Error1]]&gt;$E$1,Tabla1[[#This Row],[No]],IF(Tabla1[[#This Row],[% Error1]]&lt;-$E$1,Tabla1[[#This Row],[No]],""))</f>
        <v>172</v>
      </c>
      <c r="F37" s="14" t="str">
        <f>IF(Tabla1[[#This Row],[ID]]="","",VLOOKUP(Tabla1[[#This Row],[ID]],Tabla7[],2,FALSE))</f>
        <v>CC1=CCC(CC1)C(=C)C</v>
      </c>
      <c r="G37" s="14" t="str">
        <f>IF(Tabla1[[#This Row],[ID]]="","",VLOOKUP(Tabla1[[#This Row],[ID]],Tabla7[],36,FALSE))</f>
        <v>Test</v>
      </c>
      <c r="H37" s="14" t="str">
        <f>IF(Tabla1[[#This Row],[ID]]="","",VLOOKUP(Tabla1[[#This Row],[ID]],Tabla7[],4,FALSE))</f>
        <v>cyclo-alkane</v>
      </c>
      <c r="I37" s="16">
        <f>IF(Tabla1[[#This Row],[ID]]="","",VLOOKUP(Tabla1[[#This Row],[ID]],Tabla1[],4,FALSE))</f>
        <v>-16.916789133395788</v>
      </c>
      <c r="J37" s="16">
        <f>Tabla1[[#This Row],[CN Literatura]]-Tabla1[[#This Row],[CN Predicted]]</f>
        <v>-3.2141899353451997</v>
      </c>
    </row>
    <row r="38" spans="1:10" ht="15" customHeight="1" x14ac:dyDescent="0.25">
      <c r="A38" s="1">
        <f>Desgloce!A37</f>
        <v>174</v>
      </c>
      <c r="B38" s="14">
        <f>VLOOKUP(Tabla1[[#This Row],[No]],Tabla7[],7,FALSE)</f>
        <v>19</v>
      </c>
      <c r="C38" s="24">
        <v>11.160003323345901</v>
      </c>
      <c r="D38" s="15">
        <f>(B38-C38)/B38*100</f>
        <v>41.263140403442627</v>
      </c>
      <c r="E38" s="14">
        <f>IF(Tabla1[[#This Row],[% Error1]]&gt;$E$1,Tabla1[[#This Row],[No]],IF(Tabla1[[#This Row],[% Error1]]&lt;-$E$1,Tabla1[[#This Row],[No]],""))</f>
        <v>174</v>
      </c>
      <c r="F38" s="14" t="str">
        <f>IF(Tabla1[[#This Row],[ID]]="","",VLOOKUP(Tabla1[[#This Row],[ID]],Tabla7[],2,FALSE))</f>
        <v>COCC(C)O</v>
      </c>
      <c r="G38" s="14" t="str">
        <f>IF(Tabla1[[#This Row],[ID]]="","",VLOOKUP(Tabla1[[#This Row],[ID]],Tabla7[],36,FALSE))</f>
        <v>Test</v>
      </c>
      <c r="H38" s="14" t="str">
        <f>IF(Tabla1[[#This Row],[ID]]="","",VLOOKUP(Tabla1[[#This Row],[ID]],Tabla7[],4,FALSE))</f>
        <v>Ether</v>
      </c>
      <c r="I38" s="16">
        <f>IF(Tabla1[[#This Row],[ID]]="","",VLOOKUP(Tabla1[[#This Row],[ID]],Tabla1[],4,FALSE))</f>
        <v>41.263140403442627</v>
      </c>
      <c r="J38" s="16">
        <f>Tabla1[[#This Row],[CN Literatura]]-Tabla1[[#This Row],[CN Predicted]]</f>
        <v>7.8399966766540992</v>
      </c>
    </row>
    <row r="39" spans="1:10" ht="15" customHeight="1" x14ac:dyDescent="0.25">
      <c r="A39" s="1">
        <f>Desgloce!A38</f>
        <v>177</v>
      </c>
      <c r="B39" s="14">
        <f>VLOOKUP(Tabla1[[#This Row],[No]],Tabla7[],7,FALSE)</f>
        <v>19.2</v>
      </c>
      <c r="C39" s="24">
        <v>24.2201702429997</v>
      </c>
      <c r="D39" s="15">
        <f>(B39-C39)/B39*100</f>
        <v>-26.146720015623444</v>
      </c>
      <c r="E39" s="14">
        <f>IF(Tabla1[[#This Row],[% Error1]]&gt;$E$1,Tabla1[[#This Row],[No]],IF(Tabla1[[#This Row],[% Error1]]&lt;-$E$1,Tabla1[[#This Row],[No]],""))</f>
        <v>177</v>
      </c>
      <c r="F39" s="14" t="str">
        <f>IF(Tabla1[[#This Row],[ID]]="","",VLOOKUP(Tabla1[[#This Row],[ID]],Tabla7[],2,FALSE))</f>
        <v>CC(=CCC/C(=C/CCC(C)(C=C)O)/C)C</v>
      </c>
      <c r="G39" s="14" t="str">
        <f>IF(Tabla1[[#This Row],[ID]]="","",VLOOKUP(Tabla1[[#This Row],[ID]],Tabla7[],36,FALSE))</f>
        <v>Test</v>
      </c>
      <c r="H39" s="14" t="str">
        <f>IF(Tabla1[[#This Row],[ID]]="","",VLOOKUP(Tabla1[[#This Row],[ID]],Tabla7[],4,FALSE))</f>
        <v>Polyfunctional</v>
      </c>
      <c r="I39" s="16">
        <f>IF(Tabla1[[#This Row],[ID]]="","",VLOOKUP(Tabla1[[#This Row],[ID]],Tabla1[],4,FALSE))</f>
        <v>-26.146720015623444</v>
      </c>
      <c r="J39" s="16">
        <f>Tabla1[[#This Row],[CN Literatura]]-Tabla1[[#This Row],[CN Predicted]]</f>
        <v>-5.0201702429997006</v>
      </c>
    </row>
    <row r="40" spans="1:10" ht="15" customHeight="1" x14ac:dyDescent="0.25">
      <c r="A40" s="1">
        <f>Desgloce!A39</f>
        <v>195</v>
      </c>
      <c r="B40" s="14">
        <f>VLOOKUP(Tabla1[[#This Row],[No]],Tabla7[],7,FALSE)</f>
        <v>20</v>
      </c>
      <c r="C40" s="24">
        <v>20.498258696837102</v>
      </c>
      <c r="D40" s="15">
        <f>(B40-C40)/B40*100</f>
        <v>-2.4912934841855083</v>
      </c>
      <c r="E40" s="14" t="str">
        <f>IF(Tabla1[[#This Row],[% Error1]]&gt;$E$1,Tabla1[[#This Row],[No]],IF(Tabla1[[#This Row],[% Error1]]&lt;-$E$1,Tabla1[[#This Row],[No]],""))</f>
        <v/>
      </c>
      <c r="F40" s="14" t="str">
        <f>IF(Tabla1[[#This Row],[ID]]="","",VLOOKUP(Tabla1[[#This Row],[ID]],Tabla7[],2,FALSE))</f>
        <v/>
      </c>
      <c r="G40" s="14" t="str">
        <f>IF(Tabla1[[#This Row],[ID]]="","",VLOOKUP(Tabla1[[#This Row],[ID]],Tabla7[],36,FALSE))</f>
        <v/>
      </c>
      <c r="H40" s="14" t="str">
        <f>IF(Tabla1[[#This Row],[ID]]="","",VLOOKUP(Tabla1[[#This Row],[ID]],Tabla7[],4,FALSE))</f>
        <v/>
      </c>
      <c r="I40" s="16" t="str">
        <f>IF(Tabla1[[#This Row],[ID]]="","",VLOOKUP(Tabla1[[#This Row],[ID]],Tabla1[],4,FALSE))</f>
        <v/>
      </c>
      <c r="J40" s="16">
        <f>Tabla1[[#This Row],[CN Literatura]]-Tabla1[[#This Row],[CN Predicted]]</f>
        <v>-0.49825869683710167</v>
      </c>
    </row>
    <row r="41" spans="1:10" ht="15" customHeight="1" x14ac:dyDescent="0.25">
      <c r="A41" s="1">
        <f>Desgloce!A40</f>
        <v>196</v>
      </c>
      <c r="B41" s="14">
        <f>VLOOKUP(Tabla1[[#This Row],[No]],Tabla7[],7,FALSE)</f>
        <v>20.3</v>
      </c>
      <c r="C41" s="24">
        <v>26.522387301147901</v>
      </c>
      <c r="D41" s="15">
        <f>(B41-C41)/B41*100</f>
        <v>-30.652154192846805</v>
      </c>
      <c r="E41" s="14">
        <f>IF(Tabla1[[#This Row],[% Error1]]&gt;$E$1,Tabla1[[#This Row],[No]],IF(Tabla1[[#This Row],[% Error1]]&lt;-$E$1,Tabla1[[#This Row],[No]],""))</f>
        <v>196</v>
      </c>
      <c r="F41" s="14" t="str">
        <f>IF(Tabla1[[#This Row],[ID]]="","",VLOOKUP(Tabla1[[#This Row],[ID]],Tabla7[],2,FALSE))</f>
        <v>CC1=CCC(=CC1)C(C)C</v>
      </c>
      <c r="G41" s="14" t="str">
        <f>IF(Tabla1[[#This Row],[ID]]="","",VLOOKUP(Tabla1[[#This Row],[ID]],Tabla7[],36,FALSE))</f>
        <v>Test</v>
      </c>
      <c r="H41" s="14" t="str">
        <f>IF(Tabla1[[#This Row],[ID]]="","",VLOOKUP(Tabla1[[#This Row],[ID]],Tabla7[],4,FALSE))</f>
        <v>Alkene</v>
      </c>
      <c r="I41" s="16">
        <f>IF(Tabla1[[#This Row],[ID]]="","",VLOOKUP(Tabla1[[#This Row],[ID]],Tabla1[],4,FALSE))</f>
        <v>-30.652154192846805</v>
      </c>
      <c r="J41" s="16">
        <f>Tabla1[[#This Row],[CN Literatura]]-Tabla1[[#This Row],[CN Predicted]]</f>
        <v>-6.2223873011479007</v>
      </c>
    </row>
    <row r="42" spans="1:10" ht="15" customHeight="1" x14ac:dyDescent="0.25">
      <c r="A42" s="1">
        <f>Desgloce!A41</f>
        <v>199</v>
      </c>
      <c r="B42" s="14">
        <f>VLOOKUP(Tabla1[[#This Row],[No]],Tabla7[],7,FALSE)</f>
        <v>20.399999999999999</v>
      </c>
      <c r="C42" s="24">
        <v>18.353055193335202</v>
      </c>
      <c r="D42" s="15">
        <f>(B42-C42)/B42*100</f>
        <v>10.034043169925475</v>
      </c>
      <c r="E42" s="14">
        <f>IF(Tabla1[[#This Row],[% Error1]]&gt;$E$1,Tabla1[[#This Row],[No]],IF(Tabla1[[#This Row],[% Error1]]&lt;-$E$1,Tabla1[[#This Row],[No]],""))</f>
        <v>199</v>
      </c>
      <c r="F42" s="14" t="str">
        <f>IF(Tabla1[[#This Row],[ID]]="","",VLOOKUP(Tabla1[[#This Row],[ID]],Tabla7[],2,FALSE))</f>
        <v>CC/C=C\C/C=C\C/C=C\CCCCCCCC(=O)O</v>
      </c>
      <c r="G42" s="14" t="str">
        <f>IF(Tabla1[[#This Row],[ID]]="","",VLOOKUP(Tabla1[[#This Row],[ID]],Tabla7[],36,FALSE))</f>
        <v>Test</v>
      </c>
      <c r="H42" s="14" t="str">
        <f>IF(Tabla1[[#This Row],[ID]]="","",VLOOKUP(Tabla1[[#This Row],[ID]],Tabla7[],4,FALSE))</f>
        <v>Ester</v>
      </c>
      <c r="I42" s="16">
        <f>IF(Tabla1[[#This Row],[ID]]="","",VLOOKUP(Tabla1[[#This Row],[ID]],Tabla1[],4,FALSE))</f>
        <v>10.034043169925475</v>
      </c>
      <c r="J42" s="16">
        <f>Tabla1[[#This Row],[CN Literatura]]-Tabla1[[#This Row],[CN Predicted]]</f>
        <v>2.0469448066647971</v>
      </c>
    </row>
    <row r="43" spans="1:10" ht="15" customHeight="1" x14ac:dyDescent="0.25">
      <c r="A43" s="1">
        <f>Desgloce!A42</f>
        <v>203</v>
      </c>
      <c r="B43" s="14">
        <f>VLOOKUP(Tabla1[[#This Row],[No]],Tabla7[],7,FALSE)</f>
        <v>20.6</v>
      </c>
      <c r="C43" s="24">
        <v>29.926466141075199</v>
      </c>
      <c r="D43" s="15">
        <f>(B43-C43)/B43*100</f>
        <v>-45.274107480947556</v>
      </c>
      <c r="E43" s="14">
        <f>IF(Tabla1[[#This Row],[% Error1]]&gt;$E$1,Tabla1[[#This Row],[No]],IF(Tabla1[[#This Row],[% Error1]]&lt;-$E$1,Tabla1[[#This Row],[No]],""))</f>
        <v>203</v>
      </c>
      <c r="F43" s="14" t="str">
        <f>IF(Tabla1[[#This Row],[ID]]="","",VLOOKUP(Tabla1[[#This Row],[ID]],Tabla7[],2,FALSE))</f>
        <v>CCCC</v>
      </c>
      <c r="G43" s="14" t="str">
        <f>IF(Tabla1[[#This Row],[ID]]="","",VLOOKUP(Tabla1[[#This Row],[ID]],Tabla7[],36,FALSE))</f>
        <v>Test</v>
      </c>
      <c r="H43" s="14" t="str">
        <f>IF(Tabla1[[#This Row],[ID]]="","",VLOOKUP(Tabla1[[#This Row],[ID]],Tabla7[],4,FALSE))</f>
        <v>n-Alkane</v>
      </c>
      <c r="I43" s="16">
        <f>IF(Tabla1[[#This Row],[ID]]="","",VLOOKUP(Tabla1[[#This Row],[ID]],Tabla1[],4,FALSE))</f>
        <v>-45.274107480947556</v>
      </c>
      <c r="J43" s="16">
        <f>Tabla1[[#This Row],[CN Literatura]]-Tabla1[[#This Row],[CN Predicted]]</f>
        <v>-9.3264661410751977</v>
      </c>
    </row>
    <row r="44" spans="1:10" ht="15" customHeight="1" x14ac:dyDescent="0.25">
      <c r="A44" s="1">
        <f>Desgloce!A43</f>
        <v>204</v>
      </c>
      <c r="B44" s="14">
        <f>VLOOKUP(Tabla1[[#This Row],[No]],Tabla7[],7,FALSE)</f>
        <v>20.7</v>
      </c>
      <c r="C44" s="24">
        <v>23.457174672586302</v>
      </c>
      <c r="D44" s="15">
        <f>(B44-C44)/B44*100</f>
        <v>-13.319684408629479</v>
      </c>
      <c r="E44" s="14">
        <f>IF(Tabla1[[#This Row],[% Error1]]&gt;$E$1,Tabla1[[#This Row],[No]],IF(Tabla1[[#This Row],[% Error1]]&lt;-$E$1,Tabla1[[#This Row],[No]],""))</f>
        <v>204</v>
      </c>
      <c r="F44" s="14" t="str">
        <f>IF(Tabla1[[#This Row],[ID]]="","",VLOOKUP(Tabla1[[#This Row],[ID]],Tabla7[],2,FALSE))</f>
        <v>CCCCC(=O)OCCC</v>
      </c>
      <c r="G44" s="14" t="str">
        <f>IF(Tabla1[[#This Row],[ID]]="","",VLOOKUP(Tabla1[[#This Row],[ID]],Tabla7[],36,FALSE))</f>
        <v>Test</v>
      </c>
      <c r="H44" s="14" t="str">
        <f>IF(Tabla1[[#This Row],[ID]]="","",VLOOKUP(Tabla1[[#This Row],[ID]],Tabla7[],4,FALSE))</f>
        <v>Ester</v>
      </c>
      <c r="I44" s="16">
        <f>IF(Tabla1[[#This Row],[ID]]="","",VLOOKUP(Tabla1[[#This Row],[ID]],Tabla1[],4,FALSE))</f>
        <v>-13.319684408629479</v>
      </c>
      <c r="J44" s="16">
        <f>Tabla1[[#This Row],[CN Literatura]]-Tabla1[[#This Row],[CN Predicted]]</f>
        <v>-2.7571746725863022</v>
      </c>
    </row>
    <row r="45" spans="1:10" ht="15" customHeight="1" x14ac:dyDescent="0.25">
      <c r="A45" s="1">
        <f>Desgloce!A44</f>
        <v>230</v>
      </c>
      <c r="B45" s="14">
        <f>VLOOKUP(Tabla1[[#This Row],[No]],Tabla7[],7,FALSE)</f>
        <v>22</v>
      </c>
      <c r="C45" s="24">
        <v>12.460547177539199</v>
      </c>
      <c r="D45" s="15">
        <f>(B45-C45)/B45*100</f>
        <v>43.361149193003641</v>
      </c>
      <c r="E45" s="14">
        <f>IF(Tabla1[[#This Row],[% Error1]]&gt;$E$1,Tabla1[[#This Row],[No]],IF(Tabla1[[#This Row],[% Error1]]&lt;-$E$1,Tabla1[[#This Row],[No]],""))</f>
        <v>230</v>
      </c>
      <c r="F45" s="14" t="str">
        <f>IF(Tabla1[[#This Row],[ID]]="","",VLOOKUP(Tabla1[[#This Row],[ID]],Tabla7[],2,FALSE))</f>
        <v>C1CCCCCCC1</v>
      </c>
      <c r="G45" s="14" t="str">
        <f>IF(Tabla1[[#This Row],[ID]]="","",VLOOKUP(Tabla1[[#This Row],[ID]],Tabla7[],36,FALSE))</f>
        <v>Test</v>
      </c>
      <c r="H45" s="14" t="str">
        <f>IF(Tabla1[[#This Row],[ID]]="","",VLOOKUP(Tabla1[[#This Row],[ID]],Tabla7[],4,FALSE))</f>
        <v>cyclo-alkane</v>
      </c>
      <c r="I45" s="16">
        <f>IF(Tabla1[[#This Row],[ID]]="","",VLOOKUP(Tabla1[[#This Row],[ID]],Tabla1[],4,FALSE))</f>
        <v>43.361149193003641</v>
      </c>
      <c r="J45" s="16">
        <f>Tabla1[[#This Row],[CN Literatura]]-Tabla1[[#This Row],[CN Predicted]]</f>
        <v>9.5394528224608006</v>
      </c>
    </row>
    <row r="46" spans="1:10" ht="15" customHeight="1" x14ac:dyDescent="0.25">
      <c r="A46" s="1">
        <f>Desgloce!A45</f>
        <v>231</v>
      </c>
      <c r="B46" s="14">
        <f>VLOOKUP(Tabla1[[#This Row],[No]],Tabla7[],7,FALSE)</f>
        <v>22.5</v>
      </c>
      <c r="C46" s="24">
        <v>23.811860385454501</v>
      </c>
      <c r="D46" s="15">
        <f>(B46-C46)/B46*100</f>
        <v>-5.8304906020200065</v>
      </c>
      <c r="E46" s="14" t="str">
        <f>IF(Tabla1[[#This Row],[% Error1]]&gt;$E$1,Tabla1[[#This Row],[No]],IF(Tabla1[[#This Row],[% Error1]]&lt;-$E$1,Tabla1[[#This Row],[No]],""))</f>
        <v/>
      </c>
      <c r="F46" s="14" t="str">
        <f>IF(Tabla1[[#This Row],[ID]]="","",VLOOKUP(Tabla1[[#This Row],[ID]],Tabla7[],2,FALSE))</f>
        <v/>
      </c>
      <c r="G46" s="14" t="str">
        <f>IF(Tabla1[[#This Row],[ID]]="","",VLOOKUP(Tabla1[[#This Row],[ID]],Tabla7[],36,FALSE))</f>
        <v/>
      </c>
      <c r="H46" s="14" t="str">
        <f>IF(Tabla1[[#This Row],[ID]]="","",VLOOKUP(Tabla1[[#This Row],[ID]],Tabla7[],4,FALSE))</f>
        <v/>
      </c>
      <c r="I46" s="16" t="str">
        <f>IF(Tabla1[[#This Row],[ID]]="","",VLOOKUP(Tabla1[[#This Row],[ID]],Tabla1[],4,FALSE))</f>
        <v/>
      </c>
      <c r="J46" s="16">
        <f>Tabla1[[#This Row],[CN Literatura]]-Tabla1[[#This Row],[CN Predicted]]</f>
        <v>-1.3118603854545015</v>
      </c>
    </row>
    <row r="47" spans="1:10" ht="15" customHeight="1" x14ac:dyDescent="0.25">
      <c r="A47" s="1">
        <f>Desgloce!A46</f>
        <v>233</v>
      </c>
      <c r="B47" s="14">
        <f>VLOOKUP(Tabla1[[#This Row],[No]],Tabla7[],7,FALSE)</f>
        <v>22.7</v>
      </c>
      <c r="C47" s="24">
        <v>27.738083637662601</v>
      </c>
      <c r="D47" s="15">
        <f>(B47-C47)/B47*100</f>
        <v>-22.194201046971816</v>
      </c>
      <c r="E47" s="14">
        <f>IF(Tabla1[[#This Row],[% Error1]]&gt;$E$1,Tabla1[[#This Row],[No]],IF(Tabla1[[#This Row],[% Error1]]&lt;-$E$1,Tabla1[[#This Row],[No]],""))</f>
        <v>233</v>
      </c>
      <c r="F47" s="14" t="str">
        <f>IF(Tabla1[[#This Row],[ID]]="","",VLOOKUP(Tabla1[[#This Row],[ID]],Tabla7[],2,FALSE))</f>
        <v>CCC=CCC=CCC=CCCCCCCCC(=O)OC</v>
      </c>
      <c r="G47" s="14" t="str">
        <f>IF(Tabla1[[#This Row],[ID]]="","",VLOOKUP(Tabla1[[#This Row],[ID]],Tabla7[],36,FALSE))</f>
        <v>Test</v>
      </c>
      <c r="H47" s="14" t="str">
        <f>IF(Tabla1[[#This Row],[ID]]="","",VLOOKUP(Tabla1[[#This Row],[ID]],Tabla7[],4,FALSE))</f>
        <v>Polyfunctional</v>
      </c>
      <c r="I47" s="16">
        <f>IF(Tabla1[[#This Row],[ID]]="","",VLOOKUP(Tabla1[[#This Row],[ID]],Tabla1[],4,FALSE))</f>
        <v>-22.194201046971816</v>
      </c>
      <c r="J47" s="16">
        <f>Tabla1[[#This Row],[CN Literatura]]-Tabla1[[#This Row],[CN Predicted]]</f>
        <v>-5.0380836376626021</v>
      </c>
    </row>
    <row r="48" spans="1:10" ht="15" customHeight="1" x14ac:dyDescent="0.25">
      <c r="A48" s="1">
        <f>Desgloce!A47</f>
        <v>236</v>
      </c>
      <c r="B48" s="14">
        <f>VLOOKUP(Tabla1[[#This Row],[No]],Tabla7[],7,FALSE)</f>
        <v>23</v>
      </c>
      <c r="C48" s="24">
        <v>16.227016498180198</v>
      </c>
      <c r="D48" s="15">
        <f>(B48-C48)/B48*100</f>
        <v>29.447754355738269</v>
      </c>
      <c r="E48" s="14">
        <f>IF(Tabla1[[#This Row],[% Error1]]&gt;$E$1,Tabla1[[#This Row],[No]],IF(Tabla1[[#This Row],[% Error1]]&lt;-$E$1,Tabla1[[#This Row],[No]],""))</f>
        <v>236</v>
      </c>
      <c r="F48" s="14" t="str">
        <f>IF(Tabla1[[#This Row],[ID]]="","",VLOOKUP(Tabla1[[#This Row],[ID]],Tabla7[],2,FALSE))</f>
        <v>CCCCCCCC/C=C(/C)\c1ccccc1</v>
      </c>
      <c r="G48" s="14" t="str">
        <f>IF(Tabla1[[#This Row],[ID]]="","",VLOOKUP(Tabla1[[#This Row],[ID]],Tabla7[],36,FALSE))</f>
        <v>Test</v>
      </c>
      <c r="H48" s="14" t="str">
        <f>IF(Tabla1[[#This Row],[ID]]="","",VLOOKUP(Tabla1[[#This Row],[ID]],Tabla7[],4,FALSE))</f>
        <v>Aromatic</v>
      </c>
      <c r="I48" s="24">
        <f>IF(Tabla1[[#This Row],[ID]]="","",VLOOKUP(Tabla1[[#This Row],[ID]],Tabla1[],4,FALSE))</f>
        <v>29.447754355738269</v>
      </c>
      <c r="J48" s="16">
        <f>Tabla1[[#This Row],[CN Literatura]]-Tabla1[[#This Row],[CN Predicted]]</f>
        <v>6.7729835018198017</v>
      </c>
    </row>
    <row r="49" spans="1:10" ht="15" customHeight="1" x14ac:dyDescent="0.25">
      <c r="A49" s="1">
        <f>Desgloce!A48</f>
        <v>238</v>
      </c>
      <c r="B49" s="14">
        <f>VLOOKUP(Tabla1[[#This Row],[No]],Tabla7[],7,FALSE)</f>
        <v>23</v>
      </c>
      <c r="C49" s="24">
        <v>17.085626809199098</v>
      </c>
      <c r="D49" s="15">
        <f>(B49-C49)/B49*100</f>
        <v>25.714666046960446</v>
      </c>
      <c r="E49" s="14">
        <f>IF(Tabla1[[#This Row],[% Error1]]&gt;$E$1,Tabla1[[#This Row],[No]],IF(Tabla1[[#This Row],[% Error1]]&lt;-$E$1,Tabla1[[#This Row],[No]],""))</f>
        <v>238</v>
      </c>
      <c r="F49" s="14" t="str">
        <f>IF(Tabla1[[#This Row],[ID]]="","",VLOOKUP(Tabla1[[#This Row],[ID]],Tabla7[],2,FALSE))</f>
        <v>C1(=CC=CC=C1)C(C)=CCCCCCCCC</v>
      </c>
      <c r="G49" s="14" t="str">
        <f>IF(Tabla1[[#This Row],[ID]]="","",VLOOKUP(Tabla1[[#This Row],[ID]],Tabla7[],36,FALSE))</f>
        <v>Test</v>
      </c>
      <c r="H49" s="14" t="str">
        <f>IF(Tabla1[[#This Row],[ID]]="","",VLOOKUP(Tabla1[[#This Row],[ID]],Tabla7[],4,FALSE))</f>
        <v>Aromatic</v>
      </c>
      <c r="I49" s="24">
        <f>IF(Tabla1[[#This Row],[ID]]="","",VLOOKUP(Tabla1[[#This Row],[ID]],Tabla1[],4,FALSE))</f>
        <v>25.714666046960446</v>
      </c>
      <c r="J49" s="16">
        <f>Tabla1[[#This Row],[CN Literatura]]-Tabla1[[#This Row],[CN Predicted]]</f>
        <v>5.9143731908009016</v>
      </c>
    </row>
    <row r="50" spans="1:10" ht="15" customHeight="1" x14ac:dyDescent="0.25">
      <c r="A50" s="1">
        <f>Desgloce!A49</f>
        <v>241</v>
      </c>
      <c r="B50" s="14">
        <f>VLOOKUP(Tabla1[[#This Row],[No]],Tabla7[],7,FALSE)</f>
        <v>23.4</v>
      </c>
      <c r="C50" s="24">
        <v>27.4549911376963</v>
      </c>
      <c r="D50" s="15">
        <f>(B50-C50)/B50*100</f>
        <v>-17.329021955967104</v>
      </c>
      <c r="E50" s="14">
        <f>IF(Tabla1[[#This Row],[% Error1]]&gt;$E$1,Tabla1[[#This Row],[No]],IF(Tabla1[[#This Row],[% Error1]]&lt;-$E$1,Tabla1[[#This Row],[No]],""))</f>
        <v>241</v>
      </c>
      <c r="F50" s="14" t="str">
        <f>IF(Tabla1[[#This Row],[ID]]="","",VLOOKUP(Tabla1[[#This Row],[ID]],Tabla7[],2,FALSE))</f>
        <v>CCCC[C@@H](CC)CO</v>
      </c>
      <c r="G50" s="14" t="str">
        <f>IF(Tabla1[[#This Row],[ID]]="","",VLOOKUP(Tabla1[[#This Row],[ID]],Tabla7[],36,FALSE))</f>
        <v>Test</v>
      </c>
      <c r="H50" s="14" t="str">
        <f>IF(Tabla1[[#This Row],[ID]]="","",VLOOKUP(Tabla1[[#This Row],[ID]],Tabla7[],4,FALSE))</f>
        <v>Alcohol</v>
      </c>
      <c r="I50" s="16">
        <f>IF(Tabla1[[#This Row],[ID]]="","",VLOOKUP(Tabla1[[#This Row],[ID]],Tabla1[],4,FALSE))</f>
        <v>-17.329021955967104</v>
      </c>
      <c r="J50" s="16">
        <f>Tabla1[[#This Row],[CN Literatura]]-Tabla1[[#This Row],[CN Predicted]]</f>
        <v>-4.0549911376963017</v>
      </c>
    </row>
    <row r="51" spans="1:10" ht="15" customHeight="1" x14ac:dyDescent="0.25">
      <c r="A51" s="1">
        <f>Desgloce!A50</f>
        <v>243</v>
      </c>
      <c r="B51" s="14">
        <f>VLOOKUP(Tabla1[[#This Row],[No]],Tabla7[],7,FALSE)</f>
        <v>23.5</v>
      </c>
      <c r="C51" s="24">
        <v>27.4549911376963</v>
      </c>
      <c r="D51" s="15">
        <f>(B51-C51)/B51*100</f>
        <v>-16.829749522111918</v>
      </c>
      <c r="E51" s="14">
        <f>IF(Tabla1[[#This Row],[% Error1]]&gt;$E$1,Tabla1[[#This Row],[No]],IF(Tabla1[[#This Row],[% Error1]]&lt;-$E$1,Tabla1[[#This Row],[No]],""))</f>
        <v>243</v>
      </c>
      <c r="F51" s="14" t="str">
        <f>IF(Tabla1[[#This Row],[ID]]="","",VLOOKUP(Tabla1[[#This Row],[ID]],Tabla7[],2,FALSE))</f>
        <v>C(C)C(CO)CCCC</v>
      </c>
      <c r="G51" s="14" t="str">
        <f>IF(Tabla1[[#This Row],[ID]]="","",VLOOKUP(Tabla1[[#This Row],[ID]],Tabla7[],36,FALSE))</f>
        <v>Test</v>
      </c>
      <c r="H51" s="14" t="str">
        <f>IF(Tabla1[[#This Row],[ID]]="","",VLOOKUP(Tabla1[[#This Row],[ID]],Tabla7[],4,FALSE))</f>
        <v>Alcohol</v>
      </c>
      <c r="I51" s="16">
        <f>IF(Tabla1[[#This Row],[ID]]="","",VLOOKUP(Tabla1[[#This Row],[ID]],Tabla1[],4,FALSE))</f>
        <v>-16.829749522111918</v>
      </c>
      <c r="J51" s="16">
        <f>Tabla1[[#This Row],[CN Literatura]]-Tabla1[[#This Row],[CN Predicted]]</f>
        <v>-3.9549911376963003</v>
      </c>
    </row>
    <row r="52" spans="1:10" ht="15" customHeight="1" x14ac:dyDescent="0.25">
      <c r="A52" s="1">
        <f>Desgloce!A51</f>
        <v>244</v>
      </c>
      <c r="B52" s="14">
        <f>VLOOKUP(Tabla1[[#This Row],[No]],Tabla7[],7,FALSE)</f>
        <v>23.5</v>
      </c>
      <c r="C52" s="24">
        <v>29.284857002867401</v>
      </c>
      <c r="D52" s="15">
        <f>(B52-C52)/B52*100</f>
        <v>-24.616412778159152</v>
      </c>
      <c r="E52" s="14">
        <f>IF(Tabla1[[#This Row],[% Error1]]&gt;$E$1,Tabla1[[#This Row],[No]],IF(Tabla1[[#This Row],[% Error1]]&lt;-$E$1,Tabla1[[#This Row],[No]],""))</f>
        <v>244</v>
      </c>
      <c r="F52" s="14" t="str">
        <f>IF(Tabla1[[#This Row],[ID]]="","",VLOOKUP(Tabla1[[#This Row],[ID]],Tabla7[],2,FALSE))</f>
        <v>CCCCC(=O)OCCCC</v>
      </c>
      <c r="G52" s="14" t="str">
        <f>IF(Tabla1[[#This Row],[ID]]="","",VLOOKUP(Tabla1[[#This Row],[ID]],Tabla7[],36,FALSE))</f>
        <v>Test</v>
      </c>
      <c r="H52" s="14" t="str">
        <f>IF(Tabla1[[#This Row],[ID]]="","",VLOOKUP(Tabla1[[#This Row],[ID]],Tabla7[],4,FALSE))</f>
        <v>Ester</v>
      </c>
      <c r="I52" s="16">
        <f>IF(Tabla1[[#This Row],[ID]]="","",VLOOKUP(Tabla1[[#This Row],[ID]],Tabla1[],4,FALSE))</f>
        <v>-24.616412778159152</v>
      </c>
      <c r="J52" s="16">
        <f>Tabla1[[#This Row],[CN Literatura]]-Tabla1[[#This Row],[CN Predicted]]</f>
        <v>-5.7848570028674011</v>
      </c>
    </row>
    <row r="53" spans="1:10" ht="15" customHeight="1" x14ac:dyDescent="0.25">
      <c r="A53" s="1">
        <f>Desgloce!A52</f>
        <v>247</v>
      </c>
      <c r="B53" s="14">
        <f>VLOOKUP(Tabla1[[#This Row],[No]],Tabla7[],7,FALSE)</f>
        <v>23.6</v>
      </c>
      <c r="C53" s="24">
        <v>51.865491772125402</v>
      </c>
      <c r="D53" s="15">
        <f>(B53-C53)/B53*100</f>
        <v>-119.76903293273473</v>
      </c>
      <c r="E53" s="14">
        <f>IF(Tabla1[[#This Row],[% Error1]]&gt;$E$1,Tabla1[[#This Row],[No]],IF(Tabla1[[#This Row],[% Error1]]&lt;-$E$1,Tabla1[[#This Row],[No]],""))</f>
        <v>247</v>
      </c>
      <c r="F53" s="14" t="str">
        <f>IF(Tabla1[[#This Row],[ID]]="","",VLOOKUP(Tabla1[[#This Row],[ID]],Tabla7[],2,FALSE))</f>
        <v>CC(C)OC(C)C</v>
      </c>
      <c r="G53" s="14" t="str">
        <f>IF(Tabla1[[#This Row],[ID]]="","",VLOOKUP(Tabla1[[#This Row],[ID]],Tabla7[],36,FALSE))</f>
        <v>Test</v>
      </c>
      <c r="H53" s="14" t="str">
        <f>IF(Tabla1[[#This Row],[ID]]="","",VLOOKUP(Tabla1[[#This Row],[ID]],Tabla7[],4,FALSE))</f>
        <v>Ether</v>
      </c>
      <c r="I53" s="16">
        <f>IF(Tabla1[[#This Row],[ID]]="","",VLOOKUP(Tabla1[[#This Row],[ID]],Tabla1[],4,FALSE))</f>
        <v>-119.76903293273473</v>
      </c>
      <c r="J53" s="16">
        <f>Tabla1[[#This Row],[CN Literatura]]-Tabla1[[#This Row],[CN Predicted]]</f>
        <v>-28.265491772125401</v>
      </c>
    </row>
    <row r="54" spans="1:10" ht="15" customHeight="1" x14ac:dyDescent="0.25">
      <c r="A54" s="1">
        <f>Desgloce!A53</f>
        <v>251</v>
      </c>
      <c r="B54" s="14">
        <f>VLOOKUP(Tabla1[[#This Row],[No]],Tabla7[],7,FALSE)</f>
        <v>24</v>
      </c>
      <c r="C54" s="24">
        <v>24.907794344711299</v>
      </c>
      <c r="D54" s="15">
        <f>(B54-C54)/B54*100</f>
        <v>-3.7824764362970775</v>
      </c>
      <c r="E54" s="14" t="str">
        <f>IF(Tabla1[[#This Row],[% Error1]]&gt;$E$1,Tabla1[[#This Row],[No]],IF(Tabla1[[#This Row],[% Error1]]&lt;-$E$1,Tabla1[[#This Row],[No]],""))</f>
        <v/>
      </c>
      <c r="F54" s="14" t="str">
        <f>IF(Tabla1[[#This Row],[ID]]="","",VLOOKUP(Tabla1[[#This Row],[ID]],Tabla7[],2,FALSE))</f>
        <v/>
      </c>
      <c r="G54" s="14" t="str">
        <f>IF(Tabla1[[#This Row],[ID]]="","",VLOOKUP(Tabla1[[#This Row],[ID]],Tabla7[],36,FALSE))</f>
        <v/>
      </c>
      <c r="H54" s="14" t="str">
        <f>IF(Tabla1[[#This Row],[ID]]="","",VLOOKUP(Tabla1[[#This Row],[ID]],Tabla7[],4,FALSE))</f>
        <v/>
      </c>
      <c r="I54" s="16" t="str">
        <f>IF(Tabla1[[#This Row],[ID]]="","",VLOOKUP(Tabla1[[#This Row],[ID]],Tabla1[],4,FALSE))</f>
        <v/>
      </c>
      <c r="J54" s="16">
        <f>Tabla1[[#This Row],[CN Literatura]]-Tabla1[[#This Row],[CN Predicted]]</f>
        <v>-0.90779434471129861</v>
      </c>
    </row>
    <row r="55" spans="1:10" ht="15" customHeight="1" x14ac:dyDescent="0.25">
      <c r="A55" s="1">
        <f>Desgloce!A54</f>
        <v>259</v>
      </c>
      <c r="B55" s="14">
        <f>VLOOKUP(Tabla1[[#This Row],[No]],Tabla7[],7,FALSE)</f>
        <v>24</v>
      </c>
      <c r="C55" s="24">
        <v>17.286918366556598</v>
      </c>
      <c r="D55" s="15">
        <f>(B55-C55)/B55*100</f>
        <v>27.971173472680839</v>
      </c>
      <c r="E55" s="14">
        <f>IF(Tabla1[[#This Row],[% Error1]]&gt;$E$1,Tabla1[[#This Row],[No]],IF(Tabla1[[#This Row],[% Error1]]&lt;-$E$1,Tabla1[[#This Row],[No]],""))</f>
        <v>259</v>
      </c>
      <c r="F55" s="14" t="str">
        <f>IF(Tabla1[[#This Row],[ID]]="","",VLOOKUP(Tabla1[[#This Row],[ID]],Tabla7[],2,FALSE))</f>
        <v>CCC(C)C</v>
      </c>
      <c r="G55" s="14" t="str">
        <f>IF(Tabla1[[#This Row],[ID]]="","",VLOOKUP(Tabla1[[#This Row],[ID]],Tabla7[],36,FALSE))</f>
        <v>Test</v>
      </c>
      <c r="H55" s="14" t="str">
        <f>IF(Tabla1[[#This Row],[ID]]="","",VLOOKUP(Tabla1[[#This Row],[ID]],Tabla7[],4,FALSE))</f>
        <v>iso-alkane</v>
      </c>
      <c r="I55" s="16">
        <f>IF(Tabla1[[#This Row],[ID]]="","",VLOOKUP(Tabla1[[#This Row],[ID]],Tabla1[],4,FALSE))</f>
        <v>27.971173472680839</v>
      </c>
      <c r="J55" s="16">
        <f>Tabla1[[#This Row],[CN Literatura]]-Tabla1[[#This Row],[CN Predicted]]</f>
        <v>6.7130816334434016</v>
      </c>
    </row>
    <row r="56" spans="1:10" ht="15" customHeight="1" x14ac:dyDescent="0.25">
      <c r="A56" s="1">
        <f>Desgloce!A55</f>
        <v>265</v>
      </c>
      <c r="B56" s="14">
        <f>VLOOKUP(Tabla1[[#This Row],[No]],Tabla7[],7,FALSE)</f>
        <v>24.4</v>
      </c>
      <c r="C56" s="24">
        <v>24.0663092716633</v>
      </c>
      <c r="D56" s="15">
        <f>(B56-C56)/B56*100</f>
        <v>1.3675849521995833</v>
      </c>
      <c r="E56" s="14" t="str">
        <f>IF(Tabla1[[#This Row],[% Error1]]&gt;$E$1,Tabla1[[#This Row],[No]],IF(Tabla1[[#This Row],[% Error1]]&lt;-$E$1,Tabla1[[#This Row],[No]],""))</f>
        <v/>
      </c>
      <c r="F56" s="14" t="str">
        <f>IF(Tabla1[[#This Row],[ID]]="","",VLOOKUP(Tabla1[[#This Row],[ID]],Tabla7[],2,FALSE))</f>
        <v/>
      </c>
      <c r="G56" s="14" t="str">
        <f>IF(Tabla1[[#This Row],[ID]]="","",VLOOKUP(Tabla1[[#This Row],[ID]],Tabla7[],36,FALSE))</f>
        <v/>
      </c>
      <c r="H56" s="14" t="str">
        <f>IF(Tabla1[[#This Row],[ID]]="","",VLOOKUP(Tabla1[[#This Row],[ID]],Tabla7[],4,FALSE))</f>
        <v/>
      </c>
      <c r="I56" s="16" t="str">
        <f>IF(Tabla1[[#This Row],[ID]]="","",VLOOKUP(Tabla1[[#This Row],[ID]],Tabla1[],4,FALSE))</f>
        <v/>
      </c>
      <c r="J56" s="16">
        <f>Tabla1[[#This Row],[CN Literatura]]-Tabla1[[#This Row],[CN Predicted]]</f>
        <v>0.33369072833669833</v>
      </c>
    </row>
    <row r="57" spans="1:10" ht="15" customHeight="1" x14ac:dyDescent="0.25">
      <c r="A57" s="1">
        <f>Desgloce!A56</f>
        <v>268</v>
      </c>
      <c r="B57" s="14">
        <f>VLOOKUP(Tabla1[[#This Row],[No]],Tabla7[],7,FALSE)</f>
        <v>25</v>
      </c>
      <c r="C57" s="24">
        <v>27.426329583021701</v>
      </c>
      <c r="D57" s="15">
        <f>(B57-C57)/B57*100</f>
        <v>-9.7053183320868044</v>
      </c>
      <c r="E57" s="14" t="str">
        <f>IF(Tabla1[[#This Row],[% Error1]]&gt;$E$1,Tabla1[[#This Row],[No]],IF(Tabla1[[#This Row],[% Error1]]&lt;-$E$1,Tabla1[[#This Row],[No]],""))</f>
        <v/>
      </c>
      <c r="F57" s="14" t="str">
        <f>IF(Tabla1[[#This Row],[ID]]="","",VLOOKUP(Tabla1[[#This Row],[ID]],Tabla7[],2,FALSE))</f>
        <v/>
      </c>
      <c r="G57" s="14" t="str">
        <f>IF(Tabla1[[#This Row],[ID]]="","",VLOOKUP(Tabla1[[#This Row],[ID]],Tabla7[],36,FALSE))</f>
        <v/>
      </c>
      <c r="H57" s="14" t="str">
        <f>IF(Tabla1[[#This Row],[ID]]="","",VLOOKUP(Tabla1[[#This Row],[ID]],Tabla7[],4,FALSE))</f>
        <v/>
      </c>
      <c r="I57" s="16" t="str">
        <f>IF(Tabla1[[#This Row],[ID]]="","",VLOOKUP(Tabla1[[#This Row],[ID]],Tabla1[],4,FALSE))</f>
        <v/>
      </c>
      <c r="J57" s="16">
        <f>Tabla1[[#This Row],[CN Literatura]]-Tabla1[[#This Row],[CN Predicted]]</f>
        <v>-2.4263295830217011</v>
      </c>
    </row>
    <row r="58" spans="1:10" ht="15" customHeight="1" x14ac:dyDescent="0.25">
      <c r="A58" s="1">
        <f>Desgloce!A57</f>
        <v>271</v>
      </c>
      <c r="B58" s="14">
        <f>VLOOKUP(Tabla1[[#This Row],[No]],Tabla7[],7,FALSE)</f>
        <v>25.1</v>
      </c>
      <c r="C58" s="24">
        <v>27.981255819946401</v>
      </c>
      <c r="D58" s="15">
        <f>(B58-C58)/B58*100</f>
        <v>-11.479106852376095</v>
      </c>
      <c r="E58" s="14">
        <f>IF(Tabla1[[#This Row],[% Error1]]&gt;$E$1,Tabla1[[#This Row],[No]],IF(Tabla1[[#This Row],[% Error1]]&lt;-$E$1,Tabla1[[#This Row],[No]],""))</f>
        <v>271</v>
      </c>
      <c r="F58" s="14" t="str">
        <f>IF(Tabla1[[#This Row],[ID]]="","",VLOOKUP(Tabla1[[#This Row],[ID]],Tabla7[],2,FALSE))</f>
        <v>CC(CC)C(CC)C</v>
      </c>
      <c r="G58" s="14" t="str">
        <f>IF(Tabla1[[#This Row],[ID]]="","",VLOOKUP(Tabla1[[#This Row],[ID]],Tabla7[],36,FALSE))</f>
        <v>Test</v>
      </c>
      <c r="H58" s="14" t="str">
        <f>IF(Tabla1[[#This Row],[ID]]="","",VLOOKUP(Tabla1[[#This Row],[ID]],Tabla7[],4,FALSE))</f>
        <v>iso-alkane</v>
      </c>
      <c r="I58" s="16">
        <f>IF(Tabla1[[#This Row],[ID]]="","",VLOOKUP(Tabla1[[#This Row],[ID]],Tabla1[],4,FALSE))</f>
        <v>-11.479106852376095</v>
      </c>
      <c r="J58" s="16">
        <f>Tabla1[[#This Row],[CN Literatura]]-Tabla1[[#This Row],[CN Predicted]]</f>
        <v>-2.8812558199464</v>
      </c>
    </row>
    <row r="59" spans="1:10" ht="15" customHeight="1" x14ac:dyDescent="0.25">
      <c r="A59" s="1">
        <f>Desgloce!A58</f>
        <v>280</v>
      </c>
      <c r="B59" s="14">
        <f>VLOOKUP(Tabla1[[#This Row],[No]],Tabla7[],7,FALSE)</f>
        <v>26</v>
      </c>
      <c r="C59" s="24">
        <v>25.9488577918757</v>
      </c>
      <c r="D59" s="15">
        <f>(B59-C59)/B59*100</f>
        <v>0.19670080047807878</v>
      </c>
      <c r="E59" s="14" t="str">
        <f>IF(Tabla1[[#This Row],[% Error1]]&gt;$E$1,Tabla1[[#This Row],[No]],IF(Tabla1[[#This Row],[% Error1]]&lt;-$E$1,Tabla1[[#This Row],[No]],""))</f>
        <v/>
      </c>
      <c r="F59" s="14" t="str">
        <f>IF(Tabla1[[#This Row],[ID]]="","",VLOOKUP(Tabla1[[#This Row],[ID]],Tabla7[],2,FALSE))</f>
        <v/>
      </c>
      <c r="G59" s="14" t="str">
        <f>IF(Tabla1[[#This Row],[ID]]="","",VLOOKUP(Tabla1[[#This Row],[ID]],Tabla7[],36,FALSE))</f>
        <v/>
      </c>
      <c r="H59" s="14" t="str">
        <f>IF(Tabla1[[#This Row],[ID]]="","",VLOOKUP(Tabla1[[#This Row],[ID]],Tabla7[],4,FALSE))</f>
        <v/>
      </c>
      <c r="I59" s="16" t="str">
        <f>IF(Tabla1[[#This Row],[ID]]="","",VLOOKUP(Tabla1[[#This Row],[ID]],Tabla1[],4,FALSE))</f>
        <v/>
      </c>
      <c r="J59" s="16">
        <f>Tabla1[[#This Row],[CN Literatura]]-Tabla1[[#This Row],[CN Predicted]]</f>
        <v>5.1142208124300481E-2</v>
      </c>
    </row>
    <row r="60" spans="1:10" ht="15" customHeight="1" x14ac:dyDescent="0.25">
      <c r="A60" s="1">
        <f>Desgloce!A59</f>
        <v>291</v>
      </c>
      <c r="B60" s="14">
        <f>VLOOKUP(Tabla1[[#This Row],[No]],Tabla7[],7,FALSE)</f>
        <v>27</v>
      </c>
      <c r="C60" s="24">
        <v>28.982785953736801</v>
      </c>
      <c r="D60" s="15">
        <f>(B60-C60)/B60*100</f>
        <v>-7.3436516805066718</v>
      </c>
      <c r="E60" s="14" t="str">
        <f>IF(Tabla1[[#This Row],[% Error1]]&gt;$E$1,Tabla1[[#This Row],[No]],IF(Tabla1[[#This Row],[% Error1]]&lt;-$E$1,Tabla1[[#This Row],[No]],""))</f>
        <v/>
      </c>
      <c r="F60" s="14" t="str">
        <f>IF(Tabla1[[#This Row],[ID]]="","",VLOOKUP(Tabla1[[#This Row],[ID]],Tabla7[],2,FALSE))</f>
        <v/>
      </c>
      <c r="G60" s="14" t="str">
        <f>IF(Tabla1[[#This Row],[ID]]="","",VLOOKUP(Tabla1[[#This Row],[ID]],Tabla7[],36,FALSE))</f>
        <v/>
      </c>
      <c r="H60" s="14" t="str">
        <f>IF(Tabla1[[#This Row],[ID]]="","",VLOOKUP(Tabla1[[#This Row],[ID]],Tabla7[],4,FALSE))</f>
        <v/>
      </c>
      <c r="I60" s="16" t="str">
        <f>IF(Tabla1[[#This Row],[ID]]="","",VLOOKUP(Tabla1[[#This Row],[ID]],Tabla1[],4,FALSE))</f>
        <v/>
      </c>
      <c r="J60" s="16">
        <f>Tabla1[[#This Row],[CN Literatura]]-Tabla1[[#This Row],[CN Predicted]]</f>
        <v>-1.9827859537368013</v>
      </c>
    </row>
    <row r="61" spans="1:10" ht="15" customHeight="1" x14ac:dyDescent="0.25">
      <c r="A61" s="1">
        <f>Desgloce!A60</f>
        <v>296</v>
      </c>
      <c r="B61" s="14">
        <f>VLOOKUP(Tabla1[[#This Row],[No]],Tabla7[],7,FALSE)</f>
        <v>27.8</v>
      </c>
      <c r="C61" s="24">
        <v>25.344571450232898</v>
      </c>
      <c r="D61" s="15">
        <f>(B61-C61)/B61*100</f>
        <v>8.8324767977233911</v>
      </c>
      <c r="E61" s="14" t="str">
        <f>IF(Tabla1[[#This Row],[% Error1]]&gt;$E$1,Tabla1[[#This Row],[No]],IF(Tabla1[[#This Row],[% Error1]]&lt;-$E$1,Tabla1[[#This Row],[No]],""))</f>
        <v/>
      </c>
      <c r="F61" s="14" t="str">
        <f>IF(Tabla1[[#This Row],[ID]]="","",VLOOKUP(Tabla1[[#This Row],[ID]],Tabla7[],2,FALSE))</f>
        <v/>
      </c>
      <c r="G61" s="14" t="str">
        <f>IF(Tabla1[[#This Row],[ID]]="","",VLOOKUP(Tabla1[[#This Row],[ID]],Tabla7[],36,FALSE))</f>
        <v/>
      </c>
      <c r="H61" s="14" t="str">
        <f>IF(Tabla1[[#This Row],[ID]]="","",VLOOKUP(Tabla1[[#This Row],[ID]],Tabla7[],4,FALSE))</f>
        <v/>
      </c>
      <c r="I61" s="16" t="str">
        <f>IF(Tabla1[[#This Row],[ID]]="","",VLOOKUP(Tabla1[[#This Row],[ID]],Tabla1[],4,FALSE))</f>
        <v/>
      </c>
      <c r="J61" s="16">
        <f>Tabla1[[#This Row],[CN Literatura]]-Tabla1[[#This Row],[CN Predicted]]</f>
        <v>2.4554285497671025</v>
      </c>
    </row>
    <row r="62" spans="1:10" ht="15" customHeight="1" x14ac:dyDescent="0.25">
      <c r="A62" s="1">
        <f>Desgloce!A61</f>
        <v>304</v>
      </c>
      <c r="B62" s="14">
        <f>VLOOKUP(Tabla1[[#This Row],[No]],Tabla7[],7,FALSE)</f>
        <v>28.1</v>
      </c>
      <c r="C62" s="24">
        <v>31.235305370569002</v>
      </c>
      <c r="D62" s="15">
        <f>(B62-C62)/B62*100</f>
        <v>-11.157670357896796</v>
      </c>
      <c r="E62" s="14">
        <f>IF(Tabla1[[#This Row],[% Error1]]&gt;$E$1,Tabla1[[#This Row],[No]],IF(Tabla1[[#This Row],[% Error1]]&lt;-$E$1,Tabla1[[#This Row],[No]],""))</f>
        <v>304</v>
      </c>
      <c r="F62" s="14" t="str">
        <f>IF(Tabla1[[#This Row],[ID]]="","",VLOOKUP(Tabla1[[#This Row],[ID]],Tabla7[],2,FALSE))</f>
        <v>C1CC(CC=C1)C=O</v>
      </c>
      <c r="G62" s="14" t="str">
        <f>IF(Tabla1[[#This Row],[ID]]="","",VLOOKUP(Tabla1[[#This Row],[ID]],Tabla7[],36,FALSE))</f>
        <v>Test</v>
      </c>
      <c r="H62" s="14" t="str">
        <f>IF(Tabla1[[#This Row],[ID]]="","",VLOOKUP(Tabla1[[#This Row],[ID]],Tabla7[],4,FALSE))</f>
        <v>Polyfunctional</v>
      </c>
      <c r="I62" s="16">
        <f>IF(Tabla1[[#This Row],[ID]]="","",VLOOKUP(Tabla1[[#This Row],[ID]],Tabla1[],4,FALSE))</f>
        <v>-11.157670357896796</v>
      </c>
      <c r="J62" s="16">
        <f>Tabla1[[#This Row],[CN Literatura]]-Tabla1[[#This Row],[CN Predicted]]</f>
        <v>-3.1353053705690002</v>
      </c>
    </row>
    <row r="63" spans="1:10" ht="15" customHeight="1" x14ac:dyDescent="0.25">
      <c r="A63" s="1">
        <f>Desgloce!A62</f>
        <v>310</v>
      </c>
      <c r="B63" s="14">
        <f>VLOOKUP(Tabla1[[#This Row],[No]],Tabla7[],7,FALSE)</f>
        <v>29</v>
      </c>
      <c r="C63" s="24">
        <v>18.353055193335202</v>
      </c>
      <c r="D63" s="15">
        <f>(B63-C63)/B63*100</f>
        <v>36.713602781602752</v>
      </c>
      <c r="E63" s="14">
        <f>IF(Tabla1[[#This Row],[% Error1]]&gt;$E$1,Tabla1[[#This Row],[No]],IF(Tabla1[[#This Row],[% Error1]]&lt;-$E$1,Tabla1[[#This Row],[No]],""))</f>
        <v>310</v>
      </c>
      <c r="F63" s="14" t="str">
        <f>IF(Tabla1[[#This Row],[ID]]="","",VLOOKUP(Tabla1[[#This Row],[ID]],Tabla7[],2,FALSE))</f>
        <v>CCC=CCC=CCC=CCCCCCCCC(=O)O</v>
      </c>
      <c r="G63" s="14" t="str">
        <f>IF(Tabla1[[#This Row],[ID]]="","",VLOOKUP(Tabla1[[#This Row],[ID]],Tabla7[],36,FALSE))</f>
        <v>Test</v>
      </c>
      <c r="H63" s="14" t="str">
        <f>IF(Tabla1[[#This Row],[ID]]="","",VLOOKUP(Tabla1[[#This Row],[ID]],Tabla7[],4,FALSE))</f>
        <v>Carboxylic Acids</v>
      </c>
      <c r="I63" s="16">
        <f>IF(Tabla1[[#This Row],[ID]]="","",VLOOKUP(Tabla1[[#This Row],[ID]],Tabla1[],4,FALSE))</f>
        <v>36.713602781602752</v>
      </c>
      <c r="J63" s="16">
        <f>Tabla1[[#This Row],[CN Literatura]]-Tabla1[[#This Row],[CN Predicted]]</f>
        <v>10.646944806664798</v>
      </c>
    </row>
    <row r="64" spans="1:10" ht="15" customHeight="1" x14ac:dyDescent="0.25">
      <c r="A64" s="1">
        <f>Desgloce!A63</f>
        <v>312</v>
      </c>
      <c r="B64" s="14">
        <f>VLOOKUP(Tabla1[[#This Row],[No]],Tabla7[],7,FALSE)</f>
        <v>29</v>
      </c>
      <c r="C64" s="24">
        <v>23.5633924230521</v>
      </c>
      <c r="D64" s="15">
        <f>(B64-C64)/B64*100</f>
        <v>18.746922679130691</v>
      </c>
      <c r="E64" s="14">
        <f>IF(Tabla1[[#This Row],[% Error1]]&gt;$E$1,Tabla1[[#This Row],[No]],IF(Tabla1[[#This Row],[% Error1]]&lt;-$E$1,Tabla1[[#This Row],[No]],""))</f>
        <v>312</v>
      </c>
      <c r="F64" s="14" t="str">
        <f>IF(Tabla1[[#This Row],[ID]]="","",VLOOKUP(Tabla1[[#This Row],[ID]],Tabla7[],2,FALSE))</f>
        <v>C(\C=C/C(=O)OCCCC)(=O)OCCCC</v>
      </c>
      <c r="G64" s="14" t="str">
        <f>IF(Tabla1[[#This Row],[ID]]="","",VLOOKUP(Tabla1[[#This Row],[ID]],Tabla7[],36,FALSE))</f>
        <v>Test</v>
      </c>
      <c r="H64" s="14" t="str">
        <f>IF(Tabla1[[#This Row],[ID]]="","",VLOOKUP(Tabla1[[#This Row],[ID]],Tabla7[],4,FALSE))</f>
        <v>Ester of Dicarboxylic Acids</v>
      </c>
      <c r="I64" s="16">
        <f>IF(Tabla1[[#This Row],[ID]]="","",VLOOKUP(Tabla1[[#This Row],[ID]],Tabla1[],4,FALSE))</f>
        <v>18.746922679130691</v>
      </c>
      <c r="J64" s="16">
        <f>Tabla1[[#This Row],[CN Literatura]]-Tabla1[[#This Row],[CN Predicted]]</f>
        <v>5.4366075769478996</v>
      </c>
    </row>
    <row r="65" spans="1:10" ht="15" customHeight="1" x14ac:dyDescent="0.25">
      <c r="A65" s="1">
        <f>Desgloce!A64</f>
        <v>320</v>
      </c>
      <c r="B65" s="14">
        <f>VLOOKUP(Tabla1[[#This Row],[No]],Tabla7[],7,FALSE)</f>
        <v>29.3</v>
      </c>
      <c r="C65" s="24">
        <v>21.225954856680001</v>
      </c>
      <c r="D65" s="15">
        <f>(B65-C65)/B65*100</f>
        <v>27.556468065938567</v>
      </c>
      <c r="E65" s="14">
        <f>IF(Tabla1[[#This Row],[% Error1]]&gt;$E$1,Tabla1[[#This Row],[No]],IF(Tabla1[[#This Row],[% Error1]]&lt;-$E$1,Tabla1[[#This Row],[No]],""))</f>
        <v>320</v>
      </c>
      <c r="F65" s="14" t="str">
        <f>IF(Tabla1[[#This Row],[ID]]="","",VLOOKUP(Tabla1[[#This Row],[ID]],Tabla7[],2,FALSE))</f>
        <v>CC1(CC(CCC1)C)C</v>
      </c>
      <c r="G65" s="14" t="str">
        <f>IF(Tabla1[[#This Row],[ID]]="","",VLOOKUP(Tabla1[[#This Row],[ID]],Tabla7[],36,FALSE))</f>
        <v>Test</v>
      </c>
      <c r="H65" s="14" t="str">
        <f>IF(Tabla1[[#This Row],[ID]]="","",VLOOKUP(Tabla1[[#This Row],[ID]],Tabla7[],4,FALSE))</f>
        <v>cyclo-alkane</v>
      </c>
      <c r="I65" s="16">
        <f>IF(Tabla1[[#This Row],[ID]]="","",VLOOKUP(Tabla1[[#This Row],[ID]],Tabla1[],4,FALSE))</f>
        <v>27.556468065938567</v>
      </c>
      <c r="J65" s="16">
        <f>Tabla1[[#This Row],[CN Literatura]]-Tabla1[[#This Row],[CN Predicted]]</f>
        <v>8.0740451433199993</v>
      </c>
    </row>
    <row r="66" spans="1:10" ht="15" customHeight="1" x14ac:dyDescent="0.25">
      <c r="A66" s="1">
        <f>Desgloce!A65</f>
        <v>321</v>
      </c>
      <c r="B66" s="14">
        <f>VLOOKUP(Tabla1[[#This Row],[No]],Tabla7[],7,FALSE)</f>
        <v>29.5</v>
      </c>
      <c r="C66" s="24">
        <v>30.1007443868507</v>
      </c>
      <c r="D66" s="15">
        <f>(B66-C66)/B66*100</f>
        <v>-2.0364216503413548</v>
      </c>
      <c r="E66" s="14" t="str">
        <f>IF(Tabla1[[#This Row],[% Error1]]&gt;$E$1,Tabla1[[#This Row],[No]],IF(Tabla1[[#This Row],[% Error1]]&lt;-$E$1,Tabla1[[#This Row],[No]],""))</f>
        <v/>
      </c>
      <c r="F66" s="14" t="str">
        <f>IF(Tabla1[[#This Row],[ID]]="","",VLOOKUP(Tabla1[[#This Row],[ID]],Tabla7[],2,FALSE))</f>
        <v/>
      </c>
      <c r="G66" s="14" t="str">
        <f>IF(Tabla1[[#This Row],[ID]]="","",VLOOKUP(Tabla1[[#This Row],[ID]],Tabla7[],36,FALSE))</f>
        <v/>
      </c>
      <c r="H66" s="14" t="str">
        <f>IF(Tabla1[[#This Row],[ID]]="","",VLOOKUP(Tabla1[[#This Row],[ID]],Tabla7[],4,FALSE))</f>
        <v/>
      </c>
      <c r="I66" s="16" t="str">
        <f>IF(Tabla1[[#This Row],[ID]]="","",VLOOKUP(Tabla1[[#This Row],[ID]],Tabla1[],4,FALSE))</f>
        <v/>
      </c>
      <c r="J66" s="16">
        <f>Tabla1[[#This Row],[CN Literatura]]-Tabla1[[#This Row],[CN Predicted]]</f>
        <v>-0.60074438685069964</v>
      </c>
    </row>
    <row r="67" spans="1:10" ht="15" customHeight="1" x14ac:dyDescent="0.25">
      <c r="A67" s="1">
        <f>Desgloce!A66</f>
        <v>322</v>
      </c>
      <c r="B67" s="14">
        <f>VLOOKUP(Tabla1[[#This Row],[No]],Tabla7[],7,FALSE)</f>
        <v>29.6</v>
      </c>
      <c r="C67" s="24">
        <v>27.329940731442999</v>
      </c>
      <c r="D67" s="15">
        <f>(B67-C67)/B67*100</f>
        <v>7.6691191505304124</v>
      </c>
      <c r="E67" s="14" t="str">
        <f>IF(Tabla1[[#This Row],[% Error1]]&gt;$E$1,Tabla1[[#This Row],[No]],IF(Tabla1[[#This Row],[% Error1]]&lt;-$E$1,Tabla1[[#This Row],[No]],""))</f>
        <v/>
      </c>
      <c r="F67" s="14" t="str">
        <f>IF(Tabla1[[#This Row],[ID]]="","",VLOOKUP(Tabla1[[#This Row],[ID]],Tabla7[],2,FALSE))</f>
        <v/>
      </c>
      <c r="G67" s="14" t="str">
        <f>IF(Tabla1[[#This Row],[ID]]="","",VLOOKUP(Tabla1[[#This Row],[ID]],Tabla7[],36,FALSE))</f>
        <v/>
      </c>
      <c r="H67" s="14" t="str">
        <f>IF(Tabla1[[#This Row],[ID]]="","",VLOOKUP(Tabla1[[#This Row],[ID]],Tabla7[],4,FALSE))</f>
        <v/>
      </c>
      <c r="I67" s="16" t="str">
        <f>IF(Tabla1[[#This Row],[ID]]="","",VLOOKUP(Tabla1[[#This Row],[ID]],Tabla1[],4,FALSE))</f>
        <v/>
      </c>
      <c r="J67" s="16">
        <f>Tabla1[[#This Row],[CN Literatura]]-Tabla1[[#This Row],[CN Predicted]]</f>
        <v>2.2700592685570022</v>
      </c>
    </row>
    <row r="68" spans="1:10" ht="15" customHeight="1" x14ac:dyDescent="0.25">
      <c r="A68" s="1">
        <f>Desgloce!A67</f>
        <v>329</v>
      </c>
      <c r="B68" s="14">
        <f>VLOOKUP(Tabla1[[#This Row],[No]],Tabla7[],7,FALSE)</f>
        <v>30</v>
      </c>
      <c r="C68" s="24">
        <v>35.592873698064601</v>
      </c>
      <c r="D68" s="15">
        <f>(B68-C68)/B68*100</f>
        <v>-18.642912326882001</v>
      </c>
      <c r="E68" s="14">
        <f>IF(Tabla1[[#This Row],[% Error1]]&gt;$E$1,Tabla1[[#This Row],[No]],IF(Tabla1[[#This Row],[% Error1]]&lt;-$E$1,Tabla1[[#This Row],[No]],""))</f>
        <v>329</v>
      </c>
      <c r="F68" s="14" t="str">
        <f>IF(Tabla1[[#This Row],[ID]]="","",VLOOKUP(Tabla1[[#This Row],[ID]],Tabla7[],2,FALSE))</f>
        <v>CCCCC</v>
      </c>
      <c r="G68" s="14" t="str">
        <f>IF(Tabla1[[#This Row],[ID]]="","",VLOOKUP(Tabla1[[#This Row],[ID]],Tabla7[],36,FALSE))</f>
        <v>Test</v>
      </c>
      <c r="H68" s="14" t="str">
        <f>IF(Tabla1[[#This Row],[ID]]="","",VLOOKUP(Tabla1[[#This Row],[ID]],Tabla7[],4,FALSE))</f>
        <v>n-Alkane</v>
      </c>
      <c r="I68" s="16">
        <f>IF(Tabla1[[#This Row],[ID]]="","",VLOOKUP(Tabla1[[#This Row],[ID]],Tabla1[],4,FALSE))</f>
        <v>-18.642912326882001</v>
      </c>
      <c r="J68" s="16">
        <f>Tabla1[[#This Row],[CN Literatura]]-Tabla1[[#This Row],[CN Predicted]]</f>
        <v>-5.5928736980646008</v>
      </c>
    </row>
    <row r="69" spans="1:10" ht="15" customHeight="1" x14ac:dyDescent="0.25">
      <c r="A69" s="1">
        <f>Desgloce!A68</f>
        <v>337</v>
      </c>
      <c r="B69" s="14">
        <f>VLOOKUP(Tabla1[[#This Row],[No]],Tabla7[],7,FALSE)</f>
        <v>31</v>
      </c>
      <c r="C69" s="24">
        <v>36.078691399337401</v>
      </c>
      <c r="D69" s="15">
        <f>(B69-C69)/B69*100</f>
        <v>-16.382875481733553</v>
      </c>
      <c r="E69" s="14">
        <f>IF(Tabla1[[#This Row],[% Error1]]&gt;$E$1,Tabla1[[#This Row],[No]],IF(Tabla1[[#This Row],[% Error1]]&lt;-$E$1,Tabla1[[#This Row],[No]],""))</f>
        <v>337</v>
      </c>
      <c r="F69" s="14" t="str">
        <f>IF(Tabla1[[#This Row],[ID]]="","",VLOOKUP(Tabla1[[#This Row],[ID]],Tabla7[],2,FALSE))</f>
        <v>C(CCCCCCC)C1CCCC2CCCCC12</v>
      </c>
      <c r="G69" s="14" t="str">
        <f>IF(Tabla1[[#This Row],[ID]]="","",VLOOKUP(Tabla1[[#This Row],[ID]],Tabla7[],36,FALSE))</f>
        <v>Test</v>
      </c>
      <c r="H69" s="14" t="str">
        <f>IF(Tabla1[[#This Row],[ID]]="","",VLOOKUP(Tabla1[[#This Row],[ID]],Tabla7[],4,FALSE))</f>
        <v>cyclo-alkane</v>
      </c>
      <c r="I69" s="16">
        <f>IF(Tabla1[[#This Row],[ID]]="","",VLOOKUP(Tabla1[[#This Row],[ID]],Tabla1[],4,FALSE))</f>
        <v>-16.382875481733553</v>
      </c>
      <c r="J69" s="16">
        <f>Tabla1[[#This Row],[CN Literatura]]-Tabla1[[#This Row],[CN Predicted]]</f>
        <v>-5.0786913993374014</v>
      </c>
    </row>
    <row r="70" spans="1:10" ht="15" customHeight="1" x14ac:dyDescent="0.25">
      <c r="A70" s="1">
        <f>Desgloce!A69</f>
        <v>342</v>
      </c>
      <c r="B70" s="14">
        <f>VLOOKUP(Tabla1[[#This Row],[No]],Tabla7[],7,FALSE)</f>
        <v>32</v>
      </c>
      <c r="C70" s="24">
        <v>34.5435584207125</v>
      </c>
      <c r="D70" s="15">
        <f>(B70-C70)/B70*100</f>
        <v>-7.9486200647265637</v>
      </c>
      <c r="E70" s="14" t="str">
        <f>IF(Tabla1[[#This Row],[% Error1]]&gt;$E$1,Tabla1[[#This Row],[No]],IF(Tabla1[[#This Row],[% Error1]]&lt;-$E$1,Tabla1[[#This Row],[No]],""))</f>
        <v/>
      </c>
      <c r="F70" s="14" t="str">
        <f>IF(Tabla1[[#This Row],[ID]]="","",VLOOKUP(Tabla1[[#This Row],[ID]],Tabla7[],2,FALSE))</f>
        <v/>
      </c>
      <c r="G70" s="14" t="str">
        <f>IF(Tabla1[[#This Row],[ID]]="","",VLOOKUP(Tabla1[[#This Row],[ID]],Tabla7[],36,FALSE))</f>
        <v/>
      </c>
      <c r="H70" s="14" t="str">
        <f>IF(Tabla1[[#This Row],[ID]]="","",VLOOKUP(Tabla1[[#This Row],[ID]],Tabla7[],4,FALSE))</f>
        <v/>
      </c>
      <c r="I70" s="16" t="str">
        <f>IF(Tabla1[[#This Row],[ID]]="","",VLOOKUP(Tabla1[[#This Row],[ID]],Tabla1[],4,FALSE))</f>
        <v/>
      </c>
      <c r="J70" s="16">
        <f>Tabla1[[#This Row],[CN Literatura]]-Tabla1[[#This Row],[CN Predicted]]</f>
        <v>-2.5435584207125004</v>
      </c>
    </row>
    <row r="71" spans="1:10" ht="15" customHeight="1" x14ac:dyDescent="0.25">
      <c r="A71" s="1">
        <f>Desgloce!A70</f>
        <v>348</v>
      </c>
      <c r="B71" s="14">
        <f>VLOOKUP(Tabla1[[#This Row],[No]],Tabla7[],7,FALSE)</f>
        <v>32.200000000000003</v>
      </c>
      <c r="C71" s="24">
        <v>27.0598103140386</v>
      </c>
      <c r="D71" s="15">
        <f>(B71-C71)/B71*100</f>
        <v>15.96332200609131</v>
      </c>
      <c r="E71" s="14">
        <f>IF(Tabla1[[#This Row],[% Error1]]&gt;$E$1,Tabla1[[#This Row],[No]],IF(Tabla1[[#This Row],[% Error1]]&lt;-$E$1,Tabla1[[#This Row],[No]],""))</f>
        <v>348</v>
      </c>
      <c r="F71" s="14" t="str">
        <f>IF(Tabla1[[#This Row],[ID]]="","",VLOOKUP(Tabla1[[#This Row],[ID]],Tabla7[],2,FALSE))</f>
        <v>CC1=CC/C(=C(/C)\CCC=C(C)C)/CC1</v>
      </c>
      <c r="G71" s="14" t="str">
        <f>IF(Tabla1[[#This Row],[ID]]="","",VLOOKUP(Tabla1[[#This Row],[ID]],Tabla7[],36,FALSE))</f>
        <v>Test</v>
      </c>
      <c r="H71" s="14" t="str">
        <f>IF(Tabla1[[#This Row],[ID]]="","",VLOOKUP(Tabla1[[#This Row],[ID]],Tabla7[],4,FALSE))</f>
        <v>Alkene</v>
      </c>
      <c r="I71" s="16">
        <f>IF(Tabla1[[#This Row],[ID]]="","",VLOOKUP(Tabla1[[#This Row],[ID]],Tabla1[],4,FALSE))</f>
        <v>15.96332200609131</v>
      </c>
      <c r="J71" s="16">
        <f>Tabla1[[#This Row],[CN Literatura]]-Tabla1[[#This Row],[CN Predicted]]</f>
        <v>5.1401896859614027</v>
      </c>
    </row>
    <row r="72" spans="1:10" ht="15" customHeight="1" x14ac:dyDescent="0.25">
      <c r="A72" s="1">
        <f>Desgloce!A71</f>
        <v>359</v>
      </c>
      <c r="B72" s="14">
        <f>VLOOKUP(Tabla1[[#This Row],[No]],Tabla7[],7,FALSE)</f>
        <v>34</v>
      </c>
      <c r="C72" s="24">
        <v>32.486656120674702</v>
      </c>
      <c r="D72" s="15">
        <f>(B72-C72)/B72*100</f>
        <v>4.4510114097802873</v>
      </c>
      <c r="E72" s="14" t="str">
        <f>IF(Tabla1[[#This Row],[% Error1]]&gt;$E$1,Tabla1[[#This Row],[No]],IF(Tabla1[[#This Row],[% Error1]]&lt;-$E$1,Tabla1[[#This Row],[No]],""))</f>
        <v/>
      </c>
      <c r="F72" s="14" t="str">
        <f>IF(Tabla1[[#This Row],[ID]]="","",VLOOKUP(Tabla1[[#This Row],[ID]],Tabla7[],2,FALSE))</f>
        <v/>
      </c>
      <c r="G72" s="14" t="str">
        <f>IF(Tabla1[[#This Row],[ID]]="","",VLOOKUP(Tabla1[[#This Row],[ID]],Tabla7[],36,FALSE))</f>
        <v/>
      </c>
      <c r="H72" s="14" t="str">
        <f>IF(Tabla1[[#This Row],[ID]]="","",VLOOKUP(Tabla1[[#This Row],[ID]],Tabla7[],4,FALSE))</f>
        <v/>
      </c>
      <c r="I72" s="16" t="str">
        <f>IF(Tabla1[[#This Row],[ID]]="","",VLOOKUP(Tabla1[[#This Row],[ID]],Tabla1[],4,FALSE))</f>
        <v/>
      </c>
      <c r="J72" s="16">
        <f>Tabla1[[#This Row],[CN Literatura]]-Tabla1[[#This Row],[CN Predicted]]</f>
        <v>1.5133438793252978</v>
      </c>
    </row>
    <row r="73" spans="1:10" ht="15" customHeight="1" x14ac:dyDescent="0.25">
      <c r="A73" s="1">
        <f>Desgloce!A72</f>
        <v>366</v>
      </c>
      <c r="B73" s="14">
        <f>VLOOKUP(Tabla1[[#This Row],[No]],Tabla7[],7,FALSE)</f>
        <v>35</v>
      </c>
      <c r="C73" s="24">
        <v>31.154083913072601</v>
      </c>
      <c r="D73" s="15">
        <f>(B73-C73)/B73*100</f>
        <v>10.988331676935427</v>
      </c>
      <c r="E73" s="14">
        <f>IF(Tabla1[[#This Row],[% Error1]]&gt;$E$1,Tabla1[[#This Row],[No]],IF(Tabla1[[#This Row],[% Error1]]&lt;-$E$1,Tabla1[[#This Row],[No]],""))</f>
        <v>366</v>
      </c>
      <c r="F73" s="14" t="str">
        <f>IF(Tabla1[[#This Row],[ID]]="","",VLOOKUP(Tabla1[[#This Row],[ID]],Tabla7[],2,FALSE))</f>
        <v>CCCCCCCc1ccccc1</v>
      </c>
      <c r="G73" s="14" t="str">
        <f>IF(Tabla1[[#This Row],[ID]]="","",VLOOKUP(Tabla1[[#This Row],[ID]],Tabla7[],36,FALSE))</f>
        <v>Test</v>
      </c>
      <c r="H73" s="14" t="str">
        <f>IF(Tabla1[[#This Row],[ID]]="","",VLOOKUP(Tabla1[[#This Row],[ID]],Tabla7[],4,FALSE))</f>
        <v>Aromatic</v>
      </c>
      <c r="I73" s="24">
        <f>IF(Tabla1[[#This Row],[ID]]="","",VLOOKUP(Tabla1[[#This Row],[ID]],Tabla1[],4,FALSE))</f>
        <v>10.988331676935427</v>
      </c>
      <c r="J73" s="16">
        <f>Tabla1[[#This Row],[CN Literatura]]-Tabla1[[#This Row],[CN Predicted]]</f>
        <v>3.8459160869273994</v>
      </c>
    </row>
    <row r="74" spans="1:10" ht="15" customHeight="1" x14ac:dyDescent="0.25">
      <c r="A74" s="1">
        <f>Desgloce!A73</f>
        <v>374</v>
      </c>
      <c r="B74" s="14">
        <f>VLOOKUP(Tabla1[[#This Row],[No]],Tabla7[],7,FALSE)</f>
        <v>36</v>
      </c>
      <c r="C74" s="24">
        <v>40.561026110927699</v>
      </c>
      <c r="D74" s="15">
        <f>(B74-C74)/B74*100</f>
        <v>-12.669516974799164</v>
      </c>
      <c r="E74" s="14">
        <f>IF(Tabla1[[#This Row],[% Error1]]&gt;$E$1,Tabla1[[#This Row],[No]],IF(Tabla1[[#This Row],[% Error1]]&lt;-$E$1,Tabla1[[#This Row],[No]],""))</f>
        <v>374</v>
      </c>
      <c r="F74" s="14" t="str">
        <f>IF(Tabla1[[#This Row],[ID]]="","",VLOOKUP(Tabla1[[#This Row],[ID]],Tabla7[],2,FALSE))</f>
        <v>CCCC(CC)C1CCCCC1</v>
      </c>
      <c r="G74" s="14" t="str">
        <f>IF(Tabla1[[#This Row],[ID]]="","",VLOOKUP(Tabla1[[#This Row],[ID]],Tabla7[],36,FALSE))</f>
        <v>Test</v>
      </c>
      <c r="H74" s="14" t="str">
        <f>IF(Tabla1[[#This Row],[ID]]="","",VLOOKUP(Tabla1[[#This Row],[ID]],Tabla7[],4,FALSE))</f>
        <v>cyclo-alkane</v>
      </c>
      <c r="I74" s="16">
        <f>IF(Tabla1[[#This Row],[ID]]="","",VLOOKUP(Tabla1[[#This Row],[ID]],Tabla1[],4,FALSE))</f>
        <v>-12.669516974799164</v>
      </c>
      <c r="J74" s="16">
        <f>Tabla1[[#This Row],[CN Literatura]]-Tabla1[[#This Row],[CN Predicted]]</f>
        <v>-4.5610261109276991</v>
      </c>
    </row>
    <row r="75" spans="1:10" ht="15" customHeight="1" x14ac:dyDescent="0.25">
      <c r="A75" s="1">
        <f>Desgloce!A74</f>
        <v>381</v>
      </c>
      <c r="B75" s="14">
        <f>VLOOKUP(Tabla1[[#This Row],[No]],Tabla7[],7,FALSE)</f>
        <v>36.6</v>
      </c>
      <c r="C75" s="24">
        <v>37.298045038373701</v>
      </c>
      <c r="D75" s="15">
        <f>(B75-C75)/B75*100</f>
        <v>-1.9072268808024571</v>
      </c>
      <c r="E75" s="14" t="str">
        <f>IF(Tabla1[[#This Row],[% Error1]]&gt;$E$1,Tabla1[[#This Row],[No]],IF(Tabla1[[#This Row],[% Error1]]&lt;-$E$1,Tabla1[[#This Row],[No]],""))</f>
        <v/>
      </c>
      <c r="F75" s="14" t="str">
        <f>IF(Tabla1[[#This Row],[ID]]="","",VLOOKUP(Tabla1[[#This Row],[ID]],Tabla7[],2,FALSE))</f>
        <v/>
      </c>
      <c r="G75" s="14" t="str">
        <f>IF(Tabla1[[#This Row],[ID]]="","",VLOOKUP(Tabla1[[#This Row],[ID]],Tabla7[],36,FALSE))</f>
        <v/>
      </c>
      <c r="H75" s="14" t="str">
        <f>IF(Tabla1[[#This Row],[ID]]="","",VLOOKUP(Tabla1[[#This Row],[ID]],Tabla7[],4,FALSE))</f>
        <v/>
      </c>
      <c r="I75" s="16" t="str">
        <f>IF(Tabla1[[#This Row],[ID]]="","",VLOOKUP(Tabla1[[#This Row],[ID]],Tabla1[],4,FALSE))</f>
        <v/>
      </c>
      <c r="J75" s="16">
        <f>Tabla1[[#This Row],[CN Literatura]]-Tabla1[[#This Row],[CN Predicted]]</f>
        <v>-0.69804503837369936</v>
      </c>
    </row>
    <row r="76" spans="1:10" ht="15" customHeight="1" x14ac:dyDescent="0.25">
      <c r="A76" s="1">
        <f>Desgloce!A75</f>
        <v>382</v>
      </c>
      <c r="B76" s="14">
        <f>VLOOKUP(Tabla1[[#This Row],[No]],Tabla7[],7,FALSE)</f>
        <v>37</v>
      </c>
      <c r="C76" s="24">
        <v>23.927372168970599</v>
      </c>
      <c r="D76" s="15">
        <f>(B76-C76)/B76*100</f>
        <v>35.331426570349734</v>
      </c>
      <c r="E76" s="14">
        <f>IF(Tabla1[[#This Row],[% Error1]]&gt;$E$1,Tabla1[[#This Row],[No]],IF(Tabla1[[#This Row],[% Error1]]&lt;-$E$1,Tabla1[[#This Row],[No]],""))</f>
        <v>382</v>
      </c>
      <c r="F76" s="14" t="str">
        <f>IF(Tabla1[[#This Row],[ID]]="","",VLOOKUP(Tabla1[[#This Row],[ID]],Tabla7[],2,FALSE))</f>
        <v>CCCCCCCCC(C)(C)C1CCCC2CCCCC12</v>
      </c>
      <c r="G76" s="14" t="str">
        <f>IF(Tabla1[[#This Row],[ID]]="","",VLOOKUP(Tabla1[[#This Row],[ID]],Tabla7[],36,FALSE))</f>
        <v>Test</v>
      </c>
      <c r="H76" s="14" t="str">
        <f>IF(Tabla1[[#This Row],[ID]]="","",VLOOKUP(Tabla1[[#This Row],[ID]],Tabla7[],4,FALSE))</f>
        <v>cyclo-alkane</v>
      </c>
      <c r="I76" s="16">
        <f>IF(Tabla1[[#This Row],[ID]]="","",VLOOKUP(Tabla1[[#This Row],[ID]],Tabla1[],4,FALSE))</f>
        <v>35.331426570349734</v>
      </c>
      <c r="J76" s="16">
        <f>Tabla1[[#This Row],[CN Literatura]]-Tabla1[[#This Row],[CN Predicted]]</f>
        <v>13.072627831029401</v>
      </c>
    </row>
    <row r="77" spans="1:10" ht="15" customHeight="1" x14ac:dyDescent="0.25">
      <c r="A77" s="1">
        <f>Desgloce!A76</f>
        <v>387</v>
      </c>
      <c r="B77" s="14">
        <f>VLOOKUP(Tabla1[[#This Row],[No]],Tabla7[],7,FALSE)</f>
        <v>38</v>
      </c>
      <c r="C77" s="24">
        <v>33.791489401865597</v>
      </c>
      <c r="D77" s="15">
        <f>(B77-C77)/B77*100</f>
        <v>11.075027889827375</v>
      </c>
      <c r="E77" s="14">
        <f>IF(Tabla1[[#This Row],[% Error1]]&gt;$E$1,Tabla1[[#This Row],[No]],IF(Tabla1[[#This Row],[% Error1]]&lt;-$E$1,Tabla1[[#This Row],[No]],""))</f>
        <v>387</v>
      </c>
      <c r="F77" s="14" t="str">
        <f>IF(Tabla1[[#This Row],[ID]]="","",VLOOKUP(Tabla1[[#This Row],[ID]],Tabla7[],2,FALSE))</f>
        <v>C=CC1CCCCC1</v>
      </c>
      <c r="G77" s="14" t="str">
        <f>IF(Tabla1[[#This Row],[ID]]="","",VLOOKUP(Tabla1[[#This Row],[ID]],Tabla7[],36,FALSE))</f>
        <v>Test</v>
      </c>
      <c r="H77" s="14" t="str">
        <f>IF(Tabla1[[#This Row],[ID]]="","",VLOOKUP(Tabla1[[#This Row],[ID]],Tabla7[],4,FALSE))</f>
        <v>Alkene</v>
      </c>
      <c r="I77" s="16">
        <f>IF(Tabla1[[#This Row],[ID]]="","",VLOOKUP(Tabla1[[#This Row],[ID]],Tabla1[],4,FALSE))</f>
        <v>11.075027889827375</v>
      </c>
      <c r="J77" s="16">
        <f>Tabla1[[#This Row],[CN Literatura]]-Tabla1[[#This Row],[CN Predicted]]</f>
        <v>4.2085105981344029</v>
      </c>
    </row>
    <row r="78" spans="1:10" ht="15" customHeight="1" x14ac:dyDescent="0.25">
      <c r="A78" s="1">
        <f>Desgloce!A77</f>
        <v>394</v>
      </c>
      <c r="B78" s="14">
        <f>VLOOKUP(Tabla1[[#This Row],[No]],Tabla7[],7,FALSE)</f>
        <v>38.299999999999997</v>
      </c>
      <c r="C78" s="24">
        <v>42.067674490161501</v>
      </c>
      <c r="D78" s="15">
        <f>(B78-C78)/B78*100</f>
        <v>-9.8372702092989659</v>
      </c>
      <c r="E78" s="14" t="str">
        <f>IF(Tabla1[[#This Row],[% Error1]]&gt;$E$1,Tabla1[[#This Row],[No]],IF(Tabla1[[#This Row],[% Error1]]&lt;-$E$1,Tabla1[[#This Row],[No]],""))</f>
        <v/>
      </c>
      <c r="F78" s="14" t="str">
        <f>IF(Tabla1[[#This Row],[ID]]="","",VLOOKUP(Tabla1[[#This Row],[ID]],Tabla7[],2,FALSE))</f>
        <v/>
      </c>
      <c r="G78" s="14" t="str">
        <f>IF(Tabla1[[#This Row],[ID]]="","",VLOOKUP(Tabla1[[#This Row],[ID]],Tabla7[],36,FALSE))</f>
        <v/>
      </c>
      <c r="H78" s="14" t="str">
        <f>IF(Tabla1[[#This Row],[ID]]="","",VLOOKUP(Tabla1[[#This Row],[ID]],Tabla7[],4,FALSE))</f>
        <v/>
      </c>
      <c r="I78" s="16" t="str">
        <f>IF(Tabla1[[#This Row],[ID]]="","",VLOOKUP(Tabla1[[#This Row],[ID]],Tabla1[],4,FALSE))</f>
        <v/>
      </c>
      <c r="J78" s="16">
        <f>Tabla1[[#This Row],[CN Literatura]]-Tabla1[[#This Row],[CN Predicted]]</f>
        <v>-3.7676744901615038</v>
      </c>
    </row>
    <row r="79" spans="1:10" ht="15" customHeight="1" x14ac:dyDescent="0.25">
      <c r="A79" s="1">
        <f>Desgloce!A78</f>
        <v>404</v>
      </c>
      <c r="B79" s="14">
        <f>VLOOKUP(Tabla1[[#This Row],[No]],Tabla7[],7,FALSE)</f>
        <v>39</v>
      </c>
      <c r="C79" s="24">
        <v>38.675821634236698</v>
      </c>
      <c r="D79" s="15">
        <f>(B79-C79)/B79*100</f>
        <v>0.83122657888026197</v>
      </c>
      <c r="E79" s="14" t="str">
        <f>IF(Tabla1[[#This Row],[% Error1]]&gt;$E$1,Tabla1[[#This Row],[No]],IF(Tabla1[[#This Row],[% Error1]]&lt;-$E$1,Tabla1[[#This Row],[No]],""))</f>
        <v/>
      </c>
      <c r="F79" s="14" t="str">
        <f>IF(Tabla1[[#This Row],[ID]]="","",VLOOKUP(Tabla1[[#This Row],[ID]],Tabla7[],2,FALSE))</f>
        <v/>
      </c>
      <c r="G79" s="14" t="str">
        <f>IF(Tabla1[[#This Row],[ID]]="","",VLOOKUP(Tabla1[[#This Row],[ID]],Tabla7[],36,FALSE))</f>
        <v/>
      </c>
      <c r="H79" s="14" t="str">
        <f>IF(Tabla1[[#This Row],[ID]]="","",VLOOKUP(Tabla1[[#This Row],[ID]],Tabla7[],4,FALSE))</f>
        <v/>
      </c>
      <c r="I79" s="16" t="str">
        <f>IF(Tabla1[[#This Row],[ID]]="","",VLOOKUP(Tabla1[[#This Row],[ID]],Tabla1[],4,FALSE))</f>
        <v/>
      </c>
      <c r="J79" s="16">
        <f>Tabla1[[#This Row],[CN Literatura]]-Tabla1[[#This Row],[CN Predicted]]</f>
        <v>0.32417836576330217</v>
      </c>
    </row>
    <row r="80" spans="1:10" ht="15" customHeight="1" x14ac:dyDescent="0.25">
      <c r="A80" s="1">
        <f>Desgloce!A79</f>
        <v>412</v>
      </c>
      <c r="B80" s="14">
        <f>VLOOKUP(Tabla1[[#This Row],[No]],Tabla7[],7,FALSE)</f>
        <v>39.4</v>
      </c>
      <c r="C80" s="24">
        <v>44.545182271082602</v>
      </c>
      <c r="D80" s="15">
        <f>(B80-C80)/B80*100</f>
        <v>-13.058838251478692</v>
      </c>
      <c r="E80" s="14">
        <f>IF(Tabla1[[#This Row],[% Error1]]&gt;$E$1,Tabla1[[#This Row],[No]],IF(Tabla1[[#This Row],[% Error1]]&lt;-$E$1,Tabla1[[#This Row],[No]],""))</f>
        <v>412</v>
      </c>
      <c r="F80" s="14" t="str">
        <f>IF(Tabla1[[#This Row],[ID]]="","",VLOOKUP(Tabla1[[#This Row],[ID]],Tabla7[],2,FALSE))</f>
        <v>C1CCC[C@@H]2CCCC[C@H]12</v>
      </c>
      <c r="G80" s="14" t="str">
        <f>IF(Tabla1[[#This Row],[ID]]="","",VLOOKUP(Tabla1[[#This Row],[ID]],Tabla7[],36,FALSE))</f>
        <v>Test</v>
      </c>
      <c r="H80" s="14" t="str">
        <f>IF(Tabla1[[#This Row],[ID]]="","",VLOOKUP(Tabla1[[#This Row],[ID]],Tabla7[],4,FALSE))</f>
        <v>cyclo-alkane</v>
      </c>
      <c r="I80" s="16">
        <f>IF(Tabla1[[#This Row],[ID]]="","",VLOOKUP(Tabla1[[#This Row],[ID]],Tabla1[],4,FALSE))</f>
        <v>-13.058838251478692</v>
      </c>
      <c r="J80" s="16">
        <f>Tabla1[[#This Row],[CN Literatura]]-Tabla1[[#This Row],[CN Predicted]]</f>
        <v>-5.1451822710826036</v>
      </c>
    </row>
    <row r="81" spans="1:10" ht="15" customHeight="1" x14ac:dyDescent="0.25">
      <c r="A81" s="1">
        <f>Desgloce!A80</f>
        <v>414</v>
      </c>
      <c r="B81" s="14">
        <f>VLOOKUP(Tabla1[[#This Row],[No]],Tabla7[],7,FALSE)</f>
        <v>39.6</v>
      </c>
      <c r="C81" s="24">
        <v>42.800830846550497</v>
      </c>
      <c r="D81" s="15">
        <f>(B81-C81)/B81*100</f>
        <v>-8.0829061781578151</v>
      </c>
      <c r="E81" s="14" t="str">
        <f>IF(Tabla1[[#This Row],[% Error1]]&gt;$E$1,Tabla1[[#This Row],[No]],IF(Tabla1[[#This Row],[% Error1]]&lt;-$E$1,Tabla1[[#This Row],[No]],""))</f>
        <v/>
      </c>
      <c r="F81" s="14" t="str">
        <f>IF(Tabla1[[#This Row],[ID]]="","",VLOOKUP(Tabla1[[#This Row],[ID]],Tabla7[],2,FALSE))</f>
        <v/>
      </c>
      <c r="G81" s="14" t="str">
        <f>IF(Tabla1[[#This Row],[ID]]="","",VLOOKUP(Tabla1[[#This Row],[ID]],Tabla7[],36,FALSE))</f>
        <v/>
      </c>
      <c r="H81" s="14" t="str">
        <f>IF(Tabla1[[#This Row],[ID]]="","",VLOOKUP(Tabla1[[#This Row],[ID]],Tabla7[],4,FALSE))</f>
        <v/>
      </c>
      <c r="I81" s="16" t="str">
        <f>IF(Tabla1[[#This Row],[ID]]="","",VLOOKUP(Tabla1[[#This Row],[ID]],Tabla1[],4,FALSE))</f>
        <v/>
      </c>
      <c r="J81" s="16">
        <f>Tabla1[[#This Row],[CN Literatura]]-Tabla1[[#This Row],[CN Predicted]]</f>
        <v>-3.2008308465504953</v>
      </c>
    </row>
    <row r="82" spans="1:10" ht="15" customHeight="1" x14ac:dyDescent="0.25">
      <c r="A82" s="1">
        <f>Desgloce!A81</f>
        <v>417</v>
      </c>
      <c r="B82" s="14">
        <f>VLOOKUP(Tabla1[[#This Row],[No]],Tabla7[],7,FALSE)</f>
        <v>39.79</v>
      </c>
      <c r="C82" s="24">
        <v>-3.4439445375114399</v>
      </c>
      <c r="D82" s="15">
        <f>(B82-C82)/B82*100</f>
        <v>108.65530167758592</v>
      </c>
      <c r="E82" s="14">
        <f>IF(Tabla1[[#This Row],[% Error1]]&gt;$E$1,Tabla1[[#This Row],[No]],IF(Tabla1[[#This Row],[% Error1]]&lt;-$E$1,Tabla1[[#This Row],[No]],""))</f>
        <v>417</v>
      </c>
      <c r="F82" s="14" t="str">
        <f>IF(Tabla1[[#This Row],[ID]]="","",VLOOKUP(Tabla1[[#This Row],[ID]],Tabla7[],2,FALSE))</f>
        <v>Cc1ccc2cc(ccc2c1)C</v>
      </c>
      <c r="G82" s="14" t="str">
        <f>IF(Tabla1[[#This Row],[ID]]="","",VLOOKUP(Tabla1[[#This Row],[ID]],Tabla7[],36,FALSE))</f>
        <v>Test</v>
      </c>
      <c r="H82" s="14" t="str">
        <f>IF(Tabla1[[#This Row],[ID]]="","",VLOOKUP(Tabla1[[#This Row],[ID]],Tabla7[],4,FALSE))</f>
        <v>Aromatic</v>
      </c>
      <c r="I82" s="24">
        <f>IF(Tabla1[[#This Row],[ID]]="","",VLOOKUP(Tabla1[[#This Row],[ID]],Tabla1[],4,FALSE))</f>
        <v>108.65530167758592</v>
      </c>
      <c r="J82" s="16">
        <f>Tabla1[[#This Row],[CN Literatura]]-Tabla1[[#This Row],[CN Predicted]]</f>
        <v>43.233944537511441</v>
      </c>
    </row>
    <row r="83" spans="1:10" ht="15" customHeight="1" x14ac:dyDescent="0.25">
      <c r="A83" s="1">
        <f>Desgloce!A82</f>
        <v>419</v>
      </c>
      <c r="B83" s="14">
        <f>VLOOKUP(Tabla1[[#This Row],[No]],Tabla7[],7,FALSE)</f>
        <v>40</v>
      </c>
      <c r="C83" s="24">
        <v>42.434003395821698</v>
      </c>
      <c r="D83" s="15">
        <f>(B83-C83)/B83*100</f>
        <v>-6.0850084895542444</v>
      </c>
      <c r="E83" s="14" t="str">
        <f>IF(Tabla1[[#This Row],[% Error1]]&gt;$E$1,Tabla1[[#This Row],[No]],IF(Tabla1[[#This Row],[% Error1]]&lt;-$E$1,Tabla1[[#This Row],[No]],""))</f>
        <v/>
      </c>
      <c r="F83" s="14" t="str">
        <f>IF(Tabla1[[#This Row],[ID]]="","",VLOOKUP(Tabla1[[#This Row],[ID]],Tabla7[],2,FALSE))</f>
        <v/>
      </c>
      <c r="G83" s="14" t="str">
        <f>IF(Tabla1[[#This Row],[ID]]="","",VLOOKUP(Tabla1[[#This Row],[ID]],Tabla7[],36,FALSE))</f>
        <v/>
      </c>
      <c r="H83" s="14" t="str">
        <f>IF(Tabla1[[#This Row],[ID]]="","",VLOOKUP(Tabla1[[#This Row],[ID]],Tabla7[],4,FALSE))</f>
        <v/>
      </c>
      <c r="I83" s="16" t="str">
        <f>IF(Tabla1[[#This Row],[ID]]="","",VLOOKUP(Tabla1[[#This Row],[ID]],Tabla1[],4,FALSE))</f>
        <v/>
      </c>
      <c r="J83" s="16">
        <f>Tabla1[[#This Row],[CN Literatura]]-Tabla1[[#This Row],[CN Predicted]]</f>
        <v>-2.4340033958216978</v>
      </c>
    </row>
    <row r="84" spans="1:10" ht="15" customHeight="1" x14ac:dyDescent="0.25">
      <c r="A84" s="1">
        <f>Desgloce!A83</f>
        <v>423</v>
      </c>
      <c r="B84" s="14">
        <f>VLOOKUP(Tabla1[[#This Row],[No]],Tabla7[],7,FALSE)</f>
        <v>40</v>
      </c>
      <c r="C84" s="24">
        <v>22.903504182958599</v>
      </c>
      <c r="D84" s="15">
        <f>(B84-C84)/B84*100</f>
        <v>42.741239542603502</v>
      </c>
      <c r="E84" s="14">
        <f>IF(Tabla1[[#This Row],[% Error1]]&gt;$E$1,Tabla1[[#This Row],[No]],IF(Tabla1[[#This Row],[% Error1]]&lt;-$E$1,Tabla1[[#This Row],[No]],""))</f>
        <v>423</v>
      </c>
      <c r="F84" s="14" t="str">
        <f>IF(Tabla1[[#This Row],[ID]]="","",VLOOKUP(Tabla1[[#This Row],[ID]],Tabla7[],2,FALSE))</f>
        <v>CC(C)(CCCC)C</v>
      </c>
      <c r="G84" s="14" t="str">
        <f>IF(Tabla1[[#This Row],[ID]]="","",VLOOKUP(Tabla1[[#This Row],[ID]],Tabla7[],36,FALSE))</f>
        <v>Test</v>
      </c>
      <c r="H84" s="14" t="str">
        <f>IF(Tabla1[[#This Row],[ID]]="","",VLOOKUP(Tabla1[[#This Row],[ID]],Tabla7[],4,FALSE))</f>
        <v>iso-alkane</v>
      </c>
      <c r="I84" s="16">
        <f>IF(Tabla1[[#This Row],[ID]]="","",VLOOKUP(Tabla1[[#This Row],[ID]],Tabla1[],4,FALSE))</f>
        <v>42.741239542603502</v>
      </c>
      <c r="J84" s="16">
        <f>Tabla1[[#This Row],[CN Literatura]]-Tabla1[[#This Row],[CN Predicted]]</f>
        <v>17.096495817041401</v>
      </c>
    </row>
    <row r="85" spans="1:10" ht="15" customHeight="1" x14ac:dyDescent="0.25">
      <c r="A85" s="1">
        <f>Desgloce!A84</f>
        <v>426</v>
      </c>
      <c r="B85" s="14">
        <f>VLOOKUP(Tabla1[[#This Row],[No]],Tabla7[],7,FALSE)</f>
        <v>40</v>
      </c>
      <c r="C85" s="24">
        <v>44.126421024713601</v>
      </c>
      <c r="D85" s="15">
        <f>(B85-C85)/B85*100</f>
        <v>-10.316052561784002</v>
      </c>
      <c r="E85" s="14">
        <f>IF(Tabla1[[#This Row],[% Error1]]&gt;$E$1,Tabla1[[#This Row],[No]],IF(Tabla1[[#This Row],[% Error1]]&lt;-$E$1,Tabla1[[#This Row],[No]],""))</f>
        <v>426</v>
      </c>
      <c r="F85" s="14" t="str">
        <f>IF(Tabla1[[#This Row],[ID]]="","",VLOOKUP(Tabla1[[#This Row],[ID]],Tabla7[],2,FALSE))</f>
        <v>CCCCCC[C@H](C)[C@@H](C)CCCCCC</v>
      </c>
      <c r="G85" s="14" t="str">
        <f>IF(Tabla1[[#This Row],[ID]]="","",VLOOKUP(Tabla1[[#This Row],[ID]],Tabla7[],36,FALSE))</f>
        <v>Test</v>
      </c>
      <c r="H85" s="14" t="str">
        <f>IF(Tabla1[[#This Row],[ID]]="","",VLOOKUP(Tabla1[[#This Row],[ID]],Tabla7[],4,FALSE))</f>
        <v>n-Alkane</v>
      </c>
      <c r="I85" s="16">
        <f>IF(Tabla1[[#This Row],[ID]]="","",VLOOKUP(Tabla1[[#This Row],[ID]],Tabla1[],4,FALSE))</f>
        <v>-10.316052561784002</v>
      </c>
      <c r="J85" s="16">
        <f>Tabla1[[#This Row],[CN Literatura]]-Tabla1[[#This Row],[CN Predicted]]</f>
        <v>-4.1264210247136006</v>
      </c>
    </row>
    <row r="86" spans="1:10" ht="15" customHeight="1" x14ac:dyDescent="0.25">
      <c r="A86" s="1">
        <f>Desgloce!A85</f>
        <v>427</v>
      </c>
      <c r="B86" s="14">
        <f>VLOOKUP(Tabla1[[#This Row],[No]],Tabla7[],7,FALSE)</f>
        <v>40.5</v>
      </c>
      <c r="C86" s="24">
        <v>46.450192060789</v>
      </c>
      <c r="D86" s="15">
        <f>(B86-C86)/B86*100</f>
        <v>-14.691832248861727</v>
      </c>
      <c r="E86" s="14">
        <f>IF(Tabla1[[#This Row],[% Error1]]&gt;$E$1,Tabla1[[#This Row],[No]],IF(Tabla1[[#This Row],[% Error1]]&lt;-$E$1,Tabla1[[#This Row],[No]],""))</f>
        <v>427</v>
      </c>
      <c r="F86" s="14" t="str">
        <f>IF(Tabla1[[#This Row],[ID]]="","",VLOOKUP(Tabla1[[#This Row],[ID]],Tabla7[],2,FALSE))</f>
        <v>CCCCCCC1CCC(=O)O1</v>
      </c>
      <c r="G86" s="14" t="str">
        <f>IF(Tabla1[[#This Row],[ID]]="","",VLOOKUP(Tabla1[[#This Row],[ID]],Tabla7[],36,FALSE))</f>
        <v>Test</v>
      </c>
      <c r="H86" s="14" t="str">
        <f>IF(Tabla1[[#This Row],[ID]]="","",VLOOKUP(Tabla1[[#This Row],[ID]],Tabla7[],4,FALSE))</f>
        <v>Ester</v>
      </c>
      <c r="I86" s="16">
        <f>IF(Tabla1[[#This Row],[ID]]="","",VLOOKUP(Tabla1[[#This Row],[ID]],Tabla1[],4,FALSE))</f>
        <v>-14.691832248861727</v>
      </c>
      <c r="J86" s="16">
        <f>Tabla1[[#This Row],[CN Literatura]]-Tabla1[[#This Row],[CN Predicted]]</f>
        <v>-5.950192060789</v>
      </c>
    </row>
    <row r="87" spans="1:10" ht="15" customHeight="1" x14ac:dyDescent="0.25">
      <c r="A87" s="1">
        <f>Desgloce!A86</f>
        <v>428</v>
      </c>
      <c r="B87" s="14">
        <f>VLOOKUP(Tabla1[[#This Row],[No]],Tabla7[],7,FALSE)</f>
        <v>40.5</v>
      </c>
      <c r="C87" s="24">
        <v>35.3079619529152</v>
      </c>
      <c r="D87" s="15">
        <f>(B87-C87)/B87*100</f>
        <v>12.819847029839012</v>
      </c>
      <c r="E87" s="14">
        <f>IF(Tabla1[[#This Row],[% Error1]]&gt;$E$1,Tabla1[[#This Row],[No]],IF(Tabla1[[#This Row],[% Error1]]&lt;-$E$1,Tabla1[[#This Row],[No]],""))</f>
        <v>428</v>
      </c>
      <c r="F87" s="14" t="str">
        <f>IF(Tabla1[[#This Row],[ID]]="","",VLOOKUP(Tabla1[[#This Row],[ID]],Tabla7[],2,FALSE))</f>
        <v>CCCCC1CCCCC(=O)O1</v>
      </c>
      <c r="G87" s="14" t="str">
        <f>IF(Tabla1[[#This Row],[ID]]="","",VLOOKUP(Tabla1[[#This Row],[ID]],Tabla7[],36,FALSE))</f>
        <v>Test</v>
      </c>
      <c r="H87" s="14" t="str">
        <f>IF(Tabla1[[#This Row],[ID]]="","",VLOOKUP(Tabla1[[#This Row],[ID]],Tabla7[],4,FALSE))</f>
        <v>Lactone</v>
      </c>
      <c r="I87" s="16">
        <f>IF(Tabla1[[#This Row],[ID]]="","",VLOOKUP(Tabla1[[#This Row],[ID]],Tabla1[],4,FALSE))</f>
        <v>12.819847029839012</v>
      </c>
      <c r="J87" s="16">
        <f>Tabla1[[#This Row],[CN Literatura]]-Tabla1[[#This Row],[CN Predicted]]</f>
        <v>5.1920380470848002</v>
      </c>
    </row>
    <row r="88" spans="1:10" ht="15" customHeight="1" x14ac:dyDescent="0.25">
      <c r="A88" s="1">
        <f>Desgloce!A87</f>
        <v>442</v>
      </c>
      <c r="B88" s="14">
        <f>VLOOKUP(Tabla1[[#This Row],[No]],Tabla7[],7,FALSE)</f>
        <v>42</v>
      </c>
      <c r="C88" s="24">
        <v>44.939917133043302</v>
      </c>
      <c r="D88" s="15">
        <f>(B88-C88)/B88*100</f>
        <v>-6.9998026977221475</v>
      </c>
      <c r="E88" s="14" t="str">
        <f>IF(Tabla1[[#This Row],[% Error1]]&gt;$E$1,Tabla1[[#This Row],[No]],IF(Tabla1[[#This Row],[% Error1]]&lt;-$E$1,Tabla1[[#This Row],[No]],""))</f>
        <v/>
      </c>
      <c r="F88" s="14" t="str">
        <f>IF(Tabla1[[#This Row],[ID]]="","",VLOOKUP(Tabla1[[#This Row],[ID]],Tabla7[],2,FALSE))</f>
        <v/>
      </c>
      <c r="G88" s="14" t="str">
        <f>IF(Tabla1[[#This Row],[ID]]="","",VLOOKUP(Tabla1[[#This Row],[ID]],Tabla7[],36,FALSE))</f>
        <v/>
      </c>
      <c r="H88" s="14" t="str">
        <f>IF(Tabla1[[#This Row],[ID]]="","",VLOOKUP(Tabla1[[#This Row],[ID]],Tabla7[],4,FALSE))</f>
        <v/>
      </c>
      <c r="I88" s="16" t="str">
        <f>IF(Tabla1[[#This Row],[ID]]="","",VLOOKUP(Tabla1[[#This Row],[ID]],Tabla1[],4,FALSE))</f>
        <v/>
      </c>
      <c r="J88" s="16">
        <f>Tabla1[[#This Row],[CN Literatura]]-Tabla1[[#This Row],[CN Predicted]]</f>
        <v>-2.939917133043302</v>
      </c>
    </row>
    <row r="89" spans="1:10" ht="15" customHeight="1" x14ac:dyDescent="0.25">
      <c r="A89" s="1">
        <f>Desgloce!A88</f>
        <v>447</v>
      </c>
      <c r="B89" s="14">
        <f>VLOOKUP(Tabla1[[#This Row],[No]],Tabla7[],7,FALSE)</f>
        <v>42.2</v>
      </c>
      <c r="C89" s="24">
        <v>40.146173085223701</v>
      </c>
      <c r="D89" s="15">
        <f>(B89-C89)/B89*100</f>
        <v>4.8668884236405248</v>
      </c>
      <c r="E89" s="14" t="str">
        <f>IF(Tabla1[[#This Row],[% Error1]]&gt;$E$1,Tabla1[[#This Row],[No]],IF(Tabla1[[#This Row],[% Error1]]&lt;-$E$1,Tabla1[[#This Row],[No]],""))</f>
        <v/>
      </c>
      <c r="F89" s="14" t="str">
        <f>IF(Tabla1[[#This Row],[ID]]="","",VLOOKUP(Tabla1[[#This Row],[ID]],Tabla7[],2,FALSE))</f>
        <v/>
      </c>
      <c r="G89" s="14" t="str">
        <f>IF(Tabla1[[#This Row],[ID]]="","",VLOOKUP(Tabla1[[#This Row],[ID]],Tabla7[],36,FALSE))</f>
        <v/>
      </c>
      <c r="H89" s="14" t="str">
        <f>IF(Tabla1[[#This Row],[ID]]="","",VLOOKUP(Tabla1[[#This Row],[ID]],Tabla7[],4,FALSE))</f>
        <v/>
      </c>
      <c r="I89" s="16" t="str">
        <f>IF(Tabla1[[#This Row],[ID]]="","",VLOOKUP(Tabla1[[#This Row],[ID]],Tabla1[],4,FALSE))</f>
        <v/>
      </c>
      <c r="J89" s="16">
        <f>Tabla1[[#This Row],[CN Literatura]]-Tabla1[[#This Row],[CN Predicted]]</f>
        <v>2.0538269147763017</v>
      </c>
    </row>
    <row r="90" spans="1:10" ht="15" customHeight="1" x14ac:dyDescent="0.25">
      <c r="A90" s="1">
        <f>Desgloce!A89</f>
        <v>455</v>
      </c>
      <c r="B90" s="14">
        <f>VLOOKUP(Tabla1[[#This Row],[No]],Tabla7[],7,FALSE)</f>
        <v>43</v>
      </c>
      <c r="C90" s="24">
        <v>42.628140080322702</v>
      </c>
      <c r="D90" s="15">
        <f>(B90-C90)/B90*100</f>
        <v>0.8647905108774383</v>
      </c>
      <c r="E90" s="14" t="str">
        <f>IF(Tabla1[[#This Row],[% Error1]]&gt;$E$1,Tabla1[[#This Row],[No]],IF(Tabla1[[#This Row],[% Error1]]&lt;-$E$1,Tabla1[[#This Row],[No]],""))</f>
        <v/>
      </c>
      <c r="F90" s="14" t="str">
        <f>IF(Tabla1[[#This Row],[ID]]="","",VLOOKUP(Tabla1[[#This Row],[ID]],Tabla7[],2,FALSE))</f>
        <v/>
      </c>
      <c r="G90" s="14" t="str">
        <f>IF(Tabla1[[#This Row],[ID]]="","",VLOOKUP(Tabla1[[#This Row],[ID]],Tabla7[],36,FALSE))</f>
        <v/>
      </c>
      <c r="H90" s="14" t="str">
        <f>IF(Tabla1[[#This Row],[ID]]="","",VLOOKUP(Tabla1[[#This Row],[ID]],Tabla7[],4,FALSE))</f>
        <v/>
      </c>
      <c r="I90" s="16" t="str">
        <f>IF(Tabla1[[#This Row],[ID]]="","",VLOOKUP(Tabla1[[#This Row],[ID]],Tabla1[],4,FALSE))</f>
        <v/>
      </c>
      <c r="J90" s="16">
        <f>Tabla1[[#This Row],[CN Literatura]]-Tabla1[[#This Row],[CN Predicted]]</f>
        <v>0.37185991967729848</v>
      </c>
    </row>
    <row r="91" spans="1:10" ht="15" customHeight="1" x14ac:dyDescent="0.25">
      <c r="A91" s="1">
        <f>Desgloce!A90</f>
        <v>460</v>
      </c>
      <c r="B91" s="14">
        <f>VLOOKUP(Tabla1[[#This Row],[No]],Tabla7[],7,FALSE)</f>
        <v>43</v>
      </c>
      <c r="C91" s="24">
        <v>44.733812957729199</v>
      </c>
      <c r="D91" s="15">
        <f>(B91-C91)/B91*100</f>
        <v>-4.0321231575097665</v>
      </c>
      <c r="E91" s="14" t="str">
        <f>IF(Tabla1[[#This Row],[% Error1]]&gt;$E$1,Tabla1[[#This Row],[No]],IF(Tabla1[[#This Row],[% Error1]]&lt;-$E$1,Tabla1[[#This Row],[No]],""))</f>
        <v/>
      </c>
      <c r="F91" s="14" t="str">
        <f>IF(Tabla1[[#This Row],[ID]]="","",VLOOKUP(Tabla1[[#This Row],[ID]],Tabla7[],2,FALSE))</f>
        <v/>
      </c>
      <c r="G91" s="14" t="str">
        <f>IF(Tabla1[[#This Row],[ID]]="","",VLOOKUP(Tabla1[[#This Row],[ID]],Tabla7[],36,FALSE))</f>
        <v/>
      </c>
      <c r="H91" s="14" t="str">
        <f>IF(Tabla1[[#This Row],[ID]]="","",VLOOKUP(Tabla1[[#This Row],[ID]],Tabla7[],4,FALSE))</f>
        <v/>
      </c>
      <c r="I91" s="16" t="str">
        <f>IF(Tabla1[[#This Row],[ID]]="","",VLOOKUP(Tabla1[[#This Row],[ID]],Tabla1[],4,FALSE))</f>
        <v/>
      </c>
      <c r="J91" s="16">
        <f>Tabla1[[#This Row],[CN Literatura]]-Tabla1[[#This Row],[CN Predicted]]</f>
        <v>-1.7338129577291994</v>
      </c>
    </row>
    <row r="92" spans="1:10" ht="15" customHeight="1" x14ac:dyDescent="0.25">
      <c r="A92" s="1">
        <f>Desgloce!A91</f>
        <v>480</v>
      </c>
      <c r="B92" s="14">
        <f>VLOOKUP(Tabla1[[#This Row],[No]],Tabla7[],7,FALSE)</f>
        <v>45</v>
      </c>
      <c r="C92" s="24">
        <v>56.735045756484297</v>
      </c>
      <c r="D92" s="15">
        <f>(B92-C92)/B92*100</f>
        <v>-26.077879458853992</v>
      </c>
      <c r="E92" s="14">
        <f>IF(Tabla1[[#This Row],[% Error1]]&gt;$E$1,Tabla1[[#This Row],[No]],IF(Tabla1[[#This Row],[% Error1]]&lt;-$E$1,Tabla1[[#This Row],[No]],""))</f>
        <v>480</v>
      </c>
      <c r="F92" s="14" t="str">
        <f>IF(Tabla1[[#This Row],[ID]]="","",VLOOKUP(Tabla1[[#This Row],[ID]],Tabla7[],2,FALSE))</f>
        <v>CCCCCCC/C(=C/CCCCCC)/CCC</v>
      </c>
      <c r="G92" s="14" t="str">
        <f>IF(Tabla1[[#This Row],[ID]]="","",VLOOKUP(Tabla1[[#This Row],[ID]],Tabla7[],36,FALSE))</f>
        <v>Test</v>
      </c>
      <c r="H92" s="14" t="str">
        <f>IF(Tabla1[[#This Row],[ID]]="","",VLOOKUP(Tabla1[[#This Row],[ID]],Tabla7[],4,FALSE))</f>
        <v>Alkene</v>
      </c>
      <c r="I92" s="16">
        <f>IF(Tabla1[[#This Row],[ID]]="","",VLOOKUP(Tabla1[[#This Row],[ID]],Tabla1[],4,FALSE))</f>
        <v>-26.077879458853992</v>
      </c>
      <c r="J92" s="16">
        <f>Tabla1[[#This Row],[CN Literatura]]-Tabla1[[#This Row],[CN Predicted]]</f>
        <v>-11.735045756484297</v>
      </c>
    </row>
    <row r="93" spans="1:10" ht="15" customHeight="1" x14ac:dyDescent="0.25">
      <c r="A93" s="1">
        <f>Desgloce!A92</f>
        <v>484</v>
      </c>
      <c r="B93" s="14">
        <f>VLOOKUP(Tabla1[[#This Row],[No]],Tabla7[],7,FALSE)</f>
        <v>45</v>
      </c>
      <c r="C93" s="24">
        <v>53.543050978945402</v>
      </c>
      <c r="D93" s="15">
        <f>(B93-C93)/B93*100</f>
        <v>-18.984557730989781</v>
      </c>
      <c r="E93" s="14">
        <f>IF(Tabla1[[#This Row],[% Error1]]&gt;$E$1,Tabla1[[#This Row],[No]],IF(Tabla1[[#This Row],[% Error1]]&lt;-$E$1,Tabla1[[#This Row],[No]],""))</f>
        <v>484</v>
      </c>
      <c r="F93" s="14" t="str">
        <f>IF(Tabla1[[#This Row],[ID]]="","",VLOOKUP(Tabla1[[#This Row],[ID]],Tabla7[],2,FALSE))</f>
        <v>CCCCCCCC/C=C\CCCCCCCC(=O)OC(COC(=O)CCCCCCC/C=C\CCCCCCCC)COC(=O)CCCCCCC/C=C\CCCCCCCC</v>
      </c>
      <c r="G93" s="14" t="str">
        <f>IF(Tabla1[[#This Row],[ID]]="","",VLOOKUP(Tabla1[[#This Row],[ID]],Tabla7[],36,FALSE))</f>
        <v>Test</v>
      </c>
      <c r="H93" s="14" t="str">
        <f>IF(Tabla1[[#This Row],[ID]]="","",VLOOKUP(Tabla1[[#This Row],[ID]],Tabla7[],4,FALSE))</f>
        <v>Ester</v>
      </c>
      <c r="I93" s="16">
        <f>IF(Tabla1[[#This Row],[ID]]="","",VLOOKUP(Tabla1[[#This Row],[ID]],Tabla1[],4,FALSE))</f>
        <v>-18.984557730989781</v>
      </c>
      <c r="J93" s="16">
        <f>Tabla1[[#This Row],[CN Literatura]]-Tabla1[[#This Row],[CN Predicted]]</f>
        <v>-8.5430509789454021</v>
      </c>
    </row>
    <row r="94" spans="1:10" ht="15" customHeight="1" x14ac:dyDescent="0.25">
      <c r="A94" s="1">
        <f>Desgloce!A93</f>
        <v>488</v>
      </c>
      <c r="B94" s="14">
        <f>VLOOKUP(Tabla1[[#This Row],[No]],Tabla7[],7,FALSE)</f>
        <v>45.3</v>
      </c>
      <c r="C94" s="24">
        <v>44.480469949584098</v>
      </c>
      <c r="D94" s="15">
        <f>(B94-C94)/B94*100</f>
        <v>1.8091171090858706</v>
      </c>
      <c r="E94" s="14" t="str">
        <f>IF(Tabla1[[#This Row],[% Error1]]&gt;$E$1,Tabla1[[#This Row],[No]],IF(Tabla1[[#This Row],[% Error1]]&lt;-$E$1,Tabla1[[#This Row],[No]],""))</f>
        <v/>
      </c>
      <c r="F94" s="14" t="str">
        <f>IF(Tabla1[[#This Row],[ID]]="","",VLOOKUP(Tabla1[[#This Row],[ID]],Tabla7[],2,FALSE))</f>
        <v/>
      </c>
      <c r="G94" s="14" t="str">
        <f>IF(Tabla1[[#This Row],[ID]]="","",VLOOKUP(Tabla1[[#This Row],[ID]],Tabla7[],36,FALSE))</f>
        <v/>
      </c>
      <c r="H94" s="14" t="str">
        <f>IF(Tabla1[[#This Row],[ID]]="","",VLOOKUP(Tabla1[[#This Row],[ID]],Tabla7[],4,FALSE))</f>
        <v/>
      </c>
      <c r="I94" s="16" t="str">
        <f>IF(Tabla1[[#This Row],[ID]]="","",VLOOKUP(Tabla1[[#This Row],[ID]],Tabla1[],4,FALSE))</f>
        <v/>
      </c>
      <c r="J94" s="16">
        <f>Tabla1[[#This Row],[CN Literatura]]-Tabla1[[#This Row],[CN Predicted]]</f>
        <v>0.81953005041589932</v>
      </c>
    </row>
    <row r="95" spans="1:10" ht="15" customHeight="1" x14ac:dyDescent="0.25">
      <c r="A95" s="1">
        <f>Desgloce!A94</f>
        <v>489</v>
      </c>
      <c r="B95" s="14">
        <f>VLOOKUP(Tabla1[[#This Row],[No]],Tabla7[],7,FALSE)</f>
        <v>45.5</v>
      </c>
      <c r="C95" s="24">
        <v>47.721403466721597</v>
      </c>
      <c r="D95" s="15">
        <f>(B95-C95)/B95*100</f>
        <v>-4.8822054213661472</v>
      </c>
      <c r="E95" s="14" t="str">
        <f>IF(Tabla1[[#This Row],[% Error1]]&gt;$E$1,Tabla1[[#This Row],[No]],IF(Tabla1[[#This Row],[% Error1]]&lt;-$E$1,Tabla1[[#This Row],[No]],""))</f>
        <v/>
      </c>
      <c r="F95" s="14" t="str">
        <f>IF(Tabla1[[#This Row],[ID]]="","",VLOOKUP(Tabla1[[#This Row],[ID]],Tabla7[],2,FALSE))</f>
        <v/>
      </c>
      <c r="G95" s="14" t="str">
        <f>IF(Tabla1[[#This Row],[ID]]="","",VLOOKUP(Tabla1[[#This Row],[ID]],Tabla7[],36,FALSE))</f>
        <v/>
      </c>
      <c r="H95" s="14" t="str">
        <f>IF(Tabla1[[#This Row],[ID]]="","",VLOOKUP(Tabla1[[#This Row],[ID]],Tabla7[],4,FALSE))</f>
        <v/>
      </c>
      <c r="I95" s="16" t="str">
        <f>IF(Tabla1[[#This Row],[ID]]="","",VLOOKUP(Tabla1[[#This Row],[ID]],Tabla1[],4,FALSE))</f>
        <v/>
      </c>
      <c r="J95" s="16">
        <f>Tabla1[[#This Row],[CN Literatura]]-Tabla1[[#This Row],[CN Predicted]]</f>
        <v>-2.2214034667215969</v>
      </c>
    </row>
    <row r="96" spans="1:10" ht="15" customHeight="1" x14ac:dyDescent="0.25">
      <c r="A96" s="1">
        <f>Desgloce!A95</f>
        <v>491</v>
      </c>
      <c r="B96" s="14">
        <f>VLOOKUP(Tabla1[[#This Row],[No]],Tabla7[],7,FALSE)</f>
        <v>46</v>
      </c>
      <c r="C96" s="24">
        <v>53.177448949175698</v>
      </c>
      <c r="D96" s="15">
        <f>(B96-C96)/B96*100</f>
        <v>-15.603149889512387</v>
      </c>
      <c r="E96" s="14">
        <f>IF(Tabla1[[#This Row],[% Error1]]&gt;$E$1,Tabla1[[#This Row],[No]],IF(Tabla1[[#This Row],[% Error1]]&lt;-$E$1,Tabla1[[#This Row],[No]],""))</f>
        <v>491</v>
      </c>
      <c r="F96" s="14" t="str">
        <f>IF(Tabla1[[#This Row],[ID]]="","",VLOOKUP(Tabla1[[#This Row],[ID]],Tabla7[],2,FALSE))</f>
        <v>CCCCCC/C=C\CCCCCCCCO</v>
      </c>
      <c r="G96" s="14" t="str">
        <f>IF(Tabla1[[#This Row],[ID]]="","",VLOOKUP(Tabla1[[#This Row],[ID]],Tabla7[],36,FALSE))</f>
        <v>Test</v>
      </c>
      <c r="H96" s="14" t="str">
        <f>IF(Tabla1[[#This Row],[ID]]="","",VLOOKUP(Tabla1[[#This Row],[ID]],Tabla7[],4,FALSE))</f>
        <v>Alcohol</v>
      </c>
      <c r="I96" s="16">
        <f>IF(Tabla1[[#This Row],[ID]]="","",VLOOKUP(Tabla1[[#This Row],[ID]],Tabla1[],4,FALSE))</f>
        <v>-15.603149889512387</v>
      </c>
      <c r="J96" s="16">
        <f>Tabla1[[#This Row],[CN Literatura]]-Tabla1[[#This Row],[CN Predicted]]</f>
        <v>-7.1774489491756981</v>
      </c>
    </row>
    <row r="97" spans="1:10" ht="15" customHeight="1" x14ac:dyDescent="0.25">
      <c r="A97" s="1">
        <f>Desgloce!A96</f>
        <v>507</v>
      </c>
      <c r="B97" s="14">
        <f>VLOOKUP(Tabla1[[#This Row],[No]],Tabla7[],7,FALSE)</f>
        <v>47</v>
      </c>
      <c r="C97" s="24">
        <v>64.661753173170197</v>
      </c>
      <c r="D97" s="15">
        <f>(B97-C97)/B97*100</f>
        <v>-37.57819824078765</v>
      </c>
      <c r="E97" s="14">
        <f>IF(Tabla1[[#This Row],[% Error1]]&gt;$E$1,Tabla1[[#This Row],[No]],IF(Tabla1[[#This Row],[% Error1]]&lt;-$E$1,Tabla1[[#This Row],[No]],""))</f>
        <v>507</v>
      </c>
      <c r="F97" s="14" t="str">
        <f>IF(Tabla1[[#This Row],[ID]]="","",VLOOKUP(Tabla1[[#This Row],[ID]],Tabla7[],2,FALSE))</f>
        <v>CCCCCCCCC(CCC)C(CCC)CCCCCCCC</v>
      </c>
      <c r="G97" s="14" t="str">
        <f>IF(Tabla1[[#This Row],[ID]]="","",VLOOKUP(Tabla1[[#This Row],[ID]],Tabla7[],36,FALSE))</f>
        <v>Test</v>
      </c>
      <c r="H97" s="14" t="str">
        <f>IF(Tabla1[[#This Row],[ID]]="","",VLOOKUP(Tabla1[[#This Row],[ID]],Tabla7[],4,FALSE))</f>
        <v>iso-alkane</v>
      </c>
      <c r="I97" s="16">
        <f>IF(Tabla1[[#This Row],[ID]]="","",VLOOKUP(Tabla1[[#This Row],[ID]],Tabla1[],4,FALSE))</f>
        <v>-37.57819824078765</v>
      </c>
      <c r="J97" s="16">
        <f>Tabla1[[#This Row],[CN Literatura]]-Tabla1[[#This Row],[CN Predicted]]</f>
        <v>-17.661753173170197</v>
      </c>
    </row>
    <row r="98" spans="1:10" ht="15" customHeight="1" x14ac:dyDescent="0.25">
      <c r="A98" s="1">
        <f>Desgloce!A97</f>
        <v>509</v>
      </c>
      <c r="B98" s="14">
        <f>VLOOKUP(Tabla1[[#This Row],[No]],Tabla7[],7,FALSE)</f>
        <v>47</v>
      </c>
      <c r="C98" s="24">
        <v>65.033806093480294</v>
      </c>
      <c r="D98" s="15">
        <f>(B98-C98)/B98*100</f>
        <v>-38.369800198894247</v>
      </c>
      <c r="E98" s="14">
        <f>IF(Tabla1[[#This Row],[% Error1]]&gt;$E$1,Tabla1[[#This Row],[No]],IF(Tabla1[[#This Row],[% Error1]]&lt;-$E$1,Tabla1[[#This Row],[No]],""))</f>
        <v>509</v>
      </c>
      <c r="F98" s="14" t="str">
        <f>IF(Tabla1[[#This Row],[ID]]="","",VLOOKUP(Tabla1[[#This Row],[ID]],Tabla7[],2,FALSE))</f>
        <v>CCCCCCCC[C@@H](CCC)[C@@H](CCC)CCCCCCCC</v>
      </c>
      <c r="G98" s="14" t="str">
        <f>IF(Tabla1[[#This Row],[ID]]="","",VLOOKUP(Tabla1[[#This Row],[ID]],Tabla7[],36,FALSE))</f>
        <v>Test</v>
      </c>
      <c r="H98" s="14" t="str">
        <f>IF(Tabla1[[#This Row],[ID]]="","",VLOOKUP(Tabla1[[#This Row],[ID]],Tabla7[],4,FALSE))</f>
        <v>n-Alkane</v>
      </c>
      <c r="I98" s="16">
        <f>IF(Tabla1[[#This Row],[ID]]="","",VLOOKUP(Tabla1[[#This Row],[ID]],Tabla1[],4,FALSE))</f>
        <v>-38.369800198894247</v>
      </c>
      <c r="J98" s="16">
        <f>Tabla1[[#This Row],[CN Literatura]]-Tabla1[[#This Row],[CN Predicted]]</f>
        <v>-18.033806093480294</v>
      </c>
    </row>
    <row r="99" spans="1:10" ht="15" customHeight="1" x14ac:dyDescent="0.25">
      <c r="A99" s="1">
        <f>Desgloce!A98</f>
        <v>510</v>
      </c>
      <c r="B99" s="14">
        <f>VLOOKUP(Tabla1[[#This Row],[No]],Tabla7[],7,FALSE)</f>
        <v>47</v>
      </c>
      <c r="C99" s="24">
        <v>64.846858814873599</v>
      </c>
      <c r="D99" s="15">
        <f>(B99-C99)/B99*100</f>
        <v>-37.972040031645953</v>
      </c>
      <c r="E99" s="14">
        <f>IF(Tabla1[[#This Row],[% Error1]]&gt;$E$1,Tabla1[[#This Row],[No]],IF(Tabla1[[#This Row],[% Error1]]&lt;-$E$1,Tabla1[[#This Row],[No]],""))</f>
        <v>510</v>
      </c>
      <c r="F99" s="14" t="str">
        <f>IF(Tabla1[[#This Row],[ID]]="","",VLOOKUP(Tabla1[[#This Row],[ID]],Tabla7[],2,FALSE))</f>
        <v>CCCCCCCC[C@H](CCC)[C@@H](CCC)CCCCCCCC</v>
      </c>
      <c r="G99" s="14" t="str">
        <f>IF(Tabla1[[#This Row],[ID]]="","",VLOOKUP(Tabla1[[#This Row],[ID]],Tabla7[],36,FALSE))</f>
        <v>Test</v>
      </c>
      <c r="H99" s="14" t="str">
        <f>IF(Tabla1[[#This Row],[ID]]="","",VLOOKUP(Tabla1[[#This Row],[ID]],Tabla7[],4,FALSE))</f>
        <v>n-Alkane</v>
      </c>
      <c r="I99" s="16">
        <f>IF(Tabla1[[#This Row],[ID]]="","",VLOOKUP(Tabla1[[#This Row],[ID]],Tabla1[],4,FALSE))</f>
        <v>-37.972040031645953</v>
      </c>
      <c r="J99" s="16">
        <f>Tabla1[[#This Row],[CN Literatura]]-Tabla1[[#This Row],[CN Predicted]]</f>
        <v>-17.846858814873599</v>
      </c>
    </row>
    <row r="100" spans="1:10" ht="15" customHeight="1" x14ac:dyDescent="0.25">
      <c r="A100" s="1">
        <f>Desgloce!A99</f>
        <v>513</v>
      </c>
      <c r="B100" s="14">
        <f>VLOOKUP(Tabla1[[#This Row],[No]],Tabla7[],7,FALSE)</f>
        <v>47.55</v>
      </c>
      <c r="C100" s="24">
        <v>44.702083532857998</v>
      </c>
      <c r="D100" s="15">
        <f>(B100-C100)/B100*100</f>
        <v>5.9893090791629859</v>
      </c>
      <c r="E100" s="14" t="str">
        <f>IF(Tabla1[[#This Row],[% Error1]]&gt;$E$1,Tabla1[[#This Row],[No]],IF(Tabla1[[#This Row],[% Error1]]&lt;-$E$1,Tabla1[[#This Row],[No]],""))</f>
        <v/>
      </c>
      <c r="F100" s="14" t="str">
        <f>IF(Tabla1[[#This Row],[ID]]="","",VLOOKUP(Tabla1[[#This Row],[ID]],Tabla7[],2,FALSE))</f>
        <v/>
      </c>
      <c r="G100" s="14" t="str">
        <f>IF(Tabla1[[#This Row],[ID]]="","",VLOOKUP(Tabla1[[#This Row],[ID]],Tabla7[],36,FALSE))</f>
        <v/>
      </c>
      <c r="H100" s="14" t="str">
        <f>IF(Tabla1[[#This Row],[ID]]="","",VLOOKUP(Tabla1[[#This Row],[ID]],Tabla7[],4,FALSE))</f>
        <v/>
      </c>
      <c r="I100" s="16" t="str">
        <f>IF(Tabla1[[#This Row],[ID]]="","",VLOOKUP(Tabla1[[#This Row],[ID]],Tabla1[],4,FALSE))</f>
        <v/>
      </c>
      <c r="J100" s="16">
        <f>Tabla1[[#This Row],[CN Literatura]]-Tabla1[[#This Row],[CN Predicted]]</f>
        <v>2.8479164671419994</v>
      </c>
    </row>
    <row r="101" spans="1:10" ht="15" customHeight="1" x14ac:dyDescent="0.25">
      <c r="A101" s="1">
        <f>Desgloce!A100</f>
        <v>518</v>
      </c>
      <c r="B101" s="14">
        <f>VLOOKUP(Tabla1[[#This Row],[No]],Tabla7[],7,FALSE)</f>
        <v>48</v>
      </c>
      <c r="C101" s="24">
        <v>71.034515081298096</v>
      </c>
      <c r="D101" s="15">
        <f>(B101-C101)/B101*100</f>
        <v>-47.988573086037704</v>
      </c>
      <c r="E101" s="14">
        <f>IF(Tabla1[[#This Row],[% Error1]]&gt;$E$1,Tabla1[[#This Row],[No]],IF(Tabla1[[#This Row],[% Error1]]&lt;-$E$1,Tabla1[[#This Row],[No]],""))</f>
        <v>518</v>
      </c>
      <c r="F101" s="14" t="str">
        <f>IF(Tabla1[[#This Row],[ID]]="","",VLOOKUP(Tabla1[[#This Row],[ID]],Tabla7[],2,FALSE))</f>
        <v>CC(C)CCC(CCC(C)C)C(CCC(C)C)CCC(C)C</v>
      </c>
      <c r="G101" s="14" t="str">
        <f>IF(Tabla1[[#This Row],[ID]]="","",VLOOKUP(Tabla1[[#This Row],[ID]],Tabla7[],36,FALSE))</f>
        <v>Test</v>
      </c>
      <c r="H101" s="14" t="str">
        <f>IF(Tabla1[[#This Row],[ID]]="","",VLOOKUP(Tabla1[[#This Row],[ID]],Tabla7[],4,FALSE))</f>
        <v>iso-alkane</v>
      </c>
      <c r="I101" s="16">
        <f>IF(Tabla1[[#This Row],[ID]]="","",VLOOKUP(Tabla1[[#This Row],[ID]],Tabla1[],4,FALSE))</f>
        <v>-47.988573086037704</v>
      </c>
      <c r="J101" s="16">
        <f>Tabla1[[#This Row],[CN Literatura]]-Tabla1[[#This Row],[CN Predicted]]</f>
        <v>-23.034515081298096</v>
      </c>
    </row>
    <row r="102" spans="1:10" ht="15" customHeight="1" x14ac:dyDescent="0.25">
      <c r="A102" s="1">
        <f>Desgloce!A101</f>
        <v>520</v>
      </c>
      <c r="B102" s="14">
        <f>VLOOKUP(Tabla1[[#This Row],[No]],Tabla7[],7,FALSE)</f>
        <v>48.6</v>
      </c>
      <c r="C102" s="24">
        <v>49.952014930889497</v>
      </c>
      <c r="D102" s="15">
        <f>(B102-C102)/B102*100</f>
        <v>-2.7819237261100733</v>
      </c>
      <c r="E102" s="14" t="str">
        <f>IF(Tabla1[[#This Row],[% Error1]]&gt;$E$1,Tabla1[[#This Row],[No]],IF(Tabla1[[#This Row],[% Error1]]&lt;-$E$1,Tabla1[[#This Row],[No]],""))</f>
        <v/>
      </c>
      <c r="F102" s="14" t="str">
        <f>IF(Tabla1[[#This Row],[ID]]="","",VLOOKUP(Tabla1[[#This Row],[ID]],Tabla7[],2,FALSE))</f>
        <v/>
      </c>
      <c r="G102" s="14" t="str">
        <f>IF(Tabla1[[#This Row],[ID]]="","",VLOOKUP(Tabla1[[#This Row],[ID]],Tabla7[],36,FALSE))</f>
        <v/>
      </c>
      <c r="H102" s="14" t="str">
        <f>IF(Tabla1[[#This Row],[ID]]="","",VLOOKUP(Tabla1[[#This Row],[ID]],Tabla7[],4,FALSE))</f>
        <v/>
      </c>
      <c r="I102" s="16" t="str">
        <f>IF(Tabla1[[#This Row],[ID]]="","",VLOOKUP(Tabla1[[#This Row],[ID]],Tabla1[],4,FALSE))</f>
        <v/>
      </c>
      <c r="J102" s="16">
        <f>Tabla1[[#This Row],[CN Literatura]]-Tabla1[[#This Row],[CN Predicted]]</f>
        <v>-1.3520149308894958</v>
      </c>
    </row>
    <row r="103" spans="1:10" ht="15" customHeight="1" x14ac:dyDescent="0.25">
      <c r="A103" s="1">
        <f>Desgloce!A102</f>
        <v>521</v>
      </c>
      <c r="B103" s="14">
        <f>VLOOKUP(Tabla1[[#This Row],[No]],Tabla7[],7,FALSE)</f>
        <v>48.6</v>
      </c>
      <c r="C103" s="24">
        <v>45.652574087764499</v>
      </c>
      <c r="D103" s="15">
        <f>(B103-C103)/B103*100</f>
        <v>6.0646623708549425</v>
      </c>
      <c r="E103" s="14" t="str">
        <f>IF(Tabla1[[#This Row],[% Error1]]&gt;$E$1,Tabla1[[#This Row],[No]],IF(Tabla1[[#This Row],[% Error1]]&lt;-$E$1,Tabla1[[#This Row],[No]],""))</f>
        <v/>
      </c>
      <c r="F103" s="14" t="str">
        <f>IF(Tabla1[[#This Row],[ID]]="","",VLOOKUP(Tabla1[[#This Row],[ID]],Tabla7[],2,FALSE))</f>
        <v/>
      </c>
      <c r="G103" s="14" t="str">
        <f>IF(Tabla1[[#This Row],[ID]]="","",VLOOKUP(Tabla1[[#This Row],[ID]],Tabla7[],36,FALSE))</f>
        <v/>
      </c>
      <c r="H103" s="14" t="str">
        <f>IF(Tabla1[[#This Row],[ID]]="","",VLOOKUP(Tabla1[[#This Row],[ID]],Tabla7[],4,FALSE))</f>
        <v/>
      </c>
      <c r="I103" s="16" t="str">
        <f>IF(Tabla1[[#This Row],[ID]]="","",VLOOKUP(Tabla1[[#This Row],[ID]],Tabla1[],4,FALSE))</f>
        <v/>
      </c>
      <c r="J103" s="16">
        <f>Tabla1[[#This Row],[CN Literatura]]-Tabla1[[#This Row],[CN Predicted]]</f>
        <v>2.9474259122355022</v>
      </c>
    </row>
    <row r="104" spans="1:10" ht="15" customHeight="1" x14ac:dyDescent="0.25">
      <c r="A104" s="1">
        <f>Desgloce!A103</f>
        <v>525</v>
      </c>
      <c r="B104" s="14">
        <f>VLOOKUP(Tabla1[[#This Row],[No]],Tabla7[],7,FALSE)</f>
        <v>49</v>
      </c>
      <c r="C104" s="24">
        <v>49.689851080080203</v>
      </c>
      <c r="D104" s="15">
        <f>(B104-C104)/B104*100</f>
        <v>-1.407859347102455</v>
      </c>
      <c r="E104" s="14" t="str">
        <f>IF(Tabla1[[#This Row],[% Error1]]&gt;$E$1,Tabla1[[#This Row],[No]],IF(Tabla1[[#This Row],[% Error1]]&lt;-$E$1,Tabla1[[#This Row],[No]],""))</f>
        <v/>
      </c>
      <c r="F104" s="14" t="str">
        <f>IF(Tabla1[[#This Row],[ID]]="","",VLOOKUP(Tabla1[[#This Row],[ID]],Tabla7[],2,FALSE))</f>
        <v/>
      </c>
      <c r="G104" s="14" t="str">
        <f>IF(Tabla1[[#This Row],[ID]]="","",VLOOKUP(Tabla1[[#This Row],[ID]],Tabla7[],36,FALSE))</f>
        <v/>
      </c>
      <c r="H104" s="14" t="str">
        <f>IF(Tabla1[[#This Row],[ID]]="","",VLOOKUP(Tabla1[[#This Row],[ID]],Tabla7[],4,FALSE))</f>
        <v/>
      </c>
      <c r="I104" s="16" t="str">
        <f>IF(Tabla1[[#This Row],[ID]]="","",VLOOKUP(Tabla1[[#This Row],[ID]],Tabla1[],4,FALSE))</f>
        <v/>
      </c>
      <c r="J104" s="16">
        <f>Tabla1[[#This Row],[CN Literatura]]-Tabla1[[#This Row],[CN Predicted]]</f>
        <v>-0.68985108008020291</v>
      </c>
    </row>
    <row r="105" spans="1:10" ht="15" customHeight="1" x14ac:dyDescent="0.25">
      <c r="A105" s="1">
        <f>Desgloce!A104</f>
        <v>536</v>
      </c>
      <c r="B105" s="14">
        <f>VLOOKUP(Tabla1[[#This Row],[No]],Tabla7[],7,FALSE)</f>
        <v>51</v>
      </c>
      <c r="C105" s="24">
        <v>56.316423996728901</v>
      </c>
      <c r="D105" s="15">
        <f>(B105-C105)/B105*100</f>
        <v>-10.424360777899805</v>
      </c>
      <c r="E105" s="14">
        <f>IF(Tabla1[[#This Row],[% Error1]]&gt;$E$1,Tabla1[[#This Row],[No]],IF(Tabla1[[#This Row],[% Error1]]&lt;-$E$1,Tabla1[[#This Row],[No]],""))</f>
        <v>536</v>
      </c>
      <c r="F105" s="14" t="str">
        <f>IF(Tabla1[[#This Row],[ID]]="","",VLOOKUP(Tabla1[[#This Row],[ID]],Tabla7[],2,FALSE))</f>
        <v>C(CCCCCCC\C=C/CCCCCCCC)O</v>
      </c>
      <c r="G105" s="14" t="str">
        <f>IF(Tabla1[[#This Row],[ID]]="","",VLOOKUP(Tabla1[[#This Row],[ID]],Tabla7[],36,FALSE))</f>
        <v>Test</v>
      </c>
      <c r="H105" s="14" t="str">
        <f>IF(Tabla1[[#This Row],[ID]]="","",VLOOKUP(Tabla1[[#This Row],[ID]],Tabla7[],4,FALSE))</f>
        <v>Alcohol</v>
      </c>
      <c r="I105" s="16">
        <f>IF(Tabla1[[#This Row],[ID]]="","",VLOOKUP(Tabla1[[#This Row],[ID]],Tabla1[],4,FALSE))</f>
        <v>-10.424360777899805</v>
      </c>
      <c r="J105" s="16">
        <f>Tabla1[[#This Row],[CN Literatura]]-Tabla1[[#This Row],[CN Predicted]]</f>
        <v>-5.3164239967289006</v>
      </c>
    </row>
    <row r="106" spans="1:10" ht="15" customHeight="1" x14ac:dyDescent="0.25">
      <c r="A106" s="1">
        <f>Desgloce!A105</f>
        <v>541</v>
      </c>
      <c r="B106" s="14">
        <f>VLOOKUP(Tabla1[[#This Row],[No]],Tabla7[],7,FALSE)</f>
        <v>51</v>
      </c>
      <c r="C106" s="24">
        <v>40.123390564611697</v>
      </c>
      <c r="D106" s="15">
        <f>(B106-C106)/B106*100</f>
        <v>21.326685167428046</v>
      </c>
      <c r="E106" s="14">
        <f>IF(Tabla1[[#This Row],[% Error1]]&gt;$E$1,Tabla1[[#This Row],[No]],IF(Tabla1[[#This Row],[% Error1]]&lt;-$E$1,Tabla1[[#This Row],[No]],""))</f>
        <v>541</v>
      </c>
      <c r="F106" s="14" t="str">
        <f>IF(Tabla1[[#This Row],[ID]]="","",VLOOKUP(Tabla1[[#This Row],[ID]],Tabla7[],2,FALSE))</f>
        <v>CCCCCCCCCC(C)c1ccccc1</v>
      </c>
      <c r="G106" s="14" t="str">
        <f>IF(Tabla1[[#This Row],[ID]]="","",VLOOKUP(Tabla1[[#This Row],[ID]],Tabla7[],36,FALSE))</f>
        <v>Test</v>
      </c>
      <c r="H106" s="14" t="str">
        <f>IF(Tabla1[[#This Row],[ID]]="","",VLOOKUP(Tabla1[[#This Row],[ID]],Tabla7[],4,FALSE))</f>
        <v>Aromatic</v>
      </c>
      <c r="I106" s="24">
        <f>IF(Tabla1[[#This Row],[ID]]="","",VLOOKUP(Tabla1[[#This Row],[ID]],Tabla1[],4,FALSE))</f>
        <v>21.326685167428046</v>
      </c>
      <c r="J106" s="16">
        <f>Tabla1[[#This Row],[CN Literatura]]-Tabla1[[#This Row],[CN Predicted]]</f>
        <v>10.876609435388303</v>
      </c>
    </row>
    <row r="107" spans="1:10" ht="15" customHeight="1" x14ac:dyDescent="0.25">
      <c r="A107" s="1">
        <f>Desgloce!A106</f>
        <v>543</v>
      </c>
      <c r="B107" s="14">
        <f>VLOOKUP(Tabla1[[#This Row],[No]],Tabla7[],7,FALSE)</f>
        <v>51</v>
      </c>
      <c r="C107" s="24">
        <v>40.402474163173501</v>
      </c>
      <c r="D107" s="15">
        <f>(B107-C107)/B107*100</f>
        <v>20.779462425149998</v>
      </c>
      <c r="E107" s="14">
        <f>IF(Tabla1[[#This Row],[% Error1]]&gt;$E$1,Tabla1[[#This Row],[No]],IF(Tabla1[[#This Row],[% Error1]]&lt;-$E$1,Tabla1[[#This Row],[No]],""))</f>
        <v>543</v>
      </c>
      <c r="F107" s="14" t="str">
        <f>IF(Tabla1[[#This Row],[ID]]="","",VLOOKUP(Tabla1[[#This Row],[ID]],Tabla7[],2,FALSE))</f>
        <v>CCCCCCCCC[C@H](C)c1ccccc1</v>
      </c>
      <c r="G107" s="14" t="str">
        <f>IF(Tabla1[[#This Row],[ID]]="","",VLOOKUP(Tabla1[[#This Row],[ID]],Tabla7[],36,FALSE))</f>
        <v>Test</v>
      </c>
      <c r="H107" s="14" t="str">
        <f>IF(Tabla1[[#This Row],[ID]]="","",VLOOKUP(Tabla1[[#This Row],[ID]],Tabla7[],4,FALSE))</f>
        <v>Aromatic</v>
      </c>
      <c r="I107" s="24">
        <f>IF(Tabla1[[#This Row],[ID]]="","",VLOOKUP(Tabla1[[#This Row],[ID]],Tabla1[],4,FALSE))</f>
        <v>20.779462425149998</v>
      </c>
      <c r="J107" s="16">
        <f>Tabla1[[#This Row],[CN Literatura]]-Tabla1[[#This Row],[CN Predicted]]</f>
        <v>10.597525836826499</v>
      </c>
    </row>
    <row r="108" spans="1:10" ht="15" customHeight="1" x14ac:dyDescent="0.25">
      <c r="A108" s="1">
        <f>Desgloce!A107</f>
        <v>548</v>
      </c>
      <c r="B108" s="14">
        <f>VLOOKUP(Tabla1[[#This Row],[No]],Tabla7[],7,FALSE)</f>
        <v>51.2</v>
      </c>
      <c r="C108" s="24">
        <v>48.418848863072597</v>
      </c>
      <c r="D108" s="15">
        <f>(B108-C108)/B108*100</f>
        <v>5.4319358143113394</v>
      </c>
      <c r="E108" s="14" t="str">
        <f>IF(Tabla1[[#This Row],[% Error1]]&gt;$E$1,Tabla1[[#This Row],[No]],IF(Tabla1[[#This Row],[% Error1]]&lt;-$E$1,Tabla1[[#This Row],[No]],""))</f>
        <v/>
      </c>
      <c r="F108" s="14" t="str">
        <f>IF(Tabla1[[#This Row],[ID]]="","",VLOOKUP(Tabla1[[#This Row],[ID]],Tabla7[],2,FALSE))</f>
        <v/>
      </c>
      <c r="G108" s="14" t="str">
        <f>IF(Tabla1[[#This Row],[ID]]="","",VLOOKUP(Tabla1[[#This Row],[ID]],Tabla7[],36,FALSE))</f>
        <v/>
      </c>
      <c r="H108" s="14" t="str">
        <f>IF(Tabla1[[#This Row],[ID]]="","",VLOOKUP(Tabla1[[#This Row],[ID]],Tabla7[],4,FALSE))</f>
        <v/>
      </c>
      <c r="I108" s="16" t="str">
        <f>IF(Tabla1[[#This Row],[ID]]="","",VLOOKUP(Tabla1[[#This Row],[ID]],Tabla1[],4,FALSE))</f>
        <v/>
      </c>
      <c r="J108" s="16">
        <f>Tabla1[[#This Row],[CN Literatura]]-Tabla1[[#This Row],[CN Predicted]]</f>
        <v>2.7811511369274058</v>
      </c>
    </row>
    <row r="109" spans="1:10" ht="15" customHeight="1" x14ac:dyDescent="0.25">
      <c r="A109" s="1">
        <f>Desgloce!A108</f>
        <v>555</v>
      </c>
      <c r="B109" s="14">
        <f>VLOOKUP(Tabla1[[#This Row],[No]],Tabla7[],7,FALSE)</f>
        <v>53</v>
      </c>
      <c r="C109" s="24">
        <v>50.074488388180598</v>
      </c>
      <c r="D109" s="15">
        <f>(B109-C109)/B109*100</f>
        <v>5.5198332298479293</v>
      </c>
      <c r="E109" s="14" t="str">
        <f>IF(Tabla1[[#This Row],[% Error1]]&gt;$E$1,Tabla1[[#This Row],[No]],IF(Tabla1[[#This Row],[% Error1]]&lt;-$E$1,Tabla1[[#This Row],[No]],""))</f>
        <v/>
      </c>
      <c r="F109" s="14" t="str">
        <f>IF(Tabla1[[#This Row],[ID]]="","",VLOOKUP(Tabla1[[#This Row],[ID]],Tabla7[],2,FALSE))</f>
        <v/>
      </c>
      <c r="G109" s="14" t="str">
        <f>IF(Tabla1[[#This Row],[ID]]="","",VLOOKUP(Tabla1[[#This Row],[ID]],Tabla7[],36,FALSE))</f>
        <v/>
      </c>
      <c r="H109" s="14" t="str">
        <f>IF(Tabla1[[#This Row],[ID]]="","",VLOOKUP(Tabla1[[#This Row],[ID]],Tabla7[],4,FALSE))</f>
        <v/>
      </c>
      <c r="I109" s="16" t="str">
        <f>IF(Tabla1[[#This Row],[ID]]="","",VLOOKUP(Tabla1[[#This Row],[ID]],Tabla1[],4,FALSE))</f>
        <v/>
      </c>
      <c r="J109" s="16">
        <f>Tabla1[[#This Row],[CN Literatura]]-Tabla1[[#This Row],[CN Predicted]]</f>
        <v>2.9255116118194024</v>
      </c>
    </row>
    <row r="110" spans="1:10" ht="15" customHeight="1" x14ac:dyDescent="0.25">
      <c r="A110" s="1">
        <f>Desgloce!A109</f>
        <v>559</v>
      </c>
      <c r="B110" s="14">
        <f>VLOOKUP(Tabla1[[#This Row],[No]],Tabla7[],7,FALSE)</f>
        <v>54.1</v>
      </c>
      <c r="C110" s="24">
        <v>62.305067918406998</v>
      </c>
      <c r="D110" s="15">
        <f>(B110-C110)/B110*100</f>
        <v>-15.166484137536038</v>
      </c>
      <c r="E110" s="14">
        <f>IF(Tabla1[[#This Row],[% Error1]]&gt;$E$1,Tabla1[[#This Row],[No]],IF(Tabla1[[#This Row],[% Error1]]&lt;-$E$1,Tabla1[[#This Row],[No]],""))</f>
        <v>559</v>
      </c>
      <c r="F110" s="14" t="str">
        <f>IF(Tabla1[[#This Row],[ID]]="","",VLOOKUP(Tabla1[[#This Row],[ID]],Tabla7[],2,FALSE))</f>
        <v>CCOC(C)OCC</v>
      </c>
      <c r="G110" s="14" t="str">
        <f>IF(Tabla1[[#This Row],[ID]]="","",VLOOKUP(Tabla1[[#This Row],[ID]],Tabla7[],36,FALSE))</f>
        <v>Test</v>
      </c>
      <c r="H110" s="14" t="str">
        <f>IF(Tabla1[[#This Row],[ID]]="","",VLOOKUP(Tabla1[[#This Row],[ID]],Tabla7[],4,FALSE))</f>
        <v>Ether</v>
      </c>
      <c r="I110" s="16">
        <f>IF(Tabla1[[#This Row],[ID]]="","",VLOOKUP(Tabla1[[#This Row],[ID]],Tabla1[],4,FALSE))</f>
        <v>-15.166484137536038</v>
      </c>
      <c r="J110" s="16">
        <f>Tabla1[[#This Row],[CN Literatura]]-Tabla1[[#This Row],[CN Predicted]]</f>
        <v>-8.2050679184069963</v>
      </c>
    </row>
    <row r="111" spans="1:10" ht="15" customHeight="1" x14ac:dyDescent="0.25">
      <c r="A111" s="1">
        <f>Desgloce!A110</f>
        <v>562</v>
      </c>
      <c r="B111" s="14">
        <f>VLOOKUP(Tabla1[[#This Row],[No]],Tabla7[],7,FALSE)</f>
        <v>55</v>
      </c>
      <c r="C111" s="24">
        <v>53.832388166551702</v>
      </c>
      <c r="D111" s="15">
        <f>(B111-C111)/B111*100</f>
        <v>2.1229306062696325</v>
      </c>
      <c r="E111" s="14" t="str">
        <f>IF(Tabla1[[#This Row],[% Error1]]&gt;$E$1,Tabla1[[#This Row],[No]],IF(Tabla1[[#This Row],[% Error1]]&lt;-$E$1,Tabla1[[#This Row],[No]],""))</f>
        <v/>
      </c>
      <c r="F111" s="14" t="str">
        <f>IF(Tabla1[[#This Row],[ID]]="","",VLOOKUP(Tabla1[[#This Row],[ID]],Tabla7[],2,FALSE))</f>
        <v/>
      </c>
      <c r="G111" s="14" t="str">
        <f>IF(Tabla1[[#This Row],[ID]]="","",VLOOKUP(Tabla1[[#This Row],[ID]],Tabla7[],36,FALSE))</f>
        <v/>
      </c>
      <c r="H111" s="14" t="str">
        <f>IF(Tabla1[[#This Row],[ID]]="","",VLOOKUP(Tabla1[[#This Row],[ID]],Tabla7[],4,FALSE))</f>
        <v/>
      </c>
      <c r="I111" s="16" t="str">
        <f>IF(Tabla1[[#This Row],[ID]]="","",VLOOKUP(Tabla1[[#This Row],[ID]],Tabla1[],4,FALSE))</f>
        <v/>
      </c>
      <c r="J111" s="16">
        <f>Tabla1[[#This Row],[CN Literatura]]-Tabla1[[#This Row],[CN Predicted]]</f>
        <v>1.1676118334482979</v>
      </c>
    </row>
    <row r="112" spans="1:10" ht="15" customHeight="1" x14ac:dyDescent="0.25">
      <c r="A112" s="1">
        <f>Desgloce!A111</f>
        <v>564</v>
      </c>
      <c r="B112" s="14">
        <f>VLOOKUP(Tabla1[[#This Row],[No]],Tabla7[],7,FALSE)</f>
        <v>55.5</v>
      </c>
      <c r="C112" s="24">
        <v>58.556469986713502</v>
      </c>
      <c r="D112" s="15">
        <f>(B112-C112)/B112*100</f>
        <v>-5.507153129213517</v>
      </c>
      <c r="E112" s="14" t="str">
        <f>IF(Tabla1[[#This Row],[% Error1]]&gt;$E$1,Tabla1[[#This Row],[No]],IF(Tabla1[[#This Row],[% Error1]]&lt;-$E$1,Tabla1[[#This Row],[No]],""))</f>
        <v/>
      </c>
      <c r="F112" s="14" t="str">
        <f>IF(Tabla1[[#This Row],[ID]]="","",VLOOKUP(Tabla1[[#This Row],[ID]],Tabla7[],2,FALSE))</f>
        <v/>
      </c>
      <c r="G112" s="14" t="str">
        <f>IF(Tabla1[[#This Row],[ID]]="","",VLOOKUP(Tabla1[[#This Row],[ID]],Tabla7[],36,FALSE))</f>
        <v/>
      </c>
      <c r="H112" s="14" t="str">
        <f>IF(Tabla1[[#This Row],[ID]]="","",VLOOKUP(Tabla1[[#This Row],[ID]],Tabla7[],4,FALSE))</f>
        <v/>
      </c>
      <c r="I112" s="16" t="str">
        <f>IF(Tabla1[[#This Row],[ID]]="","",VLOOKUP(Tabla1[[#This Row],[ID]],Tabla1[],4,FALSE))</f>
        <v/>
      </c>
      <c r="J112" s="16">
        <f>Tabla1[[#This Row],[CN Literatura]]-Tabla1[[#This Row],[CN Predicted]]</f>
        <v>-3.0564699867135019</v>
      </c>
    </row>
    <row r="113" spans="1:10" ht="15" customHeight="1" x14ac:dyDescent="0.25">
      <c r="A113" s="1">
        <f>Desgloce!A112</f>
        <v>567</v>
      </c>
      <c r="B113" s="14">
        <f>VLOOKUP(Tabla1[[#This Row],[No]],Tabla7[],7,FALSE)</f>
        <v>56</v>
      </c>
      <c r="C113" s="24">
        <v>52.994142963073998</v>
      </c>
      <c r="D113" s="15">
        <f>(B113-C113)/B113*100</f>
        <v>5.3676018516535757</v>
      </c>
      <c r="E113" s="14" t="str">
        <f>IF(Tabla1[[#This Row],[% Error1]]&gt;$E$1,Tabla1[[#This Row],[No]],IF(Tabla1[[#This Row],[% Error1]]&lt;-$E$1,Tabla1[[#This Row],[No]],""))</f>
        <v/>
      </c>
      <c r="F113" s="14" t="str">
        <f>IF(Tabla1[[#This Row],[ID]]="","",VLOOKUP(Tabla1[[#This Row],[ID]],Tabla7[],2,FALSE))</f>
        <v/>
      </c>
      <c r="G113" s="14" t="str">
        <f>IF(Tabla1[[#This Row],[ID]]="","",VLOOKUP(Tabla1[[#This Row],[ID]],Tabla7[],36,FALSE))</f>
        <v/>
      </c>
      <c r="H113" s="14" t="str">
        <f>IF(Tabla1[[#This Row],[ID]]="","",VLOOKUP(Tabla1[[#This Row],[ID]],Tabla7[],4,FALSE))</f>
        <v/>
      </c>
      <c r="I113" s="16" t="str">
        <f>IF(Tabla1[[#This Row],[ID]]="","",VLOOKUP(Tabla1[[#This Row],[ID]],Tabla1[],4,FALSE))</f>
        <v/>
      </c>
      <c r="J113" s="16">
        <f>Tabla1[[#This Row],[CN Literatura]]-Tabla1[[#This Row],[CN Predicted]]</f>
        <v>3.0058570369260025</v>
      </c>
    </row>
    <row r="114" spans="1:10" ht="15" customHeight="1" x14ac:dyDescent="0.25">
      <c r="A114" s="1">
        <f>Desgloce!A113</f>
        <v>575</v>
      </c>
      <c r="B114" s="14">
        <f>VLOOKUP(Tabla1[[#This Row],[No]],Tabla7[],7,FALSE)</f>
        <v>56</v>
      </c>
      <c r="C114" s="24">
        <v>64.713456666001207</v>
      </c>
      <c r="D114" s="15">
        <f>(B114-C114)/B114*100</f>
        <v>-15.559744046430726</v>
      </c>
      <c r="E114" s="14">
        <f>IF(Tabla1[[#This Row],[% Error1]]&gt;$E$1,Tabla1[[#This Row],[No]],IF(Tabla1[[#This Row],[% Error1]]&lt;-$E$1,Tabla1[[#This Row],[No]],""))</f>
        <v>575</v>
      </c>
      <c r="F114" s="14" t="str">
        <f>IF(Tabla1[[#This Row],[ID]]="","",VLOOKUP(Tabla1[[#This Row],[ID]],Tabla7[],2,FALSE))</f>
        <v>CCCCCCCCC[C@@H](C)CC[C@@H](C)CCCCCCCCC</v>
      </c>
      <c r="G114" s="14" t="str">
        <f>IF(Tabla1[[#This Row],[ID]]="","",VLOOKUP(Tabla1[[#This Row],[ID]],Tabla7[],36,FALSE))</f>
        <v>Test</v>
      </c>
      <c r="H114" s="14" t="str">
        <f>IF(Tabla1[[#This Row],[ID]]="","",VLOOKUP(Tabla1[[#This Row],[ID]],Tabla7[],4,FALSE))</f>
        <v>n-Alkane</v>
      </c>
      <c r="I114" s="16">
        <f>IF(Tabla1[[#This Row],[ID]]="","",VLOOKUP(Tabla1[[#This Row],[ID]],Tabla1[],4,FALSE))</f>
        <v>-15.559744046430726</v>
      </c>
      <c r="J114" s="16">
        <f>Tabla1[[#This Row],[CN Literatura]]-Tabla1[[#This Row],[CN Predicted]]</f>
        <v>-8.7134566660012069</v>
      </c>
    </row>
    <row r="115" spans="1:10" ht="15" customHeight="1" x14ac:dyDescent="0.25">
      <c r="A115" s="1">
        <f>Desgloce!A114</f>
        <v>587</v>
      </c>
      <c r="B115" s="14">
        <f>VLOOKUP(Tabla1[[#This Row],[No]],Tabla7[],7,FALSE)</f>
        <v>58</v>
      </c>
      <c r="C115" s="24">
        <v>46.6696939657459</v>
      </c>
      <c r="D115" s="15">
        <f>(B115-C115)/B115*100</f>
        <v>19.535010403886378</v>
      </c>
      <c r="E115" s="14">
        <f>IF(Tabla1[[#This Row],[% Error1]]&gt;$E$1,Tabla1[[#This Row],[No]],IF(Tabla1[[#This Row],[% Error1]]&lt;-$E$1,Tabla1[[#This Row],[No]],""))</f>
        <v>587</v>
      </c>
      <c r="F115" s="14" t="str">
        <f>IF(Tabla1[[#This Row],[ID]]="","",VLOOKUP(Tabla1[[#This Row],[ID]],Tabla7[],2,FALSE))</f>
        <v>CCC(C)CCCC(C)CCCC(C)C</v>
      </c>
      <c r="G115" s="14" t="str">
        <f>IF(Tabla1[[#This Row],[ID]]="","",VLOOKUP(Tabla1[[#This Row],[ID]],Tabla7[],36,FALSE))</f>
        <v>Test</v>
      </c>
      <c r="H115" s="14" t="str">
        <f>IF(Tabla1[[#This Row],[ID]]="","",VLOOKUP(Tabla1[[#This Row],[ID]],Tabla7[],4,FALSE))</f>
        <v>iso-alkane</v>
      </c>
      <c r="I115" s="16">
        <f>IF(Tabla1[[#This Row],[ID]]="","",VLOOKUP(Tabla1[[#This Row],[ID]],Tabla1[],4,FALSE))</f>
        <v>19.535010403886378</v>
      </c>
      <c r="J115" s="16">
        <f>Tabla1[[#This Row],[CN Literatura]]-Tabla1[[#This Row],[CN Predicted]]</f>
        <v>11.3303060342541</v>
      </c>
    </row>
    <row r="116" spans="1:10" ht="15" customHeight="1" x14ac:dyDescent="0.25">
      <c r="A116" s="1">
        <f>Desgloce!A115</f>
        <v>588</v>
      </c>
      <c r="B116" s="14">
        <f>VLOOKUP(Tabla1[[#This Row],[No]],Tabla7[],7,FALSE)</f>
        <v>58</v>
      </c>
      <c r="C116" s="24">
        <v>35.818866000087397</v>
      </c>
      <c r="D116" s="15">
        <f>(B116-C116)/B116*100</f>
        <v>38.243334482607935</v>
      </c>
      <c r="E116" s="14">
        <f>IF(Tabla1[[#This Row],[% Error1]]&gt;$E$1,Tabla1[[#This Row],[No]],IF(Tabla1[[#This Row],[% Error1]]&lt;-$E$1,Tabla1[[#This Row],[No]],""))</f>
        <v>588</v>
      </c>
      <c r="F116" s="14" t="str">
        <f>IF(Tabla1[[#This Row],[ID]]="","",VLOOKUP(Tabla1[[#This Row],[ID]],Tabla7[],2,FALSE))</f>
        <v>CCCCCCC(C)CCC(C)C</v>
      </c>
      <c r="G116" s="14" t="str">
        <f>IF(Tabla1[[#This Row],[ID]]="","",VLOOKUP(Tabla1[[#This Row],[ID]],Tabla7[],36,FALSE))</f>
        <v>Test</v>
      </c>
      <c r="H116" s="14" t="str">
        <f>IF(Tabla1[[#This Row],[ID]]="","",VLOOKUP(Tabla1[[#This Row],[ID]],Tabla7[],4,FALSE))</f>
        <v>iso-alkane</v>
      </c>
      <c r="I116" s="16">
        <f>IF(Tabla1[[#This Row],[ID]]="","",VLOOKUP(Tabla1[[#This Row],[ID]],Tabla1[],4,FALSE))</f>
        <v>38.243334482607935</v>
      </c>
      <c r="J116" s="16">
        <f>Tabla1[[#This Row],[CN Literatura]]-Tabla1[[#This Row],[CN Predicted]]</f>
        <v>22.181133999912603</v>
      </c>
    </row>
    <row r="117" spans="1:10" ht="15" customHeight="1" x14ac:dyDescent="0.25">
      <c r="A117" s="1">
        <f>Desgloce!A116</f>
        <v>591</v>
      </c>
      <c r="B117" s="14">
        <f>VLOOKUP(Tabla1[[#This Row],[No]],Tabla7[],7,FALSE)</f>
        <v>58</v>
      </c>
      <c r="C117" s="24">
        <v>35.818866000087397</v>
      </c>
      <c r="D117" s="15">
        <f>(B117-C117)/B117*100</f>
        <v>38.243334482607935</v>
      </c>
      <c r="E117" s="14">
        <f>IF(Tabla1[[#This Row],[% Error1]]&gt;$E$1,Tabla1[[#This Row],[No]],IF(Tabla1[[#This Row],[% Error1]]&lt;-$E$1,Tabla1[[#This Row],[No]],""))</f>
        <v>591</v>
      </c>
      <c r="F117" s="14" t="str">
        <f>IF(Tabla1[[#This Row],[ID]]="","",VLOOKUP(Tabla1[[#This Row],[ID]],Tabla7[],2,FALSE))</f>
        <v>CCCCCC[C@H](C)CCC(C)C</v>
      </c>
      <c r="G117" s="14" t="str">
        <f>IF(Tabla1[[#This Row],[ID]]="","",VLOOKUP(Tabla1[[#This Row],[ID]],Tabla7[],36,FALSE))</f>
        <v>Test</v>
      </c>
      <c r="H117" s="14" t="str">
        <f>IF(Tabla1[[#This Row],[ID]]="","",VLOOKUP(Tabla1[[#This Row],[ID]],Tabla7[],4,FALSE))</f>
        <v>n-Alkane</v>
      </c>
      <c r="I117" s="16">
        <f>IF(Tabla1[[#This Row],[ID]]="","",VLOOKUP(Tabla1[[#This Row],[ID]],Tabla1[],4,FALSE))</f>
        <v>38.243334482607935</v>
      </c>
      <c r="J117" s="16">
        <f>Tabla1[[#This Row],[CN Literatura]]-Tabla1[[#This Row],[CN Predicted]]</f>
        <v>22.181133999912603</v>
      </c>
    </row>
    <row r="118" spans="1:10" ht="15" customHeight="1" x14ac:dyDescent="0.25">
      <c r="A118" s="1">
        <f>Desgloce!A117</f>
        <v>597</v>
      </c>
      <c r="B118" s="14">
        <f>VLOOKUP(Tabla1[[#This Row],[No]],Tabla7[],7,FALSE)</f>
        <v>59</v>
      </c>
      <c r="C118" s="24">
        <v>29.9333407238577</v>
      </c>
      <c r="D118" s="15">
        <f>(B118-C118)/B118*100</f>
        <v>49.265524196851359</v>
      </c>
      <c r="E118" s="14">
        <f>IF(Tabla1[[#This Row],[% Error1]]&gt;$E$1,Tabla1[[#This Row],[No]],IF(Tabla1[[#This Row],[% Error1]]&lt;-$E$1,Tabla1[[#This Row],[No]],""))</f>
        <v>597</v>
      </c>
      <c r="F118" s="14" t="str">
        <f>IF(Tabla1[[#This Row],[ID]]="","",VLOOKUP(Tabla1[[#This Row],[ID]],Tabla7[],2,FALSE))</f>
        <v>CCCCCCC(C)(C)C</v>
      </c>
      <c r="G118" s="14" t="str">
        <f>IF(Tabla1[[#This Row],[ID]]="","",VLOOKUP(Tabla1[[#This Row],[ID]],Tabla7[],36,FALSE))</f>
        <v>Test</v>
      </c>
      <c r="H118" s="14" t="str">
        <f>IF(Tabla1[[#This Row],[ID]]="","",VLOOKUP(Tabla1[[#This Row],[ID]],Tabla7[],4,FALSE))</f>
        <v>iso-alkane</v>
      </c>
      <c r="I118" s="16">
        <f>IF(Tabla1[[#This Row],[ID]]="","",VLOOKUP(Tabla1[[#This Row],[ID]],Tabla1[],4,FALSE))</f>
        <v>49.265524196851359</v>
      </c>
      <c r="J118" s="16">
        <f>Tabla1[[#This Row],[CN Literatura]]-Tabla1[[#This Row],[CN Predicted]]</f>
        <v>29.0666592761423</v>
      </c>
    </row>
    <row r="119" spans="1:10" ht="15" customHeight="1" x14ac:dyDescent="0.25">
      <c r="A119" s="1">
        <f>Desgloce!A118</f>
        <v>599</v>
      </c>
      <c r="B119" s="14">
        <f>VLOOKUP(Tabla1[[#This Row],[No]],Tabla7[],7,FALSE)</f>
        <v>59</v>
      </c>
      <c r="C119" s="24">
        <v>54.203099836156902</v>
      </c>
      <c r="D119" s="15">
        <f>(B119-C119)/B119*100</f>
        <v>8.1303392607510148</v>
      </c>
      <c r="E119" s="14" t="str">
        <f>IF(Tabla1[[#This Row],[% Error1]]&gt;$E$1,Tabla1[[#This Row],[No]],IF(Tabla1[[#This Row],[% Error1]]&lt;-$E$1,Tabla1[[#This Row],[No]],""))</f>
        <v/>
      </c>
      <c r="F119" s="14" t="str">
        <f>IF(Tabla1[[#This Row],[ID]]="","",VLOOKUP(Tabla1[[#This Row],[ID]],Tabla7[],2,FALSE))</f>
        <v/>
      </c>
      <c r="G119" s="14" t="str">
        <f>IF(Tabla1[[#This Row],[ID]]="","",VLOOKUP(Tabla1[[#This Row],[ID]],Tabla7[],36,FALSE))</f>
        <v/>
      </c>
      <c r="H119" s="14" t="str">
        <f>IF(Tabla1[[#This Row],[ID]]="","",VLOOKUP(Tabla1[[#This Row],[ID]],Tabla7[],4,FALSE))</f>
        <v/>
      </c>
      <c r="I119" s="16" t="str">
        <f>IF(Tabla1[[#This Row],[ID]]="","",VLOOKUP(Tabla1[[#This Row],[ID]],Tabla1[],4,FALSE))</f>
        <v/>
      </c>
      <c r="J119" s="16">
        <f>Tabla1[[#This Row],[CN Literatura]]-Tabla1[[#This Row],[CN Predicted]]</f>
        <v>4.7969001638430981</v>
      </c>
    </row>
    <row r="120" spans="1:10" ht="15" customHeight="1" x14ac:dyDescent="0.25">
      <c r="A120" s="1">
        <f>Desgloce!A119</f>
        <v>602</v>
      </c>
      <c r="B120" s="14">
        <f>VLOOKUP(Tabla1[[#This Row],[No]],Tabla7[],7,FALSE)</f>
        <v>59.3</v>
      </c>
      <c r="C120" s="24">
        <v>58.689921917946499</v>
      </c>
      <c r="D120" s="15">
        <f>(B120-C120)/B120*100</f>
        <v>1.028799463833892</v>
      </c>
      <c r="E120" s="14" t="str">
        <f>IF(Tabla1[[#This Row],[% Error1]]&gt;$E$1,Tabla1[[#This Row],[No]],IF(Tabla1[[#This Row],[% Error1]]&lt;-$E$1,Tabla1[[#This Row],[No]],""))</f>
        <v/>
      </c>
      <c r="F120" s="14" t="str">
        <f>IF(Tabla1[[#This Row],[ID]]="","",VLOOKUP(Tabla1[[#This Row],[ID]],Tabla7[],2,FALSE))</f>
        <v/>
      </c>
      <c r="G120" s="14" t="str">
        <f>IF(Tabla1[[#This Row],[ID]]="","",VLOOKUP(Tabla1[[#This Row],[ID]],Tabla7[],36,FALSE))</f>
        <v/>
      </c>
      <c r="H120" s="14" t="str">
        <f>IF(Tabla1[[#This Row],[ID]]="","",VLOOKUP(Tabla1[[#This Row],[ID]],Tabla7[],4,FALSE))</f>
        <v/>
      </c>
      <c r="I120" s="16" t="str">
        <f>IF(Tabla1[[#This Row],[ID]]="","",VLOOKUP(Tabla1[[#This Row],[ID]],Tabla1[],4,FALSE))</f>
        <v/>
      </c>
      <c r="J120" s="16">
        <f>Tabla1[[#This Row],[CN Literatura]]-Tabla1[[#This Row],[CN Predicted]]</f>
        <v>0.61007808205349789</v>
      </c>
    </row>
    <row r="121" spans="1:10" ht="15" customHeight="1" x14ac:dyDescent="0.25">
      <c r="A121" s="1">
        <f>Desgloce!A120</f>
        <v>615</v>
      </c>
      <c r="B121" s="14">
        <f>VLOOKUP(Tabla1[[#This Row],[No]],Tabla7[],7,FALSE)</f>
        <v>62.2</v>
      </c>
      <c r="C121" s="24">
        <v>57.050627298359601</v>
      </c>
      <c r="D121" s="15">
        <f>(B121-C121)/B121*100</f>
        <v>8.2787342470102931</v>
      </c>
      <c r="E121" s="14" t="str">
        <f>IF(Tabla1[[#This Row],[% Error1]]&gt;$E$1,Tabla1[[#This Row],[No]],IF(Tabla1[[#This Row],[% Error1]]&lt;-$E$1,Tabla1[[#This Row],[No]],""))</f>
        <v/>
      </c>
      <c r="F121" s="14" t="str">
        <f>IF(Tabla1[[#This Row],[ID]]="","",VLOOKUP(Tabla1[[#This Row],[ID]],Tabla7[],2,FALSE))</f>
        <v/>
      </c>
      <c r="G121" s="14" t="str">
        <f>IF(Tabla1[[#This Row],[ID]]="","",VLOOKUP(Tabla1[[#This Row],[ID]],Tabla7[],36,FALSE))</f>
        <v/>
      </c>
      <c r="H121" s="14" t="str">
        <f>IF(Tabla1[[#This Row],[ID]]="","",VLOOKUP(Tabla1[[#This Row],[ID]],Tabla7[],4,FALSE))</f>
        <v/>
      </c>
      <c r="I121" s="16" t="str">
        <f>IF(Tabla1[[#This Row],[ID]]="","",VLOOKUP(Tabla1[[#This Row],[ID]],Tabla1[],4,FALSE))</f>
        <v/>
      </c>
      <c r="J121" s="16">
        <f>Tabla1[[#This Row],[CN Literatura]]-Tabla1[[#This Row],[CN Predicted]]</f>
        <v>5.1493727016404023</v>
      </c>
    </row>
    <row r="122" spans="1:10" ht="15" customHeight="1" x14ac:dyDescent="0.25">
      <c r="A122" s="1">
        <f>Desgloce!A121</f>
        <v>619</v>
      </c>
      <c r="B122" s="14">
        <f>VLOOKUP(Tabla1[[#This Row],[No]],Tabla7[],7,FALSE)</f>
        <v>63.6</v>
      </c>
      <c r="C122" s="24">
        <v>58.689921917946499</v>
      </c>
      <c r="D122" s="15">
        <f>(B122-C122)/B122*100</f>
        <v>7.7202485566878964</v>
      </c>
      <c r="E122" s="14" t="str">
        <f>IF(Tabla1[[#This Row],[% Error1]]&gt;$E$1,Tabla1[[#This Row],[No]],IF(Tabla1[[#This Row],[% Error1]]&lt;-$E$1,Tabla1[[#This Row],[No]],""))</f>
        <v/>
      </c>
      <c r="F122" s="14" t="str">
        <f>IF(Tabla1[[#This Row],[ID]]="","",VLOOKUP(Tabla1[[#This Row],[ID]],Tabla7[],2,FALSE))</f>
        <v/>
      </c>
      <c r="G122" s="14" t="str">
        <f>IF(Tabla1[[#This Row],[ID]]="","",VLOOKUP(Tabla1[[#This Row],[ID]],Tabla7[],36,FALSE))</f>
        <v/>
      </c>
      <c r="H122" s="14" t="str">
        <f>IF(Tabla1[[#This Row],[ID]]="","",VLOOKUP(Tabla1[[#This Row],[ID]],Tabla7[],4,FALSE))</f>
        <v/>
      </c>
      <c r="I122" s="16" t="str">
        <f>IF(Tabla1[[#This Row],[ID]]="","",VLOOKUP(Tabla1[[#This Row],[ID]],Tabla1[],4,FALSE))</f>
        <v/>
      </c>
      <c r="J122" s="16">
        <f>Tabla1[[#This Row],[CN Literatura]]-Tabla1[[#This Row],[CN Predicted]]</f>
        <v>4.9100780820535022</v>
      </c>
    </row>
    <row r="123" spans="1:10" ht="15" customHeight="1" x14ac:dyDescent="0.25">
      <c r="A123" s="1">
        <f>Desgloce!A122</f>
        <v>621</v>
      </c>
      <c r="B123" s="14">
        <f>VLOOKUP(Tabla1[[#This Row],[No]],Tabla7[],7,FALSE)</f>
        <v>64.5</v>
      </c>
      <c r="C123" s="24">
        <v>57.096084042759998</v>
      </c>
      <c r="D123" s="15">
        <f>(B123-C123)/B123*100</f>
        <v>11.478939468589152</v>
      </c>
      <c r="E123" s="14">
        <f>IF(Tabla1[[#This Row],[% Error1]]&gt;$E$1,Tabla1[[#This Row],[No]],IF(Tabla1[[#This Row],[% Error1]]&lt;-$E$1,Tabla1[[#This Row],[No]],""))</f>
        <v>621</v>
      </c>
      <c r="F123" s="14" t="str">
        <f>IF(Tabla1[[#This Row],[ID]]="","",VLOOKUP(Tabla1[[#This Row],[ID]],Tabla7[],2,FALSE))</f>
        <v>COCOCCOCOC</v>
      </c>
      <c r="G123" s="14" t="str">
        <f>IF(Tabla1[[#This Row],[ID]]="","",VLOOKUP(Tabla1[[#This Row],[ID]],Tabla7[],36,FALSE))</f>
        <v>Test</v>
      </c>
      <c r="H123" s="14" t="str">
        <f>IF(Tabla1[[#This Row],[ID]]="","",VLOOKUP(Tabla1[[#This Row],[ID]],Tabla7[],4,FALSE))</f>
        <v>Ether</v>
      </c>
      <c r="I123" s="16">
        <f>IF(Tabla1[[#This Row],[ID]]="","",VLOOKUP(Tabla1[[#This Row],[ID]],Tabla1[],4,FALSE))</f>
        <v>11.478939468589152</v>
      </c>
      <c r="J123" s="16">
        <f>Tabla1[[#This Row],[CN Literatura]]-Tabla1[[#This Row],[CN Predicted]]</f>
        <v>7.4039159572400024</v>
      </c>
    </row>
    <row r="124" spans="1:10" ht="15" customHeight="1" x14ac:dyDescent="0.25">
      <c r="A124" s="1">
        <f>Desgloce!A123</f>
        <v>630</v>
      </c>
      <c r="B124" s="14">
        <f>VLOOKUP(Tabla1[[#This Row],[No]],Tabla7[],7,FALSE)</f>
        <v>66</v>
      </c>
      <c r="C124" s="24">
        <v>69.246527149691602</v>
      </c>
      <c r="D124" s="15">
        <f>(B124-C124)/B124*100</f>
        <v>-4.9189805298357596</v>
      </c>
      <c r="E124" s="14" t="str">
        <f>IF(Tabla1[[#This Row],[% Error1]]&gt;$E$1,Tabla1[[#This Row],[No]],IF(Tabla1[[#This Row],[% Error1]]&lt;-$E$1,Tabla1[[#This Row],[No]],""))</f>
        <v/>
      </c>
      <c r="F124" s="14" t="str">
        <f>IF(Tabla1[[#This Row],[ID]]="","",VLOOKUP(Tabla1[[#This Row],[ID]],Tabla7[],2,FALSE))</f>
        <v/>
      </c>
      <c r="G124" s="14" t="str">
        <f>IF(Tabla1[[#This Row],[ID]]="","",VLOOKUP(Tabla1[[#This Row],[ID]],Tabla7[],36,FALSE))</f>
        <v/>
      </c>
      <c r="H124" s="14" t="str">
        <f>IF(Tabla1[[#This Row],[ID]]="","",VLOOKUP(Tabla1[[#This Row],[ID]],Tabla7[],4,FALSE))</f>
        <v/>
      </c>
      <c r="I124" s="16" t="str">
        <f>IF(Tabla1[[#This Row],[ID]]="","",VLOOKUP(Tabla1[[#This Row],[ID]],Tabla1[],4,FALSE))</f>
        <v/>
      </c>
      <c r="J124" s="16">
        <f>Tabla1[[#This Row],[CN Literatura]]-Tabla1[[#This Row],[CN Predicted]]</f>
        <v>-3.2465271496916017</v>
      </c>
    </row>
    <row r="125" spans="1:10" ht="15" customHeight="1" x14ac:dyDescent="0.25">
      <c r="A125" s="1">
        <f>Desgloce!A124</f>
        <v>635</v>
      </c>
      <c r="B125" s="14">
        <f>VLOOKUP(Tabla1[[#This Row],[No]],Tabla7[],7,FALSE)</f>
        <v>67</v>
      </c>
      <c r="C125" s="24">
        <v>49.256590113698898</v>
      </c>
      <c r="D125" s="15">
        <f>(B125-C125)/B125*100</f>
        <v>26.482701322837464</v>
      </c>
      <c r="E125" s="14">
        <f>IF(Tabla1[[#This Row],[% Error1]]&gt;$E$1,Tabla1[[#This Row],[No]],IF(Tabla1[[#This Row],[% Error1]]&lt;-$E$1,Tabla1[[#This Row],[No]],""))</f>
        <v>635</v>
      </c>
      <c r="F125" s="14" t="str">
        <f>IF(Tabla1[[#This Row],[ID]]="","",VLOOKUP(Tabla1[[#This Row],[ID]],Tabla7[],2,FALSE))</f>
        <v>CCCCCC[C@@H](CC)[C@H](CC)CCCCCC</v>
      </c>
      <c r="G125" s="14" t="str">
        <f>IF(Tabla1[[#This Row],[ID]]="","",VLOOKUP(Tabla1[[#This Row],[ID]],Tabla7[],36,FALSE))</f>
        <v>Test</v>
      </c>
      <c r="H125" s="14" t="str">
        <f>IF(Tabla1[[#This Row],[ID]]="","",VLOOKUP(Tabla1[[#This Row],[ID]],Tabla7[],4,FALSE))</f>
        <v>n-Alkane</v>
      </c>
      <c r="I125" s="16">
        <f>IF(Tabla1[[#This Row],[ID]]="","",VLOOKUP(Tabla1[[#This Row],[ID]],Tabla1[],4,FALSE))</f>
        <v>26.482701322837464</v>
      </c>
      <c r="J125" s="16">
        <f>Tabla1[[#This Row],[CN Literatura]]-Tabla1[[#This Row],[CN Predicted]]</f>
        <v>17.743409886301102</v>
      </c>
    </row>
    <row r="126" spans="1:10" ht="15" customHeight="1" x14ac:dyDescent="0.25">
      <c r="A126" s="1">
        <f>Desgloce!A125</f>
        <v>636</v>
      </c>
      <c r="B126" s="14">
        <f>VLOOKUP(Tabla1[[#This Row],[No]],Tabla7[],7,FALSE)</f>
        <v>67</v>
      </c>
      <c r="C126" s="24">
        <v>48.070773982684102</v>
      </c>
      <c r="D126" s="15">
        <f>(B126-C126)/B126*100</f>
        <v>28.252576145247609</v>
      </c>
      <c r="E126" s="14">
        <f>IF(Tabla1[[#This Row],[% Error1]]&gt;$E$1,Tabla1[[#This Row],[No]],IF(Tabla1[[#This Row],[% Error1]]&lt;-$E$1,Tabla1[[#This Row],[No]],""))</f>
        <v>636</v>
      </c>
      <c r="F126" s="14" t="str">
        <f>IF(Tabla1[[#This Row],[ID]]="","",VLOOKUP(Tabla1[[#This Row],[ID]],Tabla7[],2,FALSE))</f>
        <v>CCCCCC[C@@H](CC)[C@@H](CC)CCCCCC</v>
      </c>
      <c r="G126" s="14" t="str">
        <f>IF(Tabla1[[#This Row],[ID]]="","",VLOOKUP(Tabla1[[#This Row],[ID]],Tabla7[],36,FALSE))</f>
        <v>Test</v>
      </c>
      <c r="H126" s="14" t="str">
        <f>IF(Tabla1[[#This Row],[ID]]="","",VLOOKUP(Tabla1[[#This Row],[ID]],Tabla7[],4,FALSE))</f>
        <v>n-Alkane</v>
      </c>
      <c r="I126" s="16">
        <f>IF(Tabla1[[#This Row],[ID]]="","",VLOOKUP(Tabla1[[#This Row],[ID]],Tabla1[],4,FALSE))</f>
        <v>28.252576145247609</v>
      </c>
      <c r="J126" s="16">
        <f>Tabla1[[#This Row],[CN Literatura]]-Tabla1[[#This Row],[CN Predicted]]</f>
        <v>18.929226017315898</v>
      </c>
    </row>
    <row r="127" spans="1:10" ht="15" customHeight="1" x14ac:dyDescent="0.25">
      <c r="A127" s="1">
        <f>Desgloce!A126</f>
        <v>639</v>
      </c>
      <c r="B127" s="14">
        <f>VLOOKUP(Tabla1[[#This Row],[No]],Tabla7[],7,FALSE)</f>
        <v>68</v>
      </c>
      <c r="C127" s="24">
        <v>65.289886566542805</v>
      </c>
      <c r="D127" s="15">
        <f>(B127-C127)/B127*100</f>
        <v>3.9854609315546989</v>
      </c>
      <c r="E127" s="14" t="str">
        <f>IF(Tabla1[[#This Row],[% Error1]]&gt;$E$1,Tabla1[[#This Row],[No]],IF(Tabla1[[#This Row],[% Error1]]&lt;-$E$1,Tabla1[[#This Row],[No]],""))</f>
        <v/>
      </c>
      <c r="F127" s="14" t="str">
        <f>IF(Tabla1[[#This Row],[ID]]="","",VLOOKUP(Tabla1[[#This Row],[ID]],Tabla7[],2,FALSE))</f>
        <v/>
      </c>
      <c r="G127" s="14" t="str">
        <f>IF(Tabla1[[#This Row],[ID]]="","",VLOOKUP(Tabla1[[#This Row],[ID]],Tabla7[],36,FALSE))</f>
        <v/>
      </c>
      <c r="H127" s="14" t="str">
        <f>IF(Tabla1[[#This Row],[ID]]="","",VLOOKUP(Tabla1[[#This Row],[ID]],Tabla7[],4,FALSE))</f>
        <v/>
      </c>
      <c r="I127" s="16" t="str">
        <f>IF(Tabla1[[#This Row],[ID]]="","",VLOOKUP(Tabla1[[#This Row],[ID]],Tabla1[],4,FALSE))</f>
        <v/>
      </c>
      <c r="J127" s="16">
        <f>Tabla1[[#This Row],[CN Literatura]]-Tabla1[[#This Row],[CN Predicted]]</f>
        <v>2.7101134334571952</v>
      </c>
    </row>
    <row r="128" spans="1:10" ht="15" customHeight="1" x14ac:dyDescent="0.25">
      <c r="A128" s="1">
        <f>Desgloce!A127</f>
        <v>645</v>
      </c>
      <c r="B128" s="14">
        <f>VLOOKUP(Tabla1[[#This Row],[No]],Tabla7[],7,FALSE)</f>
        <v>70</v>
      </c>
      <c r="C128" s="24">
        <v>56.401712092973</v>
      </c>
      <c r="D128" s="15">
        <f>(B128-C128)/B128*100</f>
        <v>19.426125581467144</v>
      </c>
      <c r="E128" s="14">
        <f>IF(Tabla1[[#This Row],[% Error1]]&gt;$E$1,Tabla1[[#This Row],[No]],IF(Tabla1[[#This Row],[% Error1]]&lt;-$E$1,Tabla1[[#This Row],[No]],""))</f>
        <v>645</v>
      </c>
      <c r="F128" s="14" t="str">
        <f>IF(Tabla1[[#This Row],[ID]]="","",VLOOKUP(Tabla1[[#This Row],[ID]],Tabla7[],2,FALSE))</f>
        <v>CCCCCCC(CCCC)CCCCCC</v>
      </c>
      <c r="G128" s="14" t="str">
        <f>IF(Tabla1[[#This Row],[ID]]="","",VLOOKUP(Tabla1[[#This Row],[ID]],Tabla7[],36,FALSE))</f>
        <v>Test</v>
      </c>
      <c r="H128" s="14" t="str">
        <f>IF(Tabla1[[#This Row],[ID]]="","",VLOOKUP(Tabla1[[#This Row],[ID]],Tabla7[],4,FALSE))</f>
        <v>iso-alkane</v>
      </c>
      <c r="I128" s="16">
        <f>IF(Tabla1[[#This Row],[ID]]="","",VLOOKUP(Tabla1[[#This Row],[ID]],Tabla1[],4,FALSE))</f>
        <v>19.426125581467144</v>
      </c>
      <c r="J128" s="16">
        <f>Tabla1[[#This Row],[CN Literatura]]-Tabla1[[#This Row],[CN Predicted]]</f>
        <v>13.598287907027</v>
      </c>
    </row>
    <row r="129" spans="1:10" ht="15" customHeight="1" x14ac:dyDescent="0.25">
      <c r="A129" s="1">
        <f>Desgloce!A128</f>
        <v>647</v>
      </c>
      <c r="B129" s="14">
        <f>VLOOKUP(Tabla1[[#This Row],[No]],Tabla7[],7,FALSE)</f>
        <v>71</v>
      </c>
      <c r="C129" s="24">
        <v>65.503137742304503</v>
      </c>
      <c r="D129" s="15">
        <f>(B129-C129)/B129*100</f>
        <v>7.7420595178809819</v>
      </c>
      <c r="E129" s="14" t="str">
        <f>IF(Tabla1[[#This Row],[% Error1]]&gt;$E$1,Tabla1[[#This Row],[No]],IF(Tabla1[[#This Row],[% Error1]]&lt;-$E$1,Tabla1[[#This Row],[No]],""))</f>
        <v/>
      </c>
      <c r="F129" s="14" t="str">
        <f>IF(Tabla1[[#This Row],[ID]]="","",VLOOKUP(Tabla1[[#This Row],[ID]],Tabla7[],2,FALSE))</f>
        <v/>
      </c>
      <c r="G129" s="14" t="str">
        <f>IF(Tabla1[[#This Row],[ID]]="","",VLOOKUP(Tabla1[[#This Row],[ID]],Tabla7[],36,FALSE))</f>
        <v/>
      </c>
      <c r="H129" s="14" t="str">
        <f>IF(Tabla1[[#This Row],[ID]]="","",VLOOKUP(Tabla1[[#This Row],[ID]],Tabla7[],4,FALSE))</f>
        <v/>
      </c>
      <c r="I129" s="16" t="str">
        <f>IF(Tabla1[[#This Row],[ID]]="","",VLOOKUP(Tabla1[[#This Row],[ID]],Tabla1[],4,FALSE))</f>
        <v/>
      </c>
      <c r="J129" s="16">
        <f>Tabla1[[#This Row],[CN Literatura]]-Tabla1[[#This Row],[CN Predicted]]</f>
        <v>5.4968622576954971</v>
      </c>
    </row>
    <row r="130" spans="1:10" ht="15" customHeight="1" x14ac:dyDescent="0.25">
      <c r="A130" s="1">
        <f>Desgloce!A129</f>
        <v>656</v>
      </c>
      <c r="B130" s="14">
        <f>VLOOKUP(Tabla1[[#This Row],[No]],Tabla7[],7,FALSE)</f>
        <v>72</v>
      </c>
      <c r="C130" s="24">
        <v>86.186270763738605</v>
      </c>
      <c r="D130" s="15">
        <f>(B130-C130)/B130*100</f>
        <v>-19.703153838525843</v>
      </c>
      <c r="E130" s="14">
        <f>IF(Tabla1[[#This Row],[% Error1]]&gt;$E$1,Tabla1[[#This Row],[No]],IF(Tabla1[[#This Row],[% Error1]]&lt;-$E$1,Tabla1[[#This Row],[No]],""))</f>
        <v>656</v>
      </c>
      <c r="F130" s="14" t="str">
        <f>IF(Tabla1[[#This Row],[ID]]="","",VLOOKUP(Tabla1[[#This Row],[ID]],Tabla7[],2,FALSE))</f>
        <v>C(CCCCCCCCCCCCC)(=O)OCCCCCCCCCC</v>
      </c>
      <c r="G130" s="14" t="str">
        <f>IF(Tabla1[[#This Row],[ID]]="","",VLOOKUP(Tabla1[[#This Row],[ID]],Tabla7[],36,FALSE))</f>
        <v>Test</v>
      </c>
      <c r="H130" s="14" t="str">
        <f>IF(Tabla1[[#This Row],[ID]]="","",VLOOKUP(Tabla1[[#This Row],[ID]],Tabla7[],4,FALSE))</f>
        <v>Ester: saturated</v>
      </c>
      <c r="I130" s="16">
        <f>IF(Tabla1[[#This Row],[ID]]="","",VLOOKUP(Tabla1[[#This Row],[ID]],Tabla1[],4,FALSE))</f>
        <v>-19.703153838525843</v>
      </c>
      <c r="J130" s="16">
        <f>Tabla1[[#This Row],[CN Literatura]]-Tabla1[[#This Row],[CN Predicted]]</f>
        <v>-14.186270763738605</v>
      </c>
    </row>
    <row r="131" spans="1:10" ht="15" customHeight="1" x14ac:dyDescent="0.25">
      <c r="A131" s="1">
        <f>Desgloce!A130</f>
        <v>660</v>
      </c>
      <c r="B131" s="14">
        <f>VLOOKUP(Tabla1[[#This Row],[No]],Tabla7[],7,FALSE)</f>
        <v>73</v>
      </c>
      <c r="C131" s="24">
        <v>70.026744055387098</v>
      </c>
      <c r="D131" s="15">
        <f>(B131-C131)/B131*100</f>
        <v>4.0729533487847966</v>
      </c>
      <c r="E131" s="14" t="str">
        <f>IF(Tabla1[[#This Row],[% Error1]]&gt;$E$1,Tabla1[[#This Row],[No]],IF(Tabla1[[#This Row],[% Error1]]&lt;-$E$1,Tabla1[[#This Row],[No]],""))</f>
        <v/>
      </c>
      <c r="F131" s="14" t="str">
        <f>IF(Tabla1[[#This Row],[ID]]="","",VLOOKUP(Tabla1[[#This Row],[ID]],Tabla7[],2,FALSE))</f>
        <v/>
      </c>
      <c r="G131" s="14" t="str">
        <f>IF(Tabla1[[#This Row],[ID]]="","",VLOOKUP(Tabla1[[#This Row],[ID]],Tabla7[],36,FALSE))</f>
        <v/>
      </c>
      <c r="H131" s="14" t="str">
        <f>IF(Tabla1[[#This Row],[ID]]="","",VLOOKUP(Tabla1[[#This Row],[ID]],Tabla7[],4,FALSE))</f>
        <v/>
      </c>
      <c r="I131" s="16" t="str">
        <f>IF(Tabla1[[#This Row],[ID]]="","",VLOOKUP(Tabla1[[#This Row],[ID]],Tabla1[],4,FALSE))</f>
        <v/>
      </c>
      <c r="J131" s="16">
        <f>Tabla1[[#This Row],[CN Literatura]]-Tabla1[[#This Row],[CN Predicted]]</f>
        <v>2.9732559446129017</v>
      </c>
    </row>
    <row r="132" spans="1:10" ht="15" customHeight="1" x14ac:dyDescent="0.25">
      <c r="A132" s="1">
        <f>Desgloce!A131</f>
        <v>672</v>
      </c>
      <c r="B132" s="14">
        <f>VLOOKUP(Tabla1[[#This Row],[No]],Tabla7[],7,FALSE)</f>
        <v>78.900000000000006</v>
      </c>
      <c r="C132" s="24">
        <v>69.5075007058945</v>
      </c>
      <c r="D132" s="15">
        <f>(B132-C132)/B132*100</f>
        <v>11.904308357548169</v>
      </c>
      <c r="E132" s="14">
        <f>IF(Tabla1[[#This Row],[% Error1]]&gt;$E$1,Tabla1[[#This Row],[No]],IF(Tabla1[[#This Row],[% Error1]]&lt;-$E$1,Tabla1[[#This Row],[No]],""))</f>
        <v>672</v>
      </c>
      <c r="F132" s="14" t="str">
        <f>IF(Tabla1[[#This Row],[ID]]="","",VLOOKUP(Tabla1[[#This Row],[ID]],Tabla7[],2,FALSE))</f>
        <v>C(C1CCCO1)OCC</v>
      </c>
      <c r="G132" s="14" t="str">
        <f>IF(Tabla1[[#This Row],[ID]]="","",VLOOKUP(Tabla1[[#This Row],[ID]],Tabla7[],36,FALSE))</f>
        <v>Test</v>
      </c>
      <c r="H132" s="14" t="str">
        <f>IF(Tabla1[[#This Row],[ID]]="","",VLOOKUP(Tabla1[[#This Row],[ID]],Tabla7[],4,FALSE))</f>
        <v>Ether</v>
      </c>
      <c r="I132" s="16">
        <f>IF(Tabla1[[#This Row],[ID]]="","",VLOOKUP(Tabla1[[#This Row],[ID]],Tabla1[],4,FALSE))</f>
        <v>11.904308357548169</v>
      </c>
      <c r="J132" s="16">
        <f>Tabla1[[#This Row],[CN Literatura]]-Tabla1[[#This Row],[CN Predicted]]</f>
        <v>9.3924992941055052</v>
      </c>
    </row>
    <row r="133" spans="1:10" ht="15" customHeight="1" x14ac:dyDescent="0.25">
      <c r="A133" s="1">
        <f>Desgloce!A132</f>
        <v>681</v>
      </c>
      <c r="B133" s="14">
        <f>VLOOKUP(Tabla1[[#This Row],[No]],Tabla7[],7,FALSE)</f>
        <v>81</v>
      </c>
      <c r="C133" s="24">
        <v>80.367020545216803</v>
      </c>
      <c r="D133" s="15">
        <f>(B133-C133)/B133*100</f>
        <v>0.78145611701629214</v>
      </c>
      <c r="E133" s="14" t="str">
        <f>IF(Tabla1[[#This Row],[% Error1]]&gt;$E$1,Tabla1[[#This Row],[No]],IF(Tabla1[[#This Row],[% Error1]]&lt;-$E$1,Tabla1[[#This Row],[No]],""))</f>
        <v/>
      </c>
      <c r="F133" s="14" t="str">
        <f>IF(Tabla1[[#This Row],[ID]]="","",VLOOKUP(Tabla1[[#This Row],[ID]],Tabla7[],2,FALSE))</f>
        <v/>
      </c>
      <c r="G133" s="14" t="str">
        <f>IF(Tabla1[[#This Row],[ID]]="","",VLOOKUP(Tabla1[[#This Row],[ID]],Tabla7[],36,FALSE))</f>
        <v/>
      </c>
      <c r="H133" s="14" t="str">
        <f>IF(Tabla1[[#This Row],[ID]]="","",VLOOKUP(Tabla1[[#This Row],[ID]],Tabla7[],4,FALSE))</f>
        <v/>
      </c>
      <c r="I133" s="16" t="str">
        <f>IF(Tabla1[[#This Row],[ID]]="","",VLOOKUP(Tabla1[[#This Row],[ID]],Tabla1[],4,FALSE))</f>
        <v/>
      </c>
      <c r="J133" s="16">
        <f>Tabla1[[#This Row],[CN Literatura]]-Tabla1[[#This Row],[CN Predicted]]</f>
        <v>0.63297945478319662</v>
      </c>
    </row>
    <row r="134" spans="1:10" ht="15" customHeight="1" x14ac:dyDescent="0.25">
      <c r="A134" s="1">
        <f>Desgloce!A133</f>
        <v>683</v>
      </c>
      <c r="B134" s="14">
        <f>VLOOKUP(Tabla1[[#This Row],[No]],Tabla7[],7,FALSE)</f>
        <v>81</v>
      </c>
      <c r="C134" s="24">
        <v>69.970522882219598</v>
      </c>
      <c r="D134" s="15">
        <f>(B134-C134)/B134*100</f>
        <v>13.616638417012842</v>
      </c>
      <c r="E134" s="14">
        <f>IF(Tabla1[[#This Row],[% Error1]]&gt;$E$1,Tabla1[[#This Row],[No]],IF(Tabla1[[#This Row],[% Error1]]&lt;-$E$1,Tabla1[[#This Row],[No]],""))</f>
        <v>683</v>
      </c>
      <c r="F134" s="14" t="str">
        <f>IF(Tabla1[[#This Row],[ID]]="","",VLOOKUP(Tabla1[[#This Row],[ID]],Tabla7[],2,FALSE))</f>
        <v>C(C)(=O)OCCCCCCCCCCCCCC</v>
      </c>
      <c r="G134" s="14" t="str">
        <f>IF(Tabla1[[#This Row],[ID]]="","",VLOOKUP(Tabla1[[#This Row],[ID]],Tabla7[],36,FALSE))</f>
        <v>Test</v>
      </c>
      <c r="H134" s="14" t="str">
        <f>IF(Tabla1[[#This Row],[ID]]="","",VLOOKUP(Tabla1[[#This Row],[ID]],Tabla7[],4,FALSE))</f>
        <v>Ester: saturated</v>
      </c>
      <c r="I134" s="16">
        <f>IF(Tabla1[[#This Row],[ID]]="","",VLOOKUP(Tabla1[[#This Row],[ID]],Tabla1[],4,FALSE))</f>
        <v>13.616638417012842</v>
      </c>
      <c r="J134" s="16">
        <f>Tabla1[[#This Row],[CN Literatura]]-Tabla1[[#This Row],[CN Predicted]]</f>
        <v>11.029477117780402</v>
      </c>
    </row>
    <row r="135" spans="1:10" ht="15" customHeight="1" x14ac:dyDescent="0.25">
      <c r="A135" s="1">
        <f>Desgloce!A134</f>
        <v>686</v>
      </c>
      <c r="B135" s="14">
        <f>VLOOKUP(Tabla1[[#This Row],[No]],Tabla7[],7,FALSE)</f>
        <v>81</v>
      </c>
      <c r="C135" s="24">
        <v>78.7507536385056</v>
      </c>
      <c r="D135" s="15">
        <f>(B135-C135)/B135*100</f>
        <v>2.7768473598696297</v>
      </c>
      <c r="E135" s="14" t="str">
        <f>IF(Tabla1[[#This Row],[% Error1]]&gt;$E$1,Tabla1[[#This Row],[No]],IF(Tabla1[[#This Row],[% Error1]]&lt;-$E$1,Tabla1[[#This Row],[No]],""))</f>
        <v/>
      </c>
      <c r="F135" s="14" t="str">
        <f>IF(Tabla1[[#This Row],[ID]]="","",VLOOKUP(Tabla1[[#This Row],[ID]],Tabla7[],2,FALSE))</f>
        <v/>
      </c>
      <c r="G135" s="14" t="str">
        <f>IF(Tabla1[[#This Row],[ID]]="","",VLOOKUP(Tabla1[[#This Row],[ID]],Tabla7[],36,FALSE))</f>
        <v/>
      </c>
      <c r="H135" s="14" t="str">
        <f>IF(Tabla1[[#This Row],[ID]]="","",VLOOKUP(Tabla1[[#This Row],[ID]],Tabla7[],4,FALSE))</f>
        <v/>
      </c>
      <c r="I135" s="16" t="str">
        <f>IF(Tabla1[[#This Row],[ID]]="","",VLOOKUP(Tabla1[[#This Row],[ID]],Tabla1[],4,FALSE))</f>
        <v/>
      </c>
      <c r="J135" s="16">
        <f>Tabla1[[#This Row],[CN Literatura]]-Tabla1[[#This Row],[CN Predicted]]</f>
        <v>2.2492463614944</v>
      </c>
    </row>
    <row r="136" spans="1:10" ht="15" customHeight="1" x14ac:dyDescent="0.25">
      <c r="A136" s="1">
        <f>Desgloce!A135</f>
        <v>687</v>
      </c>
      <c r="B136" s="14">
        <f>VLOOKUP(Tabla1[[#This Row],[No]],Tabla7[],7,FALSE)</f>
        <v>81.3</v>
      </c>
      <c r="C136" s="24">
        <v>98.356685114657296</v>
      </c>
      <c r="D136" s="15">
        <f>(B136-C136)/B136*100</f>
        <v>-20.979932490353381</v>
      </c>
      <c r="E136" s="14">
        <f>IF(Tabla1[[#This Row],[% Error1]]&gt;$E$1,Tabla1[[#This Row],[No]],IF(Tabla1[[#This Row],[% Error1]]&lt;-$E$1,Tabla1[[#This Row],[No]],""))</f>
        <v>687</v>
      </c>
      <c r="F136" s="14" t="str">
        <f>IF(Tabla1[[#This Row],[ID]]="","",VLOOKUP(Tabla1[[#This Row],[ID]],Tabla7[],2,FALSE))</f>
        <v>CC(COC(C)COC(C)COC)O</v>
      </c>
      <c r="G136" s="14" t="str">
        <f>IF(Tabla1[[#This Row],[ID]]="","",VLOOKUP(Tabla1[[#This Row],[ID]],Tabla7[],36,FALSE))</f>
        <v>Test</v>
      </c>
      <c r="H136" s="14" t="str">
        <f>IF(Tabla1[[#This Row],[ID]]="","",VLOOKUP(Tabla1[[#This Row],[ID]],Tabla7[],4,FALSE))</f>
        <v>Polyfunctional</v>
      </c>
      <c r="I136" s="16">
        <f>IF(Tabla1[[#This Row],[ID]]="","",VLOOKUP(Tabla1[[#This Row],[ID]],Tabla1[],4,FALSE))</f>
        <v>-20.979932490353381</v>
      </c>
      <c r="J136" s="16">
        <f>Tabla1[[#This Row],[CN Literatura]]-Tabla1[[#This Row],[CN Predicted]]</f>
        <v>-17.056685114657299</v>
      </c>
    </row>
    <row r="137" spans="1:10" ht="15" customHeight="1" x14ac:dyDescent="0.25">
      <c r="A137" s="1">
        <f>Desgloce!A136</f>
        <v>689</v>
      </c>
      <c r="B137" s="14">
        <f>VLOOKUP(Tabla1[[#This Row],[No]],Tabla7[],7,FALSE)</f>
        <v>82.7</v>
      </c>
      <c r="C137" s="24">
        <v>68.527410459516702</v>
      </c>
      <c r="D137" s="15">
        <f>(B137-C137)/B137*100</f>
        <v>17.137351318601333</v>
      </c>
      <c r="E137" s="14">
        <f>IF(Tabla1[[#This Row],[% Error1]]&gt;$E$1,Tabla1[[#This Row],[No]],IF(Tabla1[[#This Row],[% Error1]]&lt;-$E$1,Tabla1[[#This Row],[No]],""))</f>
        <v>689</v>
      </c>
      <c r="F137" s="14" t="str">
        <f>IF(Tabla1[[#This Row],[ID]]="","",VLOOKUP(Tabla1[[#This Row],[ID]],Tabla7[],2,FALSE))</f>
        <v>C=CCCCCCCCCCCCC</v>
      </c>
      <c r="G137" s="14" t="str">
        <f>IF(Tabla1[[#This Row],[ID]]="","",VLOOKUP(Tabla1[[#This Row],[ID]],Tabla7[],36,FALSE))</f>
        <v>Test</v>
      </c>
      <c r="H137" s="14" t="str">
        <f>IF(Tabla1[[#This Row],[ID]]="","",VLOOKUP(Tabla1[[#This Row],[ID]],Tabla7[],4,FALSE))</f>
        <v>Alkene</v>
      </c>
      <c r="I137" s="16">
        <f>IF(Tabla1[[#This Row],[ID]]="","",VLOOKUP(Tabla1[[#This Row],[ID]],Tabla1[],4,FALSE))</f>
        <v>17.137351318601333</v>
      </c>
      <c r="J137" s="16">
        <f>Tabla1[[#This Row],[CN Literatura]]-Tabla1[[#This Row],[CN Predicted]]</f>
        <v>14.172589540483301</v>
      </c>
    </row>
    <row r="138" spans="1:10" ht="15" customHeight="1" x14ac:dyDescent="0.25">
      <c r="A138" s="1">
        <f>Desgloce!A137</f>
        <v>698</v>
      </c>
      <c r="B138" s="14">
        <f>VLOOKUP(Tabla1[[#This Row],[No]],Tabla7[],7,FALSE)</f>
        <v>85</v>
      </c>
      <c r="C138" s="24">
        <v>86.2620758548059</v>
      </c>
      <c r="D138" s="15">
        <f>(B138-C138)/B138*100</f>
        <v>-1.484795123301059</v>
      </c>
      <c r="E138" s="14" t="str">
        <f>IF(Tabla1[[#This Row],[% Error1]]&gt;$E$1,Tabla1[[#This Row],[No]],IF(Tabla1[[#This Row],[% Error1]]&lt;-$E$1,Tabla1[[#This Row],[No]],""))</f>
        <v/>
      </c>
      <c r="F138" s="14" t="str">
        <f>IF(Tabla1[[#This Row],[ID]]="","",VLOOKUP(Tabla1[[#This Row],[ID]],Tabla7[],2,FALSE))</f>
        <v/>
      </c>
      <c r="G138" s="14" t="str">
        <f>IF(Tabla1[[#This Row],[ID]]="","",VLOOKUP(Tabla1[[#This Row],[ID]],Tabla7[],36,FALSE))</f>
        <v/>
      </c>
      <c r="H138" s="14" t="str">
        <f>IF(Tabla1[[#This Row],[ID]]="","",VLOOKUP(Tabla1[[#This Row],[ID]],Tabla7[],4,FALSE))</f>
        <v/>
      </c>
      <c r="I138" s="16" t="str">
        <f>IF(Tabla1[[#This Row],[ID]]="","",VLOOKUP(Tabla1[[#This Row],[ID]],Tabla1[],4,FALSE))</f>
        <v/>
      </c>
      <c r="J138" s="16">
        <f>Tabla1[[#This Row],[CN Literatura]]-Tabla1[[#This Row],[CN Predicted]]</f>
        <v>-1.2620758548059001</v>
      </c>
    </row>
    <row r="139" spans="1:10" ht="15" customHeight="1" x14ac:dyDescent="0.25">
      <c r="A139" s="1">
        <f>Desgloce!A138</f>
        <v>700</v>
      </c>
      <c r="B139" s="14">
        <f>VLOOKUP(Tabla1[[#This Row],[No]],Tabla7[],7,FALSE)</f>
        <v>85.9</v>
      </c>
      <c r="C139" s="24">
        <v>73.715381322674205</v>
      </c>
      <c r="D139" s="15">
        <f>(B139-C139)/B139*100</f>
        <v>14.184655037631899</v>
      </c>
      <c r="E139" s="14">
        <f>IF(Tabla1[[#This Row],[% Error1]]&gt;$E$1,Tabla1[[#This Row],[No]],IF(Tabla1[[#This Row],[% Error1]]&lt;-$E$1,Tabla1[[#This Row],[No]],""))</f>
        <v>700</v>
      </c>
      <c r="F139" s="14" t="str">
        <f>IF(Tabla1[[#This Row],[ID]]="","",VLOOKUP(Tabla1[[#This Row],[ID]],Tabla7[],2,FALSE))</f>
        <v>C(CCCCCCCCCCCCCCC)(=O)OC</v>
      </c>
      <c r="G139" s="14" t="str">
        <f>IF(Tabla1[[#This Row],[ID]]="","",VLOOKUP(Tabla1[[#This Row],[ID]],Tabla7[],36,FALSE))</f>
        <v>Test</v>
      </c>
      <c r="H139" s="14" t="str">
        <f>IF(Tabla1[[#This Row],[ID]]="","",VLOOKUP(Tabla1[[#This Row],[ID]],Tabla7[],4,FALSE))</f>
        <v>Ester: saturated</v>
      </c>
      <c r="I139" s="16">
        <f>IF(Tabla1[[#This Row],[ID]]="","",VLOOKUP(Tabla1[[#This Row],[ID]],Tabla1[],4,FALSE))</f>
        <v>14.184655037631899</v>
      </c>
      <c r="J139" s="16">
        <f>Tabla1[[#This Row],[CN Literatura]]-Tabla1[[#This Row],[CN Predicted]]</f>
        <v>12.184618677325801</v>
      </c>
    </row>
    <row r="140" spans="1:10" ht="15" customHeight="1" x14ac:dyDescent="0.25">
      <c r="A140" s="1">
        <f>Desgloce!A139</f>
        <v>702</v>
      </c>
      <c r="B140" s="14">
        <f>VLOOKUP(Tabla1[[#This Row],[No]],Tabla7[],7,FALSE)</f>
        <v>86</v>
      </c>
      <c r="C140" s="24">
        <v>73.405930232138402</v>
      </c>
      <c r="D140" s="15">
        <f>(B140-C140)/B140*100</f>
        <v>14.644267171932091</v>
      </c>
      <c r="E140" s="14">
        <f>IF(Tabla1[[#This Row],[% Error1]]&gt;$E$1,Tabla1[[#This Row],[No]],IF(Tabla1[[#This Row],[% Error1]]&lt;-$E$1,Tabla1[[#This Row],[No]],""))</f>
        <v>702</v>
      </c>
      <c r="F140" s="14" t="str">
        <f>IF(Tabla1[[#This Row],[ID]]="","",VLOOKUP(Tabla1[[#This Row],[ID]],Tabla7[],2,FALSE))</f>
        <v>C=CCCCCCCCCCCCCCC</v>
      </c>
      <c r="G140" s="14" t="str">
        <f>IF(Tabla1[[#This Row],[ID]]="","",VLOOKUP(Tabla1[[#This Row],[ID]],Tabla7[],36,FALSE))</f>
        <v>Test</v>
      </c>
      <c r="H140" s="14" t="str">
        <f>IF(Tabla1[[#This Row],[ID]]="","",VLOOKUP(Tabla1[[#This Row],[ID]],Tabla7[],4,FALSE))</f>
        <v>Alkene</v>
      </c>
      <c r="I140" s="16">
        <f>IF(Tabla1[[#This Row],[ID]]="","",VLOOKUP(Tabla1[[#This Row],[ID]],Tabla1[],4,FALSE))</f>
        <v>14.644267171932091</v>
      </c>
      <c r="J140" s="16">
        <f>Tabla1[[#This Row],[CN Literatura]]-Tabla1[[#This Row],[CN Predicted]]</f>
        <v>12.594069767861598</v>
      </c>
    </row>
    <row r="141" spans="1:10" ht="15" customHeight="1" x14ac:dyDescent="0.25">
      <c r="A141" s="1">
        <f>Desgloce!A140</f>
        <v>706</v>
      </c>
      <c r="B141" s="14">
        <f>VLOOKUP(Tabla1[[#This Row],[No]],Tabla7[],7,FALSE)</f>
        <v>86.4</v>
      </c>
      <c r="C141" s="24">
        <v>50.219691426010698</v>
      </c>
      <c r="D141" s="15">
        <f>(B141-C141)/B141*100</f>
        <v>41.875357145820956</v>
      </c>
      <c r="E141" s="14">
        <f>IF(Tabla1[[#This Row],[% Error1]]&gt;$E$1,Tabla1[[#This Row],[No]],IF(Tabla1[[#This Row],[% Error1]]&lt;-$E$1,Tabla1[[#This Row],[No]],""))</f>
        <v>706</v>
      </c>
      <c r="F141" s="14" t="str">
        <f>IF(Tabla1[[#This Row],[ID]]="","",VLOOKUP(Tabla1[[#This Row],[ID]],Tabla7[],2,FALSE))</f>
        <v>C(C)OC(C)(C)C</v>
      </c>
      <c r="G141" s="14" t="str">
        <f>IF(Tabla1[[#This Row],[ID]]="","",VLOOKUP(Tabla1[[#This Row],[ID]],Tabla7[],36,FALSE))</f>
        <v>Test</v>
      </c>
      <c r="H141" s="14" t="str">
        <f>IF(Tabla1[[#This Row],[ID]]="","",VLOOKUP(Tabla1[[#This Row],[ID]],Tabla7[],4,FALSE))</f>
        <v>Ether</v>
      </c>
      <c r="I141" s="16">
        <f>IF(Tabla1[[#This Row],[ID]]="","",VLOOKUP(Tabla1[[#This Row],[ID]],Tabla1[],4,FALSE))</f>
        <v>41.875357145820956</v>
      </c>
      <c r="J141" s="16">
        <f>Tabla1[[#This Row],[CN Literatura]]-Tabla1[[#This Row],[CN Predicted]]</f>
        <v>36.180308573989308</v>
      </c>
    </row>
    <row r="142" spans="1:10" ht="15" customHeight="1" x14ac:dyDescent="0.25">
      <c r="A142" s="1">
        <f>Desgloce!A141</f>
        <v>723</v>
      </c>
      <c r="B142" s="14">
        <f>VLOOKUP(Tabla1[[#This Row],[No]],Tabla7[],7,FALSE)</f>
        <v>95</v>
      </c>
      <c r="C142" s="24">
        <v>95.347828308068102</v>
      </c>
      <c r="D142" s="15">
        <f>(B142-C142)/B142*100</f>
        <v>-0.36613506112431832</v>
      </c>
      <c r="E142" s="14" t="str">
        <f>IF(Tabla1[[#This Row],[% Error1]]&gt;$E$1,Tabla1[[#This Row],[No]],IF(Tabla1[[#This Row],[% Error1]]&lt;-$E$1,Tabla1[[#This Row],[No]],""))</f>
        <v/>
      </c>
      <c r="F142" s="14" t="str">
        <f>IF(Tabla1[[#This Row],[ID]]="","",VLOOKUP(Tabla1[[#This Row],[ID]],Tabla7[],2,FALSE))</f>
        <v/>
      </c>
      <c r="G142" s="14" t="str">
        <f>IF(Tabla1[[#This Row],[ID]]="","",VLOOKUP(Tabla1[[#This Row],[ID]],Tabla7[],36,FALSE))</f>
        <v/>
      </c>
      <c r="H142" s="14" t="str">
        <f>IF(Tabla1[[#This Row],[ID]]="","",VLOOKUP(Tabla1[[#This Row],[ID]],Tabla7[],4,FALSE))</f>
        <v/>
      </c>
      <c r="I142" s="16" t="str">
        <f>IF(Tabla1[[#This Row],[ID]]="","",VLOOKUP(Tabla1[[#This Row],[ID]],Tabla1[],4,FALSE))</f>
        <v/>
      </c>
      <c r="J142" s="16">
        <f>Tabla1[[#This Row],[CN Literatura]]-Tabla1[[#This Row],[CN Predicted]]</f>
        <v>-0.34782830806810239</v>
      </c>
    </row>
    <row r="143" spans="1:10" ht="15" customHeight="1" x14ac:dyDescent="0.25">
      <c r="A143" s="1">
        <f>Desgloce!A142</f>
        <v>729</v>
      </c>
      <c r="B143" s="14">
        <f>VLOOKUP(Tabla1[[#This Row],[No]],Tabla7[],7,FALSE)</f>
        <v>98.2</v>
      </c>
      <c r="C143" s="24">
        <v>93.3594031885861</v>
      </c>
      <c r="D143" s="15">
        <f>(B143-C143)/B143*100</f>
        <v>4.9293246552076404</v>
      </c>
      <c r="E143" s="14" t="str">
        <f>IF(Tabla1[[#This Row],[% Error1]]&gt;$E$1,Tabla1[[#This Row],[No]],IF(Tabla1[[#This Row],[% Error1]]&lt;-$E$1,Tabla1[[#This Row],[No]],""))</f>
        <v/>
      </c>
      <c r="F143" s="14" t="str">
        <f>IF(Tabla1[[#This Row],[ID]]="","",VLOOKUP(Tabla1[[#This Row],[ID]],Tabla7[],2,FALSE))</f>
        <v/>
      </c>
      <c r="G143" s="14" t="str">
        <f>IF(Tabla1[[#This Row],[ID]]="","",VLOOKUP(Tabla1[[#This Row],[ID]],Tabla7[],36,FALSE))</f>
        <v/>
      </c>
      <c r="H143" s="14" t="str">
        <f>IF(Tabla1[[#This Row],[ID]]="","",VLOOKUP(Tabla1[[#This Row],[ID]],Tabla7[],4,FALSE))</f>
        <v/>
      </c>
      <c r="I143" s="16" t="str">
        <f>IF(Tabla1[[#This Row],[ID]]="","",VLOOKUP(Tabla1[[#This Row],[ID]],Tabla1[],4,FALSE))</f>
        <v/>
      </c>
      <c r="J143" s="16">
        <f>Tabla1[[#This Row],[CN Literatura]]-Tabla1[[#This Row],[CN Predicted]]</f>
        <v>4.8405968114139029</v>
      </c>
    </row>
    <row r="144" spans="1:10" ht="15" customHeight="1" x14ac:dyDescent="0.25">
      <c r="A144" s="1">
        <f>Desgloce!A143</f>
        <v>735</v>
      </c>
      <c r="B144" s="14">
        <f>VLOOKUP(Tabla1[[#This Row],[No]],Tabla7[],7,FALSE)</f>
        <v>100</v>
      </c>
      <c r="C144" s="24">
        <v>82.841774047206101</v>
      </c>
      <c r="D144" s="15">
        <f>(B144-C144)/B144*100</f>
        <v>17.158225952793899</v>
      </c>
      <c r="E144" s="14">
        <f>IF(Tabla1[[#This Row],[% Error1]]&gt;$E$1,Tabla1[[#This Row],[No]],IF(Tabla1[[#This Row],[% Error1]]&lt;-$E$1,Tabla1[[#This Row],[No]],""))</f>
        <v>735</v>
      </c>
      <c r="F144" s="14" t="str">
        <f>IF(Tabla1[[#This Row],[ID]]="","",VLOOKUP(Tabla1[[#This Row],[ID]],Tabla7[],2,FALSE))</f>
        <v>C(CCCCCCCCCCCCCCCCCCC)(=O)OC</v>
      </c>
      <c r="G144" s="14" t="str">
        <f>IF(Tabla1[[#This Row],[ID]]="","",VLOOKUP(Tabla1[[#This Row],[ID]],Tabla7[],36,FALSE))</f>
        <v>Test</v>
      </c>
      <c r="H144" s="14" t="str">
        <f>IF(Tabla1[[#This Row],[ID]]="","",VLOOKUP(Tabla1[[#This Row],[ID]],Tabla7[],4,FALSE))</f>
        <v>Ester: saturated</v>
      </c>
      <c r="I144" s="16">
        <f>IF(Tabla1[[#This Row],[ID]]="","",VLOOKUP(Tabla1[[#This Row],[ID]],Tabla1[],4,FALSE))</f>
        <v>17.158225952793899</v>
      </c>
      <c r="J144" s="16">
        <f>Tabla1[[#This Row],[CN Literatura]]-Tabla1[[#This Row],[CN Predicted]]</f>
        <v>17.158225952793899</v>
      </c>
    </row>
    <row r="145" spans="1:10" ht="15" customHeight="1" x14ac:dyDescent="0.25">
      <c r="A145" s="1">
        <f>Desgloce!A144</f>
        <v>2</v>
      </c>
      <c r="B145" s="14">
        <f>VLOOKUP(Tabla1[[#This Row],[No]],Tabla7[],7,FALSE)</f>
        <v>0</v>
      </c>
      <c r="C145" s="24">
        <v>4.7131868229695</v>
      </c>
      <c r="D145" s="15" t="e">
        <f>(B145-C145)/B145*100</f>
        <v>#DIV/0!</v>
      </c>
      <c r="E145" s="14"/>
      <c r="F145" s="14"/>
      <c r="G145" s="14"/>
      <c r="H145" s="14"/>
      <c r="I145" s="16"/>
      <c r="J145" s="16">
        <f>Tabla1[[#This Row],[CN Literatura]]-Tabla1[[#This Row],[CN Predicted]]</f>
        <v>-4.7131868229695</v>
      </c>
    </row>
    <row r="146" spans="1:10" ht="15" customHeight="1" x14ac:dyDescent="0.25">
      <c r="A146" s="1">
        <f>Desgloce!A145</f>
        <v>3</v>
      </c>
      <c r="B146" s="14">
        <f>VLOOKUP(Tabla1[[#This Row],[No]],Tabla7[],7,FALSE)</f>
        <v>0</v>
      </c>
      <c r="C146" s="24">
        <v>10.667903808389299</v>
      </c>
      <c r="D146" s="15" t="e">
        <f>(B146-C146)/B146*100</f>
        <v>#DIV/0!</v>
      </c>
      <c r="E146" s="14"/>
      <c r="F146" s="14"/>
      <c r="G146" s="14"/>
      <c r="H146" s="14"/>
      <c r="I146" s="16"/>
      <c r="J146" s="16">
        <f>Tabla1[[#This Row],[CN Literatura]]-Tabla1[[#This Row],[CN Predicted]]</f>
        <v>-10.667903808389299</v>
      </c>
    </row>
    <row r="147" spans="1:10" ht="15" customHeight="1" x14ac:dyDescent="0.25">
      <c r="A147" s="1">
        <f>Desgloce!A146</f>
        <v>5</v>
      </c>
      <c r="B147" s="14">
        <f>VLOOKUP(Tabla1[[#This Row],[No]],Tabla7[],7,FALSE)</f>
        <v>1</v>
      </c>
      <c r="C147" s="24">
        <v>10.0233089930218</v>
      </c>
      <c r="D147" s="15">
        <f>(B147-C147)/B147*100</f>
        <v>-902.33089930218</v>
      </c>
      <c r="E147" s="14">
        <f>IF(Tabla1[[#This Row],[% Error1]]&gt;$E$1,Tabla1[[#This Row],[No]],IF(Tabla1[[#This Row],[% Error1]]&lt;-$E$1,Tabla1[[#This Row],[No]],""))</f>
        <v>5</v>
      </c>
      <c r="F147" s="14" t="str">
        <f>IF(Tabla1[[#This Row],[ID]]="","",VLOOKUP(Tabla1[[#This Row],[ID]],Tabla7[],2,FALSE))</f>
        <v>c1ccc(cc1)CCc1ccccc1</v>
      </c>
      <c r="G147" s="14" t="str">
        <f>IF(Tabla1[[#This Row],[ID]]="","",VLOOKUP(Tabla1[[#This Row],[ID]],Tabla7[],36,FALSE))</f>
        <v>Training</v>
      </c>
      <c r="H147" s="14" t="str">
        <f>IF(Tabla1[[#This Row],[ID]]="","",VLOOKUP(Tabla1[[#This Row],[ID]],Tabla7[],4,FALSE))</f>
        <v>Aromatic</v>
      </c>
      <c r="I147" s="24">
        <f>IF(Tabla1[[#This Row],[ID]]="","",VLOOKUP(Tabla1[[#This Row],[ID]],Tabla1[],4,FALSE))</f>
        <v>-902.33089930218</v>
      </c>
      <c r="J147" s="16">
        <f>Tabla1[[#This Row],[CN Literatura]]-Tabla1[[#This Row],[CN Predicted]]</f>
        <v>-9.0233089930218</v>
      </c>
    </row>
    <row r="148" spans="1:10" ht="15" customHeight="1" x14ac:dyDescent="0.25">
      <c r="A148" s="1">
        <f>Desgloce!A147</f>
        <v>6</v>
      </c>
      <c r="B148" s="14">
        <f>VLOOKUP(Tabla1[[#This Row],[No]],Tabla7[],7,FALSE)</f>
        <v>1</v>
      </c>
      <c r="C148" s="24">
        <v>3.1528035380278299</v>
      </c>
      <c r="D148" s="15">
        <f>(B148-C148)/B148*100</f>
        <v>-215.280353802783</v>
      </c>
      <c r="E148" s="14">
        <f>IF(Tabla1[[#This Row],[% Error1]]&gt;$E$1,Tabla1[[#This Row],[No]],IF(Tabla1[[#This Row],[% Error1]]&lt;-$E$1,Tabla1[[#This Row],[No]],""))</f>
        <v>6</v>
      </c>
      <c r="F148" s="14" t="str">
        <f>IF(Tabla1[[#This Row],[ID]]="","",VLOOKUP(Tabla1[[#This Row],[ID]],Tabla7[],2,FALSE))</f>
        <v>Cc1cccc(C)c1</v>
      </c>
      <c r="G148" s="14" t="str">
        <f>IF(Tabla1[[#This Row],[ID]]="","",VLOOKUP(Tabla1[[#This Row],[ID]],Tabla7[],36,FALSE))</f>
        <v>Training</v>
      </c>
      <c r="H148" s="14" t="str">
        <f>IF(Tabla1[[#This Row],[ID]]="","",VLOOKUP(Tabla1[[#This Row],[ID]],Tabla7[],4,FALSE))</f>
        <v>Aromatic</v>
      </c>
      <c r="I148" s="24">
        <f>IF(Tabla1[[#This Row],[ID]]="","",VLOOKUP(Tabla1[[#This Row],[ID]],Tabla1[],4,FALSE))</f>
        <v>-215.280353802783</v>
      </c>
      <c r="J148" s="16">
        <f>Tabla1[[#This Row],[CN Literatura]]-Tabla1[[#This Row],[CN Predicted]]</f>
        <v>-2.1528035380278299</v>
      </c>
    </row>
    <row r="149" spans="1:10" ht="15" customHeight="1" x14ac:dyDescent="0.25">
      <c r="A149" s="1">
        <f>Desgloce!A148</f>
        <v>7</v>
      </c>
      <c r="B149" s="14">
        <f>VLOOKUP(Tabla1[[#This Row],[No]],Tabla7[],7,FALSE)</f>
        <v>1</v>
      </c>
      <c r="C149" s="24">
        <v>5.8014908191975296</v>
      </c>
      <c r="D149" s="15">
        <f>(B149-C149)/B149*100</f>
        <v>-480.14908191975297</v>
      </c>
      <c r="E149" s="14">
        <f>IF(Tabla1[[#This Row],[% Error1]]&gt;$E$1,Tabla1[[#This Row],[No]],IF(Tabla1[[#This Row],[% Error1]]&lt;-$E$1,Tabla1[[#This Row],[No]],""))</f>
        <v>7</v>
      </c>
      <c r="F149" s="14" t="str">
        <f>IF(Tabla1[[#This Row],[ID]]="","",VLOOKUP(Tabla1[[#This Row],[ID]],Tabla7[],2,FALSE))</f>
        <v>CC1=C(C=C(C(=C1)C)C)C</v>
      </c>
      <c r="G149" s="14" t="str">
        <f>IF(Tabla1[[#This Row],[ID]]="","",VLOOKUP(Tabla1[[#This Row],[ID]],Tabla7[],36,FALSE))</f>
        <v>Training</v>
      </c>
      <c r="H149" s="14" t="str">
        <f>IF(Tabla1[[#This Row],[ID]]="","",VLOOKUP(Tabla1[[#This Row],[ID]],Tabla7[],4,FALSE))</f>
        <v>Aromatic</v>
      </c>
      <c r="I149" s="24">
        <f>IF(Tabla1[[#This Row],[ID]]="","",VLOOKUP(Tabla1[[#This Row],[ID]],Tabla1[],4,FALSE))</f>
        <v>-480.14908191975297</v>
      </c>
      <c r="J149" s="16">
        <f>Tabla1[[#This Row],[CN Literatura]]-Tabla1[[#This Row],[CN Predicted]]</f>
        <v>-4.8014908191975296</v>
      </c>
    </row>
    <row r="150" spans="1:10" ht="15" customHeight="1" x14ac:dyDescent="0.25">
      <c r="A150" s="1">
        <f>Desgloce!A149</f>
        <v>8</v>
      </c>
      <c r="B150" s="14">
        <f>VLOOKUP(Tabla1[[#This Row],[No]],Tabla7[],7,FALSE)</f>
        <v>2</v>
      </c>
      <c r="C150" s="24">
        <v>6.1940918105268903</v>
      </c>
      <c r="D150" s="15">
        <f>(B150-C150)/B150*100</f>
        <v>-209.7045905263445</v>
      </c>
      <c r="E150" s="14">
        <f>IF(Tabla1[[#This Row],[% Error1]]&gt;$E$1,Tabla1[[#This Row],[No]],IF(Tabla1[[#This Row],[% Error1]]&lt;-$E$1,Tabla1[[#This Row],[No]],""))</f>
        <v>8</v>
      </c>
      <c r="F150" s="14" t="str">
        <f>IF(Tabla1[[#This Row],[ID]]="","",VLOOKUP(Tabla1[[#This Row],[ID]],Tabla7[],2,FALSE))</f>
        <v>Cc1ccc(cc1)C(C)C</v>
      </c>
      <c r="G150" s="14" t="str">
        <f>IF(Tabla1[[#This Row],[ID]]="","",VLOOKUP(Tabla1[[#This Row],[ID]],Tabla7[],36,FALSE))</f>
        <v>Training</v>
      </c>
      <c r="H150" s="14" t="str">
        <f>IF(Tabla1[[#This Row],[ID]]="","",VLOOKUP(Tabla1[[#This Row],[ID]],Tabla7[],4,FALSE))</f>
        <v>Aromatic</v>
      </c>
      <c r="I150" s="24">
        <f>IF(Tabla1[[#This Row],[ID]]="","",VLOOKUP(Tabla1[[#This Row],[ID]],Tabla1[],4,FALSE))</f>
        <v>-209.7045905263445</v>
      </c>
      <c r="J150" s="16">
        <f>Tabla1[[#This Row],[CN Literatura]]-Tabla1[[#This Row],[CN Predicted]]</f>
        <v>-4.1940918105268903</v>
      </c>
    </row>
    <row r="151" spans="1:10" ht="15" customHeight="1" x14ac:dyDescent="0.25">
      <c r="A151" s="1">
        <f>Desgloce!A150</f>
        <v>10</v>
      </c>
      <c r="B151" s="14">
        <f>VLOOKUP(Tabla1[[#This Row],[No]],Tabla7[],7,FALSE)</f>
        <v>2</v>
      </c>
      <c r="C151" s="24">
        <v>8.3010024421890591</v>
      </c>
      <c r="D151" s="15">
        <f>(B151-C151)/B151*100</f>
        <v>-315.05012210945296</v>
      </c>
      <c r="E151" s="14">
        <f>IF(Tabla1[[#This Row],[% Error1]]&gt;$E$1,Tabla1[[#This Row],[No]],IF(Tabla1[[#This Row],[% Error1]]&lt;-$E$1,Tabla1[[#This Row],[No]],""))</f>
        <v>10</v>
      </c>
      <c r="F151" s="14" t="str">
        <f>IF(Tabla1[[#This Row],[ID]]="","",VLOOKUP(Tabla1[[#This Row],[ID]],Tabla7[],2,FALSE))</f>
        <v>CC1=CC=C(C=C1)CCC</v>
      </c>
      <c r="G151" s="14" t="str">
        <f>IF(Tabla1[[#This Row],[ID]]="","",VLOOKUP(Tabla1[[#This Row],[ID]],Tabla7[],36,FALSE))</f>
        <v>Training</v>
      </c>
      <c r="H151" s="14" t="str">
        <f>IF(Tabla1[[#This Row],[ID]]="","",VLOOKUP(Tabla1[[#This Row],[ID]],Tabla7[],4,FALSE))</f>
        <v>Aromatic</v>
      </c>
      <c r="I151" s="24">
        <f>IF(Tabla1[[#This Row],[ID]]="","",VLOOKUP(Tabla1[[#This Row],[ID]],Tabla1[],4,FALSE))</f>
        <v>-315.05012210945296</v>
      </c>
      <c r="J151" s="16">
        <f>Tabla1[[#This Row],[CN Literatura]]-Tabla1[[#This Row],[CN Predicted]]</f>
        <v>-6.3010024421890591</v>
      </c>
    </row>
    <row r="152" spans="1:10" ht="15" customHeight="1" x14ac:dyDescent="0.25">
      <c r="A152" s="1">
        <f>Desgloce!A151</f>
        <v>11</v>
      </c>
      <c r="B152" s="14">
        <f>VLOOKUP(Tabla1[[#This Row],[No]],Tabla7[],7,FALSE)</f>
        <v>2.8</v>
      </c>
      <c r="C152" s="24">
        <v>1.1644304232609199</v>
      </c>
      <c r="D152" s="15">
        <f>(B152-C152)/B152*100</f>
        <v>58.413199169252863</v>
      </c>
      <c r="E152" s="14">
        <f>IF(Tabla1[[#This Row],[% Error1]]&gt;$E$1,Tabla1[[#This Row],[No]],IF(Tabla1[[#This Row],[% Error1]]&lt;-$E$1,Tabla1[[#This Row],[No]],""))</f>
        <v>11</v>
      </c>
      <c r="F152" s="14" t="str">
        <f>IF(Tabla1[[#This Row],[ID]]="","",VLOOKUP(Tabla1[[#This Row],[ID]],Tabla7[],2,FALSE))</f>
        <v>CC(C)c1cc(cc(c1)C(C)C)C(C)C</v>
      </c>
      <c r="G152" s="14" t="str">
        <f>IF(Tabla1[[#This Row],[ID]]="","",VLOOKUP(Tabla1[[#This Row],[ID]],Tabla7[],36,FALSE))</f>
        <v>Training</v>
      </c>
      <c r="H152" s="14" t="str">
        <f>IF(Tabla1[[#This Row],[ID]]="","",VLOOKUP(Tabla1[[#This Row],[ID]],Tabla7[],4,FALSE))</f>
        <v>Aromatic</v>
      </c>
      <c r="I152" s="24">
        <f>IF(Tabla1[[#This Row],[ID]]="","",VLOOKUP(Tabla1[[#This Row],[ID]],Tabla1[],4,FALSE))</f>
        <v>58.413199169252863</v>
      </c>
      <c r="J152" s="16">
        <f>Tabla1[[#This Row],[CN Literatura]]-Tabla1[[#This Row],[CN Predicted]]</f>
        <v>1.6355695767390799</v>
      </c>
    </row>
    <row r="153" spans="1:10" ht="15" customHeight="1" x14ac:dyDescent="0.25">
      <c r="A153" s="1">
        <f>Desgloce!A152</f>
        <v>12</v>
      </c>
      <c r="B153" s="14">
        <f>VLOOKUP(Tabla1[[#This Row],[No]],Tabla7[],7,FALSE)</f>
        <v>3</v>
      </c>
      <c r="C153" s="24">
        <v>6.2777936746956096</v>
      </c>
      <c r="D153" s="15">
        <f>(B153-C153)/B153*100</f>
        <v>-109.25978915652033</v>
      </c>
      <c r="E153" s="14">
        <f>IF(Tabla1[[#This Row],[% Error1]]&gt;$E$1,Tabla1[[#This Row],[No]],IF(Tabla1[[#This Row],[% Error1]]&lt;-$E$1,Tabla1[[#This Row],[No]],""))</f>
        <v>12</v>
      </c>
      <c r="F153" s="14" t="str">
        <f>IF(Tabla1[[#This Row],[ID]]="","",VLOOKUP(Tabla1[[#This Row],[ID]],Tabla7[],2,FALSE))</f>
        <v>CO</v>
      </c>
      <c r="G153" s="14" t="str">
        <f>IF(Tabla1[[#This Row],[ID]]="","",VLOOKUP(Tabla1[[#This Row],[ID]],Tabla7[],36,FALSE))</f>
        <v>Training</v>
      </c>
      <c r="H153" s="14" t="str">
        <f>IF(Tabla1[[#This Row],[ID]]="","",VLOOKUP(Tabla1[[#This Row],[ID]],Tabla7[],4,FALSE))</f>
        <v>Alcohol</v>
      </c>
      <c r="I153" s="16">
        <f>IF(Tabla1[[#This Row],[ID]]="","",VLOOKUP(Tabla1[[#This Row],[ID]],Tabla1[],4,FALSE))</f>
        <v>-109.25978915652033</v>
      </c>
      <c r="J153" s="16">
        <f>Tabla1[[#This Row],[CN Literatura]]-Tabla1[[#This Row],[CN Predicted]]</f>
        <v>-3.2777936746956096</v>
      </c>
    </row>
    <row r="154" spans="1:10" ht="15" customHeight="1" x14ac:dyDescent="0.25">
      <c r="A154" s="1">
        <f>Desgloce!A153</f>
        <v>14</v>
      </c>
      <c r="B154" s="14">
        <f>VLOOKUP(Tabla1[[#This Row],[No]],Tabla7[],7,FALSE)</f>
        <v>4</v>
      </c>
      <c r="C154" s="24">
        <v>0.958886671304093</v>
      </c>
      <c r="D154" s="15">
        <f>(B154-C154)/B154*100</f>
        <v>76.027833217397671</v>
      </c>
      <c r="E154" s="14">
        <f>IF(Tabla1[[#This Row],[% Error1]]&gt;$E$1,Tabla1[[#This Row],[No]],IF(Tabla1[[#This Row],[% Error1]]&lt;-$E$1,Tabla1[[#This Row],[No]],""))</f>
        <v>14</v>
      </c>
      <c r="F154" s="14" t="str">
        <f>IF(Tabla1[[#This Row],[ID]]="","",VLOOKUP(Tabla1[[#This Row],[ID]],Tabla7[],2,FALSE))</f>
        <v>CC1=CC=C(C=C1)C(C)C</v>
      </c>
      <c r="G154" s="14" t="str">
        <f>IF(Tabla1[[#This Row],[ID]]="","",VLOOKUP(Tabla1[[#This Row],[ID]],Tabla7[],36,FALSE))</f>
        <v>Training</v>
      </c>
      <c r="H154" s="14" t="str">
        <f>IF(Tabla1[[#This Row],[ID]]="","",VLOOKUP(Tabla1[[#This Row],[ID]],Tabla7[],4,FALSE))</f>
        <v>Aromatic</v>
      </c>
      <c r="I154" s="24">
        <f>IF(Tabla1[[#This Row],[ID]]="","",VLOOKUP(Tabla1[[#This Row],[ID]],Tabla1[],4,FALSE))</f>
        <v>76.027833217397671</v>
      </c>
      <c r="J154" s="16">
        <f>Tabla1[[#This Row],[CN Literatura]]-Tabla1[[#This Row],[CN Predicted]]</f>
        <v>3.0411133286959071</v>
      </c>
    </row>
    <row r="155" spans="1:10" ht="15" customHeight="1" x14ac:dyDescent="0.25">
      <c r="A155" s="1">
        <f>Desgloce!A154</f>
        <v>15</v>
      </c>
      <c r="B155" s="14">
        <f>VLOOKUP(Tabla1[[#This Row],[No]],Tabla7[],7,FALSE)</f>
        <v>4.09</v>
      </c>
      <c r="C155" s="24">
        <v>10.9009074113485</v>
      </c>
      <c r="D155" s="15">
        <f>(B155-C155)/B155*100</f>
        <v>-166.52585357820294</v>
      </c>
      <c r="E155" s="14">
        <f>IF(Tabla1[[#This Row],[% Error1]]&gt;$E$1,Tabla1[[#This Row],[No]],IF(Tabla1[[#This Row],[% Error1]]&lt;-$E$1,Tabla1[[#This Row],[No]],""))</f>
        <v>15</v>
      </c>
      <c r="F155" s="14" t="str">
        <f>IF(Tabla1[[#This Row],[ID]]="","",VLOOKUP(Tabla1[[#This Row],[ID]],Tabla7[],2,FALSE))</f>
        <v>CC(C)c1cccc(c1)C(C)C</v>
      </c>
      <c r="G155" s="14" t="str">
        <f>IF(Tabla1[[#This Row],[ID]]="","",VLOOKUP(Tabla1[[#This Row],[ID]],Tabla7[],36,FALSE))</f>
        <v>Training</v>
      </c>
      <c r="H155" s="14" t="str">
        <f>IF(Tabla1[[#This Row],[ID]]="","",VLOOKUP(Tabla1[[#This Row],[ID]],Tabla7[],4,FALSE))</f>
        <v>Aromatic</v>
      </c>
      <c r="I155" s="24">
        <f>IF(Tabla1[[#This Row],[ID]]="","",VLOOKUP(Tabla1[[#This Row],[ID]],Tabla1[],4,FALSE))</f>
        <v>-166.52585357820294</v>
      </c>
      <c r="J155" s="16">
        <f>Tabla1[[#This Row],[CN Literatura]]-Tabla1[[#This Row],[CN Predicted]]</f>
        <v>-6.8109074113485004</v>
      </c>
    </row>
    <row r="156" spans="1:10" ht="15" customHeight="1" x14ac:dyDescent="0.25">
      <c r="A156" s="1">
        <f>Desgloce!A155</f>
        <v>16</v>
      </c>
      <c r="B156" s="14">
        <f>VLOOKUP(Tabla1[[#This Row],[No]],Tabla7[],7,FALSE)</f>
        <v>4.5</v>
      </c>
      <c r="C156" s="24">
        <v>9.7257427055944401</v>
      </c>
      <c r="D156" s="15">
        <f>(B156-C156)/B156*100</f>
        <v>-116.12761567987644</v>
      </c>
      <c r="E156" s="14">
        <f>IF(Tabla1[[#This Row],[% Error1]]&gt;$E$1,Tabla1[[#This Row],[No]],IF(Tabla1[[#This Row],[% Error1]]&lt;-$E$1,Tabla1[[#This Row],[No]],""))</f>
        <v>16</v>
      </c>
      <c r="F156" s="14" t="str">
        <f>IF(Tabla1[[#This Row],[ID]]="","",VLOOKUP(Tabla1[[#This Row],[ID]],Tabla7[],2,FALSE))</f>
        <v>C=C(CC(C)(C)C)CC(C)(C)CC(C)(C)C</v>
      </c>
      <c r="G156" s="14" t="str">
        <f>IF(Tabla1[[#This Row],[ID]]="","",VLOOKUP(Tabla1[[#This Row],[ID]],Tabla7[],36,FALSE))</f>
        <v>Training</v>
      </c>
      <c r="H156" s="14" t="str">
        <f>IF(Tabla1[[#This Row],[ID]]="","",VLOOKUP(Tabla1[[#This Row],[ID]],Tabla7[],4,FALSE))</f>
        <v>Alkene</v>
      </c>
      <c r="I156" s="16">
        <f>IF(Tabla1[[#This Row],[ID]]="","",VLOOKUP(Tabla1[[#This Row],[ID]],Tabla1[],4,FALSE))</f>
        <v>-116.12761567987644</v>
      </c>
      <c r="J156" s="16">
        <f>Tabla1[[#This Row],[CN Literatura]]-Tabla1[[#This Row],[CN Predicted]]</f>
        <v>-5.2257427055944401</v>
      </c>
    </row>
    <row r="157" spans="1:10" ht="15" customHeight="1" x14ac:dyDescent="0.25">
      <c r="A157" s="1">
        <f>Desgloce!A156</f>
        <v>17</v>
      </c>
      <c r="B157" s="14">
        <f>VLOOKUP(Tabla1[[#This Row],[No]],Tabla7[],7,FALSE)</f>
        <v>4.9000000000000004</v>
      </c>
      <c r="C157" s="24">
        <v>23.0103077272964</v>
      </c>
      <c r="D157" s="15">
        <f>(B157-C157)/B157*100</f>
        <v>-369.59811688360003</v>
      </c>
      <c r="E157" s="14">
        <f>IF(Tabla1[[#This Row],[% Error1]]&gt;$E$1,Tabla1[[#This Row],[No]],IF(Tabla1[[#This Row],[% Error1]]&lt;-$E$1,Tabla1[[#This Row],[No]],""))</f>
        <v>17</v>
      </c>
      <c r="F157" s="14" t="str">
        <f>IF(Tabla1[[#This Row],[ID]]="","",VLOOKUP(Tabla1[[#This Row],[ID]],Tabla7[],2,FALSE))</f>
        <v>CC(CC)(CCC)C</v>
      </c>
      <c r="G157" s="14" t="str">
        <f>IF(Tabla1[[#This Row],[ID]]="","",VLOOKUP(Tabla1[[#This Row],[ID]],Tabla7[],36,FALSE))</f>
        <v>Training</v>
      </c>
      <c r="H157" s="14" t="str">
        <f>IF(Tabla1[[#This Row],[ID]]="","",VLOOKUP(Tabla1[[#This Row],[ID]],Tabla7[],4,FALSE))</f>
        <v>iso-alkane</v>
      </c>
      <c r="I157" s="16">
        <f>IF(Tabla1[[#This Row],[ID]]="","",VLOOKUP(Tabla1[[#This Row],[ID]],Tabla1[],4,FALSE))</f>
        <v>-369.59811688360003</v>
      </c>
      <c r="J157" s="16">
        <f>Tabla1[[#This Row],[CN Literatura]]-Tabla1[[#This Row],[CN Predicted]]</f>
        <v>-18.110307727296401</v>
      </c>
    </row>
    <row r="158" spans="1:10" ht="15" customHeight="1" x14ac:dyDescent="0.25">
      <c r="A158" s="1">
        <f>Desgloce!A157</f>
        <v>18</v>
      </c>
      <c r="B158" s="14">
        <f>VLOOKUP(Tabla1[[#This Row],[No]],Tabla7[],7,FALSE)</f>
        <v>5</v>
      </c>
      <c r="C158" s="24">
        <v>6.2777936746956096</v>
      </c>
      <c r="D158" s="15">
        <f>(B158-C158)/B158*100</f>
        <v>-25.555873493912191</v>
      </c>
      <c r="E158" s="14">
        <f>IF(Tabla1[[#This Row],[% Error1]]&gt;$E$1,Tabla1[[#This Row],[No]],IF(Tabla1[[#This Row],[% Error1]]&lt;-$E$1,Tabla1[[#This Row],[No]],""))</f>
        <v>18</v>
      </c>
      <c r="F158" s="14" t="str">
        <f>IF(Tabla1[[#This Row],[ID]]="","",VLOOKUP(Tabla1[[#This Row],[ID]],Tabla7[],2,FALSE))</f>
        <v>CO</v>
      </c>
      <c r="G158" s="14" t="str">
        <f>IF(Tabla1[[#This Row],[ID]]="","",VLOOKUP(Tabla1[[#This Row],[ID]],Tabla7[],36,FALSE))</f>
        <v>Training</v>
      </c>
      <c r="H158" s="14" t="str">
        <f>IF(Tabla1[[#This Row],[ID]]="","",VLOOKUP(Tabla1[[#This Row],[ID]],Tabla7[],4,FALSE))</f>
        <v>Alcohol</v>
      </c>
      <c r="I158" s="16">
        <f>IF(Tabla1[[#This Row],[ID]]="","",VLOOKUP(Tabla1[[#This Row],[ID]],Tabla1[],4,FALSE))</f>
        <v>-25.555873493912191</v>
      </c>
      <c r="J158" s="16">
        <f>Tabla1[[#This Row],[CN Literatura]]-Tabla1[[#This Row],[CN Predicted]]</f>
        <v>-1.2777936746956096</v>
      </c>
    </row>
    <row r="159" spans="1:10" ht="15" customHeight="1" x14ac:dyDescent="0.25">
      <c r="A159" s="1">
        <f>Desgloce!A158</f>
        <v>19</v>
      </c>
      <c r="B159" s="14">
        <f>VLOOKUP(Tabla1[[#This Row],[No]],Tabla7[],7,FALSE)</f>
        <v>5</v>
      </c>
      <c r="C159" s="24">
        <v>14.4212266114179</v>
      </c>
      <c r="D159" s="15">
        <f>(B159-C159)/B159*100</f>
        <v>-188.424532228358</v>
      </c>
      <c r="E159" s="14">
        <f>IF(Tabla1[[#This Row],[% Error1]]&gt;$E$1,Tabla1[[#This Row],[No]],IF(Tabla1[[#This Row],[% Error1]]&lt;-$E$1,Tabla1[[#This Row],[No]],""))</f>
        <v>19</v>
      </c>
      <c r="F159" s="14" t="str">
        <f>IF(Tabla1[[#This Row],[ID]]="","",VLOOKUP(Tabla1[[#This Row],[ID]],Tabla7[],2,FALSE))</f>
        <v>C(CCCCC(=O)OC)(=O)OC</v>
      </c>
      <c r="G159" s="14" t="str">
        <f>IF(Tabla1[[#This Row],[ID]]="","",VLOOKUP(Tabla1[[#This Row],[ID]],Tabla7[],36,FALSE))</f>
        <v>Training</v>
      </c>
      <c r="H159" s="14" t="str">
        <f>IF(Tabla1[[#This Row],[ID]]="","",VLOOKUP(Tabla1[[#This Row],[ID]],Tabla7[],4,FALSE))</f>
        <v>Ester of Dicarboxylic Acids</v>
      </c>
      <c r="I159" s="16">
        <f>IF(Tabla1[[#This Row],[ID]]="","",VLOOKUP(Tabla1[[#This Row],[ID]],Tabla1[],4,FALSE))</f>
        <v>-188.424532228358</v>
      </c>
      <c r="J159" s="16">
        <f>Tabla1[[#This Row],[CN Literatura]]-Tabla1[[#This Row],[CN Predicted]]</f>
        <v>-9.4212266114179002</v>
      </c>
    </row>
    <row r="160" spans="1:10" ht="15" customHeight="1" x14ac:dyDescent="0.25">
      <c r="A160" s="1">
        <f>Desgloce!A159</f>
        <v>20</v>
      </c>
      <c r="B160" s="14">
        <f>VLOOKUP(Tabla1[[#This Row],[No]],Tabla7[],7,FALSE)</f>
        <v>5.6</v>
      </c>
      <c r="C160" s="24">
        <v>5.66375201424525</v>
      </c>
      <c r="D160" s="15">
        <f>(B160-C160)/B160*100</f>
        <v>-1.1384288258080419</v>
      </c>
      <c r="E160" s="14" t="str">
        <f>IF(Tabla1[[#This Row],[% Error1]]&gt;$E$1,Tabla1[[#This Row],[No]],IF(Tabla1[[#This Row],[% Error1]]&lt;-$E$1,Tabla1[[#This Row],[No]],""))</f>
        <v/>
      </c>
      <c r="F160" s="14" t="str">
        <f>IF(Tabla1[[#This Row],[ID]]="","",VLOOKUP(Tabla1[[#This Row],[ID]],Tabla7[],2,FALSE))</f>
        <v/>
      </c>
      <c r="G160" s="14" t="str">
        <f>IF(Tabla1[[#This Row],[ID]]="","",VLOOKUP(Tabla1[[#This Row],[ID]],Tabla7[],36,FALSE))</f>
        <v/>
      </c>
      <c r="H160" s="14" t="str">
        <f>IF(Tabla1[[#This Row],[ID]]="","",VLOOKUP(Tabla1[[#This Row],[ID]],Tabla7[],4,FALSE))</f>
        <v/>
      </c>
      <c r="I160" s="16" t="str">
        <f>IF(Tabla1[[#This Row],[ID]]="","",VLOOKUP(Tabla1[[#This Row],[ID]],Tabla1[],4,FALSE))</f>
        <v/>
      </c>
      <c r="J160" s="16">
        <f>Tabla1[[#This Row],[CN Literatura]]-Tabla1[[#This Row],[CN Predicted]]</f>
        <v>-6.3752014245250344E-2</v>
      </c>
    </row>
    <row r="161" spans="1:10" ht="15" customHeight="1" x14ac:dyDescent="0.25">
      <c r="A161" s="1">
        <f>Desgloce!A160</f>
        <v>21</v>
      </c>
      <c r="B161" s="14">
        <f>VLOOKUP(Tabla1[[#This Row],[No]],Tabla7[],7,FALSE)</f>
        <v>6</v>
      </c>
      <c r="C161" s="24">
        <v>8.7077828155162198</v>
      </c>
      <c r="D161" s="15">
        <f>(B161-C161)/B161*100</f>
        <v>-45.129713591936998</v>
      </c>
      <c r="E161" s="14">
        <f>IF(Tabla1[[#This Row],[% Error1]]&gt;$E$1,Tabla1[[#This Row],[No]],IF(Tabla1[[#This Row],[% Error1]]&lt;-$E$1,Tabla1[[#This Row],[No]],""))</f>
        <v>21</v>
      </c>
      <c r="F161" s="14" t="str">
        <f>IF(Tabla1[[#This Row],[ID]]="","",VLOOKUP(Tabla1[[#This Row],[ID]],Tabla7[],2,FALSE))</f>
        <v>CCC(C)c1ccccc1</v>
      </c>
      <c r="G161" s="14" t="str">
        <f>IF(Tabla1[[#This Row],[ID]]="","",VLOOKUP(Tabla1[[#This Row],[ID]],Tabla7[],36,FALSE))</f>
        <v>Training</v>
      </c>
      <c r="H161" s="14" t="str">
        <f>IF(Tabla1[[#This Row],[ID]]="","",VLOOKUP(Tabla1[[#This Row],[ID]],Tabla7[],4,FALSE))</f>
        <v>Aromatic</v>
      </c>
      <c r="I161" s="24">
        <f>IF(Tabla1[[#This Row],[ID]]="","",VLOOKUP(Tabla1[[#This Row],[ID]],Tabla1[],4,FALSE))</f>
        <v>-45.129713591936998</v>
      </c>
      <c r="J161" s="16">
        <f>Tabla1[[#This Row],[CN Literatura]]-Tabla1[[#This Row],[CN Predicted]]</f>
        <v>-2.7077828155162198</v>
      </c>
    </row>
    <row r="162" spans="1:10" ht="15" customHeight="1" x14ac:dyDescent="0.25">
      <c r="A162" s="1">
        <f>Desgloce!A161</f>
        <v>22</v>
      </c>
      <c r="B162" s="14">
        <f>VLOOKUP(Tabla1[[#This Row],[No]],Tabla7[],7,FALSE)</f>
        <v>6</v>
      </c>
      <c r="C162" s="24">
        <v>6.5329085692487796</v>
      </c>
      <c r="D162" s="15">
        <f>(B162-C162)/B162*100</f>
        <v>-8.8818094874796589</v>
      </c>
      <c r="E162" s="14" t="str">
        <f>IF(Tabla1[[#This Row],[% Error1]]&gt;$E$1,Tabla1[[#This Row],[No]],IF(Tabla1[[#This Row],[% Error1]]&lt;-$E$1,Tabla1[[#This Row],[No]],""))</f>
        <v/>
      </c>
      <c r="F162" s="14" t="str">
        <f>IF(Tabla1[[#This Row],[ID]]="","",VLOOKUP(Tabla1[[#This Row],[ID]],Tabla7[],2,FALSE))</f>
        <v/>
      </c>
      <c r="G162" s="14" t="str">
        <f>IF(Tabla1[[#This Row],[ID]]="","",VLOOKUP(Tabla1[[#This Row],[ID]],Tabla7[],36,FALSE))</f>
        <v/>
      </c>
      <c r="H162" s="14" t="str">
        <f>IF(Tabla1[[#This Row],[ID]]="","",VLOOKUP(Tabla1[[#This Row],[ID]],Tabla7[],4,FALSE))</f>
        <v/>
      </c>
      <c r="I162" s="16" t="str">
        <f>IF(Tabla1[[#This Row],[ID]]="","",VLOOKUP(Tabla1[[#This Row],[ID]],Tabla1[],4,FALSE))</f>
        <v/>
      </c>
      <c r="J162" s="16">
        <f>Tabla1[[#This Row],[CN Literatura]]-Tabla1[[#This Row],[CN Predicted]]</f>
        <v>-0.53290856924877961</v>
      </c>
    </row>
    <row r="163" spans="1:10" ht="15" customHeight="1" x14ac:dyDescent="0.25">
      <c r="A163" s="1">
        <f>Desgloce!A162</f>
        <v>23</v>
      </c>
      <c r="B163" s="14">
        <f>VLOOKUP(Tabla1[[#This Row],[No]],Tabla7[],7,FALSE)</f>
        <v>6</v>
      </c>
      <c r="C163" s="24">
        <v>8.7077828155162198</v>
      </c>
      <c r="D163" s="15">
        <f>(B163-C163)/B163*100</f>
        <v>-45.129713591936998</v>
      </c>
      <c r="E163" s="14">
        <f>IF(Tabla1[[#This Row],[% Error1]]&gt;$E$1,Tabla1[[#This Row],[No]],IF(Tabla1[[#This Row],[% Error1]]&lt;-$E$1,Tabla1[[#This Row],[No]],""))</f>
        <v>23</v>
      </c>
      <c r="F163" s="14" t="str">
        <f>IF(Tabla1[[#This Row],[ID]]="","",VLOOKUP(Tabla1[[#This Row],[ID]],Tabla7[],2,FALSE))</f>
        <v>CC[C@@H](C)c1ccccc1</v>
      </c>
      <c r="G163" s="14" t="str">
        <f>IF(Tabla1[[#This Row],[ID]]="","",VLOOKUP(Tabla1[[#This Row],[ID]],Tabla7[],36,FALSE))</f>
        <v>Training</v>
      </c>
      <c r="H163" s="14" t="str">
        <f>IF(Tabla1[[#This Row],[ID]]="","",VLOOKUP(Tabla1[[#This Row],[ID]],Tabla7[],4,FALSE))</f>
        <v>Aromatic</v>
      </c>
      <c r="I163" s="24">
        <f>IF(Tabla1[[#This Row],[ID]]="","",VLOOKUP(Tabla1[[#This Row],[ID]],Tabla1[],4,FALSE))</f>
        <v>-45.129713591936998</v>
      </c>
      <c r="J163" s="16">
        <f>Tabla1[[#This Row],[CN Literatura]]-Tabla1[[#This Row],[CN Predicted]]</f>
        <v>-2.7077828155162198</v>
      </c>
    </row>
    <row r="164" spans="1:10" ht="15" customHeight="1" x14ac:dyDescent="0.25">
      <c r="A164" s="1">
        <f>Desgloce!A163</f>
        <v>28</v>
      </c>
      <c r="B164" s="14">
        <f>VLOOKUP(Tabla1[[#This Row],[No]],Tabla7[],7,FALSE)</f>
        <v>6</v>
      </c>
      <c r="C164" s="24">
        <v>7.4489039056387396</v>
      </c>
      <c r="D164" s="15">
        <f>(B164-C164)/B164*100</f>
        <v>-24.148398427312326</v>
      </c>
      <c r="E164" s="14">
        <f>IF(Tabla1[[#This Row],[% Error1]]&gt;$E$1,Tabla1[[#This Row],[No]],IF(Tabla1[[#This Row],[% Error1]]&lt;-$E$1,Tabla1[[#This Row],[No]],""))</f>
        <v>28</v>
      </c>
      <c r="F164" s="14" t="str">
        <f>IF(Tabla1[[#This Row],[ID]]="","",VLOOKUP(Tabla1[[#This Row],[ID]],Tabla7[],2,FALSE))</f>
        <v>CCOC(=O)CCC(=O)C</v>
      </c>
      <c r="G164" s="14" t="str">
        <f>IF(Tabla1[[#This Row],[ID]]="","",VLOOKUP(Tabla1[[#This Row],[ID]],Tabla7[],36,FALSE))</f>
        <v>Training</v>
      </c>
      <c r="H164" s="14" t="str">
        <f>IF(Tabla1[[#This Row],[ID]]="","",VLOOKUP(Tabla1[[#This Row],[ID]],Tabla7[],4,FALSE))</f>
        <v>Ester</v>
      </c>
      <c r="I164" s="16">
        <f>IF(Tabla1[[#This Row],[ID]]="","",VLOOKUP(Tabla1[[#This Row],[ID]],Tabla1[],4,FALSE))</f>
        <v>-24.148398427312326</v>
      </c>
      <c r="J164" s="16">
        <f>Tabla1[[#This Row],[CN Literatura]]-Tabla1[[#This Row],[CN Predicted]]</f>
        <v>-1.4489039056387396</v>
      </c>
    </row>
    <row r="165" spans="1:10" ht="15" customHeight="1" x14ac:dyDescent="0.25">
      <c r="A165" s="1">
        <f>Desgloce!A164</f>
        <v>29</v>
      </c>
      <c r="B165" s="14">
        <f>VLOOKUP(Tabla1[[#This Row],[No]],Tabla7[],7,FALSE)</f>
        <v>6</v>
      </c>
      <c r="C165" s="24">
        <v>7.5201600983274703</v>
      </c>
      <c r="D165" s="15">
        <f>(B165-C165)/B165*100</f>
        <v>-25.336001638791174</v>
      </c>
      <c r="E165" s="14">
        <f>IF(Tabla1[[#This Row],[% Error1]]&gt;$E$1,Tabla1[[#This Row],[No]],IF(Tabla1[[#This Row],[% Error1]]&lt;-$E$1,Tabla1[[#This Row],[No]],""))</f>
        <v>29</v>
      </c>
      <c r="F165" s="14" t="str">
        <f>IF(Tabla1[[#This Row],[ID]]="","",VLOOKUP(Tabla1[[#This Row],[ID]],Tabla7[],2,FALSE))</f>
        <v>C/C=C/C=C/C(=O)OC</v>
      </c>
      <c r="G165" s="14" t="str">
        <f>IF(Tabla1[[#This Row],[ID]]="","",VLOOKUP(Tabla1[[#This Row],[ID]],Tabla7[],36,FALSE))</f>
        <v>Training</v>
      </c>
      <c r="H165" s="14" t="str">
        <f>IF(Tabla1[[#This Row],[ID]]="","",VLOOKUP(Tabla1[[#This Row],[ID]],Tabla7[],4,FALSE))</f>
        <v>Ester</v>
      </c>
      <c r="I165" s="16">
        <f>IF(Tabla1[[#This Row],[ID]]="","",VLOOKUP(Tabla1[[#This Row],[ID]],Tabla1[],4,FALSE))</f>
        <v>-25.336001638791174</v>
      </c>
      <c r="J165" s="16">
        <f>Tabla1[[#This Row],[CN Literatura]]-Tabla1[[#This Row],[CN Predicted]]</f>
        <v>-1.5201600983274703</v>
      </c>
    </row>
    <row r="166" spans="1:10" ht="15" customHeight="1" x14ac:dyDescent="0.25">
      <c r="A166" s="1">
        <f>Desgloce!A165</f>
        <v>30</v>
      </c>
      <c r="B166" s="14">
        <f>VLOOKUP(Tabla1[[#This Row],[No]],Tabla7[],7,FALSE)</f>
        <v>6</v>
      </c>
      <c r="C166" s="24">
        <v>7.4489039056387396</v>
      </c>
      <c r="D166" s="15">
        <f>(B166-C166)/B166*100</f>
        <v>-24.148398427312326</v>
      </c>
      <c r="E166" s="14">
        <f>IF(Tabla1[[#This Row],[% Error1]]&gt;$E$1,Tabla1[[#This Row],[No]],IF(Tabla1[[#This Row],[% Error1]]&lt;-$E$1,Tabla1[[#This Row],[No]],""))</f>
        <v>30</v>
      </c>
      <c r="F166" s="14" t="str">
        <f>IF(Tabla1[[#This Row],[ID]]="","",VLOOKUP(Tabla1[[#This Row],[ID]],Tabla7[],2,FALSE))</f>
        <v>C(CCC(=O)C)(=O)OCC</v>
      </c>
      <c r="G166" s="14" t="str">
        <f>IF(Tabla1[[#This Row],[ID]]="","",VLOOKUP(Tabla1[[#This Row],[ID]],Tabla7[],36,FALSE))</f>
        <v>Training</v>
      </c>
      <c r="H166" s="14" t="str">
        <f>IF(Tabla1[[#This Row],[ID]]="","",VLOOKUP(Tabla1[[#This Row],[ID]],Tabla7[],4,FALSE))</f>
        <v>Ester: saturated</v>
      </c>
      <c r="I166" s="16">
        <f>IF(Tabla1[[#This Row],[ID]]="","",VLOOKUP(Tabla1[[#This Row],[ID]],Tabla1[],4,FALSE))</f>
        <v>-24.148398427312326</v>
      </c>
      <c r="J166" s="16">
        <f>Tabla1[[#This Row],[CN Literatura]]-Tabla1[[#This Row],[CN Predicted]]</f>
        <v>-1.4489039056387396</v>
      </c>
    </row>
    <row r="167" spans="1:10" ht="15" customHeight="1" x14ac:dyDescent="0.25">
      <c r="A167" s="1">
        <f>Desgloce!A166</f>
        <v>31</v>
      </c>
      <c r="B167" s="14">
        <f>VLOOKUP(Tabla1[[#This Row],[No]],Tabla7[],7,FALSE)</f>
        <v>6</v>
      </c>
      <c r="C167" s="24">
        <v>4.3458114507642502</v>
      </c>
      <c r="D167" s="15">
        <f>(B167-C167)/B167*100</f>
        <v>27.569809153929164</v>
      </c>
      <c r="E167" s="14">
        <f>IF(Tabla1[[#This Row],[% Error1]]&gt;$E$1,Tabla1[[#This Row],[No]],IF(Tabla1[[#This Row],[% Error1]]&lt;-$E$1,Tabla1[[#This Row],[No]],""))</f>
        <v>31</v>
      </c>
      <c r="F167" s="14" t="str">
        <f>IF(Tabla1[[#This Row],[ID]]="","",VLOOKUP(Tabla1[[#This Row],[ID]],Tabla7[],2,FALSE))</f>
        <v>C(\C=C\C=C\C)(=O)OC</v>
      </c>
      <c r="G167" s="14" t="str">
        <f>IF(Tabla1[[#This Row],[ID]]="","",VLOOKUP(Tabla1[[#This Row],[ID]],Tabla7[],36,FALSE))</f>
        <v>Training</v>
      </c>
      <c r="H167" s="14" t="str">
        <f>IF(Tabla1[[#This Row],[ID]]="","",VLOOKUP(Tabla1[[#This Row],[ID]],Tabla7[],4,FALSE))</f>
        <v>Ester: Unsaturated</v>
      </c>
      <c r="I167" s="16">
        <f>IF(Tabla1[[#This Row],[ID]]="","",VLOOKUP(Tabla1[[#This Row],[ID]],Tabla1[],4,FALSE))</f>
        <v>27.569809153929164</v>
      </c>
      <c r="J167" s="16">
        <f>Tabla1[[#This Row],[CN Literatura]]-Tabla1[[#This Row],[CN Predicted]]</f>
        <v>1.6541885492357498</v>
      </c>
    </row>
    <row r="168" spans="1:10" ht="15" customHeight="1" x14ac:dyDescent="0.25">
      <c r="A168" s="1">
        <f>Desgloce!A167</f>
        <v>33</v>
      </c>
      <c r="B168" s="14">
        <f>VLOOKUP(Tabla1[[#This Row],[No]],Tabla7[],7,FALSE)</f>
        <v>6.2</v>
      </c>
      <c r="C168" s="24">
        <v>7.3474392861164599</v>
      </c>
      <c r="D168" s="15">
        <f>(B168-C168)/B168*100</f>
        <v>-18.507085259942897</v>
      </c>
      <c r="E168" s="14">
        <f>IF(Tabla1[[#This Row],[% Error1]]&gt;$E$1,Tabla1[[#This Row],[No]],IF(Tabla1[[#This Row],[% Error1]]&lt;-$E$1,Tabla1[[#This Row],[No]],""))</f>
        <v>33</v>
      </c>
      <c r="F168" s="14" t="str">
        <f>IF(Tabla1[[#This Row],[ID]]="","",VLOOKUP(Tabla1[[#This Row],[ID]],Tabla7[],2,FALSE))</f>
        <v>C1(=CC=C(C=C1)C)C</v>
      </c>
      <c r="G168" s="14" t="str">
        <f>IF(Tabla1[[#This Row],[ID]]="","",VLOOKUP(Tabla1[[#This Row],[ID]],Tabla7[],36,FALSE))</f>
        <v>Training</v>
      </c>
      <c r="H168" s="14" t="str">
        <f>IF(Tabla1[[#This Row],[ID]]="","",VLOOKUP(Tabla1[[#This Row],[ID]],Tabla7[],4,FALSE))</f>
        <v>Aromatic</v>
      </c>
      <c r="I168" s="24">
        <f>IF(Tabla1[[#This Row],[ID]]="","",VLOOKUP(Tabla1[[#This Row],[ID]],Tabla1[],4,FALSE))</f>
        <v>-18.507085259942897</v>
      </c>
      <c r="J168" s="16">
        <f>Tabla1[[#This Row],[CN Literatura]]-Tabla1[[#This Row],[CN Predicted]]</f>
        <v>-1.1474392861164597</v>
      </c>
    </row>
    <row r="169" spans="1:10" ht="15" customHeight="1" x14ac:dyDescent="0.25">
      <c r="A169" s="1">
        <f>Desgloce!A168</f>
        <v>38</v>
      </c>
      <c r="B169" s="14">
        <f>VLOOKUP(Tabla1[[#This Row],[No]],Tabla7[],7,FALSE)</f>
        <v>6.7</v>
      </c>
      <c r="C169" s="24">
        <v>13.055343789117201</v>
      </c>
      <c r="D169" s="15">
        <f>(B169-C169)/B169*100</f>
        <v>-94.855877449510444</v>
      </c>
      <c r="E169" s="14">
        <f>IF(Tabla1[[#This Row],[% Error1]]&gt;$E$1,Tabla1[[#This Row],[No]],IF(Tabla1[[#This Row],[% Error1]]&lt;-$E$1,Tabla1[[#This Row],[No]],""))</f>
        <v>38</v>
      </c>
      <c r="F169" s="14" t="str">
        <f>IF(Tabla1[[#This Row],[ID]]="","",VLOOKUP(Tabla1[[#This Row],[ID]],Tabla7[],2,FALSE))</f>
        <v>CCCC(=O)OC(COC(=O)CCC)COC(=O)CCC</v>
      </c>
      <c r="G169" s="14" t="str">
        <f>IF(Tabla1[[#This Row],[ID]]="","",VLOOKUP(Tabla1[[#This Row],[ID]],Tabla7[],36,FALSE))</f>
        <v>Training</v>
      </c>
      <c r="H169" s="14" t="str">
        <f>IF(Tabla1[[#This Row],[ID]]="","",VLOOKUP(Tabla1[[#This Row],[ID]],Tabla7[],4,FALSE))</f>
        <v>Ester</v>
      </c>
      <c r="I169" s="16">
        <f>IF(Tabla1[[#This Row],[ID]]="","",VLOOKUP(Tabla1[[#This Row],[ID]],Tabla1[],4,FALSE))</f>
        <v>-94.855877449510444</v>
      </c>
      <c r="J169" s="16">
        <f>Tabla1[[#This Row],[CN Literatura]]-Tabla1[[#This Row],[CN Predicted]]</f>
        <v>-6.3553437891172004</v>
      </c>
    </row>
    <row r="170" spans="1:10" ht="15" customHeight="1" x14ac:dyDescent="0.25">
      <c r="A170" s="1">
        <f>Desgloce!A169</f>
        <v>39</v>
      </c>
      <c r="B170" s="14">
        <f>VLOOKUP(Tabla1[[#This Row],[No]],Tabla7[],7,FALSE)</f>
        <v>7</v>
      </c>
      <c r="C170" s="24">
        <v>7.9251210373041197</v>
      </c>
      <c r="D170" s="15">
        <f>(B170-C170)/B170*100</f>
        <v>-13.216014818630281</v>
      </c>
      <c r="E170" s="14">
        <f>IF(Tabla1[[#This Row],[% Error1]]&gt;$E$1,Tabla1[[#This Row],[No]],IF(Tabla1[[#This Row],[% Error1]]&lt;-$E$1,Tabla1[[#This Row],[No]],""))</f>
        <v>39</v>
      </c>
      <c r="F170" s="14" t="str">
        <f>IF(Tabla1[[#This Row],[ID]]="","",VLOOKUP(Tabla1[[#This Row],[ID]],Tabla7[],2,FALSE))</f>
        <v>C(C)(CC)C1CCCC2=CC=CC=C12</v>
      </c>
      <c r="G170" s="14" t="str">
        <f>IF(Tabla1[[#This Row],[ID]]="","",VLOOKUP(Tabla1[[#This Row],[ID]],Tabla7[],36,FALSE))</f>
        <v>Training</v>
      </c>
      <c r="H170" s="14" t="str">
        <f>IF(Tabla1[[#This Row],[ID]]="","",VLOOKUP(Tabla1[[#This Row],[ID]],Tabla7[],4,FALSE))</f>
        <v>Aromatic</v>
      </c>
      <c r="I170" s="24">
        <f>IF(Tabla1[[#This Row],[ID]]="","",VLOOKUP(Tabla1[[#This Row],[ID]],Tabla1[],4,FALSE))</f>
        <v>-13.216014818630281</v>
      </c>
      <c r="J170" s="16">
        <f>Tabla1[[#This Row],[CN Literatura]]-Tabla1[[#This Row],[CN Predicted]]</f>
        <v>-0.92512103730411965</v>
      </c>
    </row>
    <row r="171" spans="1:10" ht="15" customHeight="1" x14ac:dyDescent="0.25">
      <c r="A171" s="1">
        <f>Desgloce!A170</f>
        <v>40</v>
      </c>
      <c r="B171" s="14">
        <f>VLOOKUP(Tabla1[[#This Row],[No]],Tabla7[],7,FALSE)</f>
        <v>7</v>
      </c>
      <c r="C171" s="24">
        <v>7.8388610922268303</v>
      </c>
      <c r="D171" s="15">
        <f>(B171-C171)/B171*100</f>
        <v>-11.983729888954718</v>
      </c>
      <c r="E171" s="14">
        <f>IF(Tabla1[[#This Row],[% Error1]]&gt;$E$1,Tabla1[[#This Row],[No]],IF(Tabla1[[#This Row],[% Error1]]&lt;-$E$1,Tabla1[[#This Row],[No]],""))</f>
        <v>40</v>
      </c>
      <c r="F171" s="14" t="str">
        <f>IF(Tabla1[[#This Row],[ID]]="","",VLOOKUP(Tabla1[[#This Row],[ID]],Tabla7[],2,FALSE))</f>
        <v>CC[C@@H](C)C1CCCc2ccccc12</v>
      </c>
      <c r="G171" s="14" t="str">
        <f>IF(Tabla1[[#This Row],[ID]]="","",VLOOKUP(Tabla1[[#This Row],[ID]],Tabla7[],36,FALSE))</f>
        <v>Training</v>
      </c>
      <c r="H171" s="14" t="str">
        <f>IF(Tabla1[[#This Row],[ID]]="","",VLOOKUP(Tabla1[[#This Row],[ID]],Tabla7[],4,FALSE))</f>
        <v>Aromatic</v>
      </c>
      <c r="I171" s="24">
        <f>IF(Tabla1[[#This Row],[ID]]="","",VLOOKUP(Tabla1[[#This Row],[ID]],Tabla1[],4,FALSE))</f>
        <v>-11.983729888954718</v>
      </c>
      <c r="J171" s="16">
        <f>Tabla1[[#This Row],[CN Literatura]]-Tabla1[[#This Row],[CN Predicted]]</f>
        <v>-0.83886109222683025</v>
      </c>
    </row>
    <row r="172" spans="1:10" ht="15" customHeight="1" x14ac:dyDescent="0.25">
      <c r="A172" s="1">
        <f>Desgloce!A171</f>
        <v>41</v>
      </c>
      <c r="B172" s="14">
        <f>VLOOKUP(Tabla1[[#This Row],[No]],Tabla7[],7,FALSE)</f>
        <v>7</v>
      </c>
      <c r="C172" s="24">
        <v>7.8388610922268303</v>
      </c>
      <c r="D172" s="15">
        <f>(B172-C172)/B172*100</f>
        <v>-11.983729888954718</v>
      </c>
      <c r="E172" s="14">
        <f>IF(Tabla1[[#This Row],[% Error1]]&gt;$E$1,Tabla1[[#This Row],[No]],IF(Tabla1[[#This Row],[% Error1]]&lt;-$E$1,Tabla1[[#This Row],[No]],""))</f>
        <v>41</v>
      </c>
      <c r="F172" s="14" t="str">
        <f>IF(Tabla1[[#This Row],[ID]]="","",VLOOKUP(Tabla1[[#This Row],[ID]],Tabla7[],2,FALSE))</f>
        <v>CC[C@H](C)C1CCCc2ccccc12</v>
      </c>
      <c r="G172" s="14" t="str">
        <f>IF(Tabla1[[#This Row],[ID]]="","",VLOOKUP(Tabla1[[#This Row],[ID]],Tabla7[],36,FALSE))</f>
        <v>Training</v>
      </c>
      <c r="H172" s="14" t="str">
        <f>IF(Tabla1[[#This Row],[ID]]="","",VLOOKUP(Tabla1[[#This Row],[ID]],Tabla7[],4,FALSE))</f>
        <v>Aromatic</v>
      </c>
      <c r="I172" s="24">
        <f>IF(Tabla1[[#This Row],[ID]]="","",VLOOKUP(Tabla1[[#This Row],[ID]],Tabla1[],4,FALSE))</f>
        <v>-11.983729888954718</v>
      </c>
      <c r="J172" s="16">
        <f>Tabla1[[#This Row],[CN Literatura]]-Tabla1[[#This Row],[CN Predicted]]</f>
        <v>-0.83886109222683025</v>
      </c>
    </row>
    <row r="173" spans="1:10" ht="15" customHeight="1" x14ac:dyDescent="0.25">
      <c r="A173" s="1">
        <f>Desgloce!A172</f>
        <v>42</v>
      </c>
      <c r="B173" s="14">
        <f>VLOOKUP(Tabla1[[#This Row],[No]],Tabla7[],7,FALSE)</f>
        <v>7</v>
      </c>
      <c r="C173" s="24">
        <v>5.8458932985564704</v>
      </c>
      <c r="D173" s="15">
        <f>(B173-C173)/B173*100</f>
        <v>16.487238592050421</v>
      </c>
      <c r="E173" s="14">
        <f>IF(Tabla1[[#This Row],[% Error1]]&gt;$E$1,Tabla1[[#This Row],[No]],IF(Tabla1[[#This Row],[% Error1]]&lt;-$E$1,Tabla1[[#This Row],[No]],""))</f>
        <v>42</v>
      </c>
      <c r="F173" s="14" t="str">
        <f>IF(Tabla1[[#This Row],[ID]]="","",VLOOKUP(Tabla1[[#This Row],[ID]],Tabla7[],2,FALSE))</f>
        <v>C1(=CC(=CC=C1)C)C</v>
      </c>
      <c r="G173" s="14" t="str">
        <f>IF(Tabla1[[#This Row],[ID]]="","",VLOOKUP(Tabla1[[#This Row],[ID]],Tabla7[],36,FALSE))</f>
        <v>Training</v>
      </c>
      <c r="H173" s="14" t="str">
        <f>IF(Tabla1[[#This Row],[ID]]="","",VLOOKUP(Tabla1[[#This Row],[ID]],Tabla7[],4,FALSE))</f>
        <v>Aromatic</v>
      </c>
      <c r="I173" s="24">
        <f>IF(Tabla1[[#This Row],[ID]]="","",VLOOKUP(Tabla1[[#This Row],[ID]],Tabla1[],4,FALSE))</f>
        <v>16.487238592050421</v>
      </c>
      <c r="J173" s="16">
        <f>Tabla1[[#This Row],[CN Literatura]]-Tabla1[[#This Row],[CN Predicted]]</f>
        <v>1.1541067014435296</v>
      </c>
    </row>
    <row r="174" spans="1:10" ht="15" customHeight="1" x14ac:dyDescent="0.25">
      <c r="A174" s="1">
        <f>Desgloce!A173</f>
        <v>43</v>
      </c>
      <c r="B174" s="14">
        <f>VLOOKUP(Tabla1[[#This Row],[No]],Tabla7[],7,FALSE)</f>
        <v>7</v>
      </c>
      <c r="C174" s="24">
        <v>5.3778220525589902</v>
      </c>
      <c r="D174" s="15">
        <f>(B174-C174)/B174*100</f>
        <v>23.173970677728711</v>
      </c>
      <c r="E174" s="14">
        <f>IF(Tabla1[[#This Row],[% Error1]]&gt;$E$1,Tabla1[[#This Row],[No]],IF(Tabla1[[#This Row],[% Error1]]&lt;-$E$1,Tabla1[[#This Row],[No]],""))</f>
        <v>43</v>
      </c>
      <c r="F174" s="14" t="str">
        <f>IF(Tabla1[[#This Row],[ID]]="","",VLOOKUP(Tabla1[[#This Row],[ID]],Tabla7[],2,FALSE))</f>
        <v>O1C=CC=C1</v>
      </c>
      <c r="G174" s="14" t="str">
        <f>IF(Tabla1[[#This Row],[ID]]="","",VLOOKUP(Tabla1[[#This Row],[ID]],Tabla7[],36,FALSE))</f>
        <v>Training</v>
      </c>
      <c r="H174" s="14" t="str">
        <f>IF(Tabla1[[#This Row],[ID]]="","",VLOOKUP(Tabla1[[#This Row],[ID]],Tabla7[],4,FALSE))</f>
        <v>Furans</v>
      </c>
      <c r="I174" s="16">
        <f>IF(Tabla1[[#This Row],[ID]]="","",VLOOKUP(Tabla1[[#This Row],[ID]],Tabla1[],4,FALSE))</f>
        <v>23.173970677728711</v>
      </c>
      <c r="J174" s="16">
        <f>Tabla1[[#This Row],[CN Literatura]]-Tabla1[[#This Row],[CN Predicted]]</f>
        <v>1.6221779474410098</v>
      </c>
    </row>
    <row r="175" spans="1:10" ht="15" customHeight="1" x14ac:dyDescent="0.25">
      <c r="A175" s="1">
        <f>Desgloce!A174</f>
        <v>44</v>
      </c>
      <c r="B175" s="14">
        <f>VLOOKUP(Tabla1[[#This Row],[No]],Tabla7[],7,FALSE)</f>
        <v>7.4</v>
      </c>
      <c r="C175" s="24">
        <v>11.8722547089925</v>
      </c>
      <c r="D175" s="15">
        <f>(B175-C175)/B175*100</f>
        <v>-60.435874445844583</v>
      </c>
      <c r="E175" s="14">
        <f>IF(Tabla1[[#This Row],[% Error1]]&gt;$E$1,Tabla1[[#This Row],[No]],IF(Tabla1[[#This Row],[% Error1]]&lt;-$E$1,Tabla1[[#This Row],[No]],""))</f>
        <v>44</v>
      </c>
      <c r="F175" s="14" t="str">
        <f>IF(Tabla1[[#This Row],[ID]]="","",VLOOKUP(Tabla1[[#This Row],[ID]],Tabla7[],2,FALSE))</f>
        <v>CC1=CC=C(C=C1)OC</v>
      </c>
      <c r="G175" s="14" t="str">
        <f>IF(Tabla1[[#This Row],[ID]]="","",VLOOKUP(Tabla1[[#This Row],[ID]],Tabla7[],36,FALSE))</f>
        <v>Training</v>
      </c>
      <c r="H175" s="14" t="str">
        <f>IF(Tabla1[[#This Row],[ID]]="","",VLOOKUP(Tabla1[[#This Row],[ID]],Tabla7[],4,FALSE))</f>
        <v>Ether</v>
      </c>
      <c r="I175" s="16">
        <f>IF(Tabla1[[#This Row],[ID]]="","",VLOOKUP(Tabla1[[#This Row],[ID]],Tabla1[],4,FALSE))</f>
        <v>-60.435874445844583</v>
      </c>
      <c r="J175" s="16">
        <f>Tabla1[[#This Row],[CN Literatura]]-Tabla1[[#This Row],[CN Predicted]]</f>
        <v>-4.4722547089924998</v>
      </c>
    </row>
    <row r="176" spans="1:10" ht="15" customHeight="1" x14ac:dyDescent="0.25">
      <c r="A176" s="1">
        <f>Desgloce!A175</f>
        <v>48</v>
      </c>
      <c r="B176" s="14">
        <f>VLOOKUP(Tabla1[[#This Row],[No]],Tabla7[],7,FALSE)</f>
        <v>8</v>
      </c>
      <c r="C176" s="24">
        <v>13.4936983472048</v>
      </c>
      <c r="D176" s="15">
        <f>(B176-C176)/B176*100</f>
        <v>-68.671229340060009</v>
      </c>
      <c r="E176" s="14">
        <f>IF(Tabla1[[#This Row],[% Error1]]&gt;$E$1,Tabla1[[#This Row],[No]],IF(Tabla1[[#This Row],[% Error1]]&lt;-$E$1,Tabla1[[#This Row],[No]],""))</f>
        <v>48</v>
      </c>
      <c r="F176" s="14" t="str">
        <f>IF(Tabla1[[#This Row],[ID]]="","",VLOOKUP(Tabla1[[#This Row],[ID]],Tabla7[],2,FALSE))</f>
        <v>CCCC1CCCc2ccccc12</v>
      </c>
      <c r="G176" s="14" t="str">
        <f>IF(Tabla1[[#This Row],[ID]]="","",VLOOKUP(Tabla1[[#This Row],[ID]],Tabla7[],36,FALSE))</f>
        <v>Training</v>
      </c>
      <c r="H176" s="14" t="str">
        <f>IF(Tabla1[[#This Row],[ID]]="","",VLOOKUP(Tabla1[[#This Row],[ID]],Tabla7[],4,FALSE))</f>
        <v>Aromatic</v>
      </c>
      <c r="I176" s="24">
        <f>IF(Tabla1[[#This Row],[ID]]="","",VLOOKUP(Tabla1[[#This Row],[ID]],Tabla1[],4,FALSE))</f>
        <v>-68.671229340060009</v>
      </c>
      <c r="J176" s="16">
        <f>Tabla1[[#This Row],[CN Literatura]]-Tabla1[[#This Row],[CN Predicted]]</f>
        <v>-5.4936983472048002</v>
      </c>
    </row>
    <row r="177" spans="1:10" ht="15" customHeight="1" x14ac:dyDescent="0.25">
      <c r="A177" s="1">
        <f>Desgloce!A176</f>
        <v>50</v>
      </c>
      <c r="B177" s="14">
        <f>VLOOKUP(Tabla1[[#This Row],[No]],Tabla7[],7,FALSE)</f>
        <v>8</v>
      </c>
      <c r="C177" s="24">
        <v>1.80928133506149</v>
      </c>
      <c r="D177" s="15">
        <f>(B177-C177)/B177*100</f>
        <v>77.38398331173137</v>
      </c>
      <c r="E177" s="14">
        <f>IF(Tabla1[[#This Row],[% Error1]]&gt;$E$1,Tabla1[[#This Row],[No]],IF(Tabla1[[#This Row],[% Error1]]&lt;-$E$1,Tabla1[[#This Row],[No]],""))</f>
        <v>50</v>
      </c>
      <c r="F177" s="14" t="str">
        <f>IF(Tabla1[[#This Row],[ID]]="","",VLOOKUP(Tabla1[[#This Row],[ID]],Tabla7[],2,FALSE))</f>
        <v>Cc1ccccc1C</v>
      </c>
      <c r="G177" s="14" t="str">
        <f>IF(Tabla1[[#This Row],[ID]]="","",VLOOKUP(Tabla1[[#This Row],[ID]],Tabla7[],36,FALSE))</f>
        <v>Training</v>
      </c>
      <c r="H177" s="14" t="str">
        <f>IF(Tabla1[[#This Row],[ID]]="","",VLOOKUP(Tabla1[[#This Row],[ID]],Tabla7[],4,FALSE))</f>
        <v>Aromatic</v>
      </c>
      <c r="I177" s="24">
        <f>IF(Tabla1[[#This Row],[ID]]="","",VLOOKUP(Tabla1[[#This Row],[ID]],Tabla1[],4,FALSE))</f>
        <v>77.38398331173137</v>
      </c>
      <c r="J177" s="16">
        <f>Tabla1[[#This Row],[CN Literatura]]-Tabla1[[#This Row],[CN Predicted]]</f>
        <v>6.19071866493851</v>
      </c>
    </row>
    <row r="178" spans="1:10" ht="15" customHeight="1" x14ac:dyDescent="0.25">
      <c r="A178" s="1">
        <f>Desgloce!A177</f>
        <v>51</v>
      </c>
      <c r="B178" s="14">
        <f>VLOOKUP(Tabla1[[#This Row],[No]],Tabla7[],7,FALSE)</f>
        <v>8</v>
      </c>
      <c r="C178" s="24">
        <v>2.3104299007704601</v>
      </c>
      <c r="D178" s="15">
        <f>(B178-C178)/B178*100</f>
        <v>71.119626240369243</v>
      </c>
      <c r="E178" s="14">
        <f>IF(Tabla1[[#This Row],[% Error1]]&gt;$E$1,Tabla1[[#This Row],[No]],IF(Tabla1[[#This Row],[% Error1]]&lt;-$E$1,Tabla1[[#This Row],[No]],""))</f>
        <v>51</v>
      </c>
      <c r="F178" s="14" t="str">
        <f>IF(Tabla1[[#This Row],[ID]]="","",VLOOKUP(Tabla1[[#This Row],[ID]],Tabla7[],2,FALSE))</f>
        <v>CC1=CC(=CC(=C1)C)C</v>
      </c>
      <c r="G178" s="14" t="str">
        <f>IF(Tabla1[[#This Row],[ID]]="","",VLOOKUP(Tabla1[[#This Row],[ID]],Tabla7[],36,FALSE))</f>
        <v>Training</v>
      </c>
      <c r="H178" s="14" t="str">
        <f>IF(Tabla1[[#This Row],[ID]]="","",VLOOKUP(Tabla1[[#This Row],[ID]],Tabla7[],4,FALSE))</f>
        <v>Aromatic</v>
      </c>
      <c r="I178" s="24">
        <f>IF(Tabla1[[#This Row],[ID]]="","",VLOOKUP(Tabla1[[#This Row],[ID]],Tabla1[],4,FALSE))</f>
        <v>71.119626240369243</v>
      </c>
      <c r="J178" s="16">
        <f>Tabla1[[#This Row],[CN Literatura]]-Tabla1[[#This Row],[CN Predicted]]</f>
        <v>5.6895700992295399</v>
      </c>
    </row>
    <row r="179" spans="1:10" ht="15" customHeight="1" x14ac:dyDescent="0.25">
      <c r="A179" s="1">
        <f>Desgloce!A178</f>
        <v>53</v>
      </c>
      <c r="B179" s="14">
        <f>VLOOKUP(Tabla1[[#This Row],[No]],Tabla7[],7,FALSE)</f>
        <v>8</v>
      </c>
      <c r="C179" s="24">
        <v>11.1625178745197</v>
      </c>
      <c r="D179" s="15">
        <f>(B179-C179)/B179*100</f>
        <v>-39.531473431496252</v>
      </c>
      <c r="E179" s="14">
        <f>IF(Tabla1[[#This Row],[% Error1]]&gt;$E$1,Tabla1[[#This Row],[No]],IF(Tabla1[[#This Row],[% Error1]]&lt;-$E$1,Tabla1[[#This Row],[No]],""))</f>
        <v>53</v>
      </c>
      <c r="F179" s="14" t="str">
        <f>IF(Tabla1[[#This Row],[ID]]="","",VLOOKUP(Tabla1[[#This Row],[ID]],Tabla7[],2,FALSE))</f>
        <v>C1(=CC=CC=C1)CCO</v>
      </c>
      <c r="G179" s="14" t="str">
        <f>IF(Tabla1[[#This Row],[ID]]="","",VLOOKUP(Tabla1[[#This Row],[ID]],Tabla7[],36,FALSE))</f>
        <v>Training</v>
      </c>
      <c r="H179" s="14" t="str">
        <f>IF(Tabla1[[#This Row],[ID]]="","",VLOOKUP(Tabla1[[#This Row],[ID]],Tabla7[],4,FALSE))</f>
        <v>Cyclic Alcohol</v>
      </c>
      <c r="I179" s="16">
        <f>IF(Tabla1[[#This Row],[ID]]="","",VLOOKUP(Tabla1[[#This Row],[ID]],Tabla1[],4,FALSE))</f>
        <v>-39.531473431496252</v>
      </c>
      <c r="J179" s="16">
        <f>Tabla1[[#This Row],[CN Literatura]]-Tabla1[[#This Row],[CN Predicted]]</f>
        <v>-3.1625178745197005</v>
      </c>
    </row>
    <row r="180" spans="1:10" ht="15" customHeight="1" x14ac:dyDescent="0.25">
      <c r="A180" s="1">
        <f>Desgloce!A179</f>
        <v>54</v>
      </c>
      <c r="B180" s="14">
        <f>VLOOKUP(Tabla1[[#This Row],[No]],Tabla7[],7,FALSE)</f>
        <v>8.1</v>
      </c>
      <c r="C180" s="24">
        <v>7.0467122711653598</v>
      </c>
      <c r="D180" s="15">
        <f>(B180-C180)/B180*100</f>
        <v>13.003552207835058</v>
      </c>
      <c r="E180" s="14">
        <f>IF(Tabla1[[#This Row],[% Error1]]&gt;$E$1,Tabla1[[#This Row],[No]],IF(Tabla1[[#This Row],[% Error1]]&lt;-$E$1,Tabla1[[#This Row],[No]],""))</f>
        <v>54</v>
      </c>
      <c r="F180" s="14" t="str">
        <f>IF(Tabla1[[#This Row],[ID]]="","",VLOOKUP(Tabla1[[#This Row],[ID]],Tabla7[],2,FALSE))</f>
        <v>C(C1=CC=CC=C1)OCC1=CC=CC=C1</v>
      </c>
      <c r="G180" s="14" t="str">
        <f>IF(Tabla1[[#This Row],[ID]]="","",VLOOKUP(Tabla1[[#This Row],[ID]],Tabla7[],36,FALSE))</f>
        <v>Training</v>
      </c>
      <c r="H180" s="14" t="str">
        <f>IF(Tabla1[[#This Row],[ID]]="","",VLOOKUP(Tabla1[[#This Row],[ID]],Tabla7[],4,FALSE))</f>
        <v>Aromatic</v>
      </c>
      <c r="I180" s="24">
        <f>IF(Tabla1[[#This Row],[ID]]="","",VLOOKUP(Tabla1[[#This Row],[ID]],Tabla1[],4,FALSE))</f>
        <v>13.003552207835058</v>
      </c>
      <c r="J180" s="16">
        <f>Tabla1[[#This Row],[CN Literatura]]-Tabla1[[#This Row],[CN Predicted]]</f>
        <v>1.0532877288346398</v>
      </c>
    </row>
    <row r="181" spans="1:10" ht="15" customHeight="1" x14ac:dyDescent="0.25">
      <c r="A181" s="1">
        <f>Desgloce!A180</f>
        <v>55</v>
      </c>
      <c r="B181" s="14">
        <f>VLOOKUP(Tabla1[[#This Row],[No]],Tabla7[],7,FALSE)</f>
        <v>8.1</v>
      </c>
      <c r="C181" s="24">
        <v>7.8907227373154303</v>
      </c>
      <c r="D181" s="15">
        <f>(B181-C181)/B181*100</f>
        <v>2.5836699096860416</v>
      </c>
      <c r="E181" s="14" t="str">
        <f>IF(Tabla1[[#This Row],[% Error1]]&gt;$E$1,Tabla1[[#This Row],[No]],IF(Tabla1[[#This Row],[% Error1]]&lt;-$E$1,Tabla1[[#This Row],[No]],""))</f>
        <v/>
      </c>
      <c r="F181" s="14" t="str">
        <f>IF(Tabla1[[#This Row],[ID]]="","",VLOOKUP(Tabla1[[#This Row],[ID]],Tabla7[],2,FALSE))</f>
        <v/>
      </c>
      <c r="G181" s="14" t="str">
        <f>IF(Tabla1[[#This Row],[ID]]="","",VLOOKUP(Tabla1[[#This Row],[ID]],Tabla7[],36,FALSE))</f>
        <v/>
      </c>
      <c r="H181" s="14" t="str">
        <f>IF(Tabla1[[#This Row],[ID]]="","",VLOOKUP(Tabla1[[#This Row],[ID]],Tabla7[],4,FALSE))</f>
        <v/>
      </c>
      <c r="I181" s="16" t="str">
        <f>IF(Tabla1[[#This Row],[ID]]="","",VLOOKUP(Tabla1[[#This Row],[ID]],Tabla1[],4,FALSE))</f>
        <v/>
      </c>
      <c r="J181" s="16">
        <f>Tabla1[[#This Row],[CN Literatura]]-Tabla1[[#This Row],[CN Predicted]]</f>
        <v>0.20927726268456937</v>
      </c>
    </row>
    <row r="182" spans="1:10" ht="15" customHeight="1" x14ac:dyDescent="0.25">
      <c r="A182" s="1">
        <f>Desgloce!A181</f>
        <v>56</v>
      </c>
      <c r="B182" s="14">
        <f>VLOOKUP(Tabla1[[#This Row],[No]],Tabla7[],7,FALSE)</f>
        <v>8.3000000000000007</v>
      </c>
      <c r="C182" s="24">
        <v>5.9640414061333402</v>
      </c>
      <c r="D182" s="15">
        <f>(B182-C182)/B182*100</f>
        <v>28.144079444176629</v>
      </c>
      <c r="E182" s="14">
        <f>IF(Tabla1[[#This Row],[% Error1]]&gt;$E$1,Tabla1[[#This Row],[No]],IF(Tabla1[[#This Row],[% Error1]]&lt;-$E$1,Tabla1[[#This Row],[No]],""))</f>
        <v>56</v>
      </c>
      <c r="F182" s="14" t="str">
        <f>IF(Tabla1[[#This Row],[ID]]="","",VLOOKUP(Tabla1[[#This Row],[ID]],Tabla7[],2,FALSE))</f>
        <v>C=1(C(=CC=CC1)C)C</v>
      </c>
      <c r="G182" s="14" t="str">
        <f>IF(Tabla1[[#This Row],[ID]]="","",VLOOKUP(Tabla1[[#This Row],[ID]],Tabla7[],36,FALSE))</f>
        <v>Training</v>
      </c>
      <c r="H182" s="14" t="str">
        <f>IF(Tabla1[[#This Row],[ID]]="","",VLOOKUP(Tabla1[[#This Row],[ID]],Tabla7[],4,FALSE))</f>
        <v>Aromatic</v>
      </c>
      <c r="I182" s="24">
        <f>IF(Tabla1[[#This Row],[ID]]="","",VLOOKUP(Tabla1[[#This Row],[ID]],Tabla1[],4,FALSE))</f>
        <v>28.144079444176629</v>
      </c>
      <c r="J182" s="16">
        <f>Tabla1[[#This Row],[CN Literatura]]-Tabla1[[#This Row],[CN Predicted]]</f>
        <v>2.3359585938666605</v>
      </c>
    </row>
    <row r="183" spans="1:10" ht="15" customHeight="1" x14ac:dyDescent="0.25">
      <c r="A183" s="1">
        <f>Desgloce!A182</f>
        <v>58</v>
      </c>
      <c r="B183" s="14">
        <f>VLOOKUP(Tabla1[[#This Row],[No]],Tabla7[],7,FALSE)</f>
        <v>8.5</v>
      </c>
      <c r="C183" s="24">
        <v>8.6680019411559197</v>
      </c>
      <c r="D183" s="15">
        <f>(B183-C183)/B183*100</f>
        <v>-1.9764934253637612</v>
      </c>
      <c r="E183" s="14" t="str">
        <f>IF(Tabla1[[#This Row],[% Error1]]&gt;$E$1,Tabla1[[#This Row],[No]],IF(Tabla1[[#This Row],[% Error1]]&lt;-$E$1,Tabla1[[#This Row],[No]],""))</f>
        <v/>
      </c>
      <c r="F183" s="14" t="str">
        <f>IF(Tabla1[[#This Row],[ID]]="","",VLOOKUP(Tabla1[[#This Row],[ID]],Tabla7[],2,FALSE))</f>
        <v/>
      </c>
      <c r="G183" s="14" t="str">
        <f>IF(Tabla1[[#This Row],[ID]]="","",VLOOKUP(Tabla1[[#This Row],[ID]],Tabla7[],36,FALSE))</f>
        <v/>
      </c>
      <c r="H183" s="14" t="str">
        <f>IF(Tabla1[[#This Row],[ID]]="","",VLOOKUP(Tabla1[[#This Row],[ID]],Tabla7[],4,FALSE))</f>
        <v/>
      </c>
      <c r="I183" s="16" t="str">
        <f>IF(Tabla1[[#This Row],[ID]]="","",VLOOKUP(Tabla1[[#This Row],[ID]],Tabla1[],4,FALSE))</f>
        <v/>
      </c>
      <c r="J183" s="16">
        <f>Tabla1[[#This Row],[CN Literatura]]-Tabla1[[#This Row],[CN Predicted]]</f>
        <v>-0.16800194115591971</v>
      </c>
    </row>
    <row r="184" spans="1:10" ht="15" customHeight="1" x14ac:dyDescent="0.25">
      <c r="A184" s="1">
        <f>Desgloce!A183</f>
        <v>59</v>
      </c>
      <c r="B184" s="14">
        <f>VLOOKUP(Tabla1[[#This Row],[No]],Tabla7[],7,FALSE)</f>
        <v>8.5</v>
      </c>
      <c r="C184" s="24">
        <v>7.9104145858893897</v>
      </c>
      <c r="D184" s="15">
        <f>(B184-C184)/B184*100</f>
        <v>6.9362989895365921</v>
      </c>
      <c r="E184" s="14" t="str">
        <f>IF(Tabla1[[#This Row],[% Error1]]&gt;$E$1,Tabla1[[#This Row],[No]],IF(Tabla1[[#This Row],[% Error1]]&lt;-$E$1,Tabla1[[#This Row],[No]],""))</f>
        <v/>
      </c>
      <c r="F184" s="14" t="str">
        <f>IF(Tabla1[[#This Row],[ID]]="","",VLOOKUP(Tabla1[[#This Row],[ID]],Tabla7[],2,FALSE))</f>
        <v/>
      </c>
      <c r="G184" s="14" t="str">
        <f>IF(Tabla1[[#This Row],[ID]]="","",VLOOKUP(Tabla1[[#This Row],[ID]],Tabla7[],36,FALSE))</f>
        <v/>
      </c>
      <c r="H184" s="14" t="str">
        <f>IF(Tabla1[[#This Row],[ID]]="","",VLOOKUP(Tabla1[[#This Row],[ID]],Tabla7[],4,FALSE))</f>
        <v/>
      </c>
      <c r="I184" s="16" t="str">
        <f>IF(Tabla1[[#This Row],[ID]]="","",VLOOKUP(Tabla1[[#This Row],[ID]],Tabla1[],4,FALSE))</f>
        <v/>
      </c>
      <c r="J184" s="16">
        <f>Tabla1[[#This Row],[CN Literatura]]-Tabla1[[#This Row],[CN Predicted]]</f>
        <v>0.58958541411061027</v>
      </c>
    </row>
    <row r="185" spans="1:10" ht="15" customHeight="1" x14ac:dyDescent="0.25">
      <c r="A185" s="1">
        <f>Desgloce!A184</f>
        <v>60</v>
      </c>
      <c r="B185" s="14">
        <f>VLOOKUP(Tabla1[[#This Row],[No]],Tabla7[],7,FALSE)</f>
        <v>8.5</v>
      </c>
      <c r="C185" s="24">
        <v>10.6100315463102</v>
      </c>
      <c r="D185" s="15">
        <f>(B185-C185)/B185*100</f>
        <v>-24.823900544825882</v>
      </c>
      <c r="E185" s="14">
        <f>IF(Tabla1[[#This Row],[% Error1]]&gt;$E$1,Tabla1[[#This Row],[No]],IF(Tabla1[[#This Row],[% Error1]]&lt;-$E$1,Tabla1[[#This Row],[No]],""))</f>
        <v>60</v>
      </c>
      <c r="F185" s="14" t="str">
        <f>IF(Tabla1[[#This Row],[ID]]="","",VLOOKUP(Tabla1[[#This Row],[ID]],Tabla7[],2,FALSE))</f>
        <v>CC(=C)CC(C)(C)C</v>
      </c>
      <c r="G185" s="14" t="str">
        <f>IF(Tabla1[[#This Row],[ID]]="","",VLOOKUP(Tabla1[[#This Row],[ID]],Tabla7[],36,FALSE))</f>
        <v>Training</v>
      </c>
      <c r="H185" s="14" t="str">
        <f>IF(Tabla1[[#This Row],[ID]]="","",VLOOKUP(Tabla1[[#This Row],[ID]],Tabla7[],4,FALSE))</f>
        <v>Alkene</v>
      </c>
      <c r="I185" s="16">
        <f>IF(Tabla1[[#This Row],[ID]]="","",VLOOKUP(Tabla1[[#This Row],[ID]],Tabla1[],4,FALSE))</f>
        <v>-24.823900544825882</v>
      </c>
      <c r="J185" s="16">
        <f>Tabla1[[#This Row],[CN Literatura]]-Tabla1[[#This Row],[CN Predicted]]</f>
        <v>-2.1100315463102</v>
      </c>
    </row>
    <row r="186" spans="1:10" ht="15" customHeight="1" x14ac:dyDescent="0.25">
      <c r="A186" s="1">
        <f>Desgloce!A185</f>
        <v>61</v>
      </c>
      <c r="B186" s="14">
        <f>VLOOKUP(Tabla1[[#This Row],[No]],Tabla7[],7,FALSE)</f>
        <v>8.6</v>
      </c>
      <c r="C186" s="24">
        <v>7.1395829040071996</v>
      </c>
      <c r="D186" s="15">
        <f>(B186-C186)/B186*100</f>
        <v>16.981594139451165</v>
      </c>
      <c r="E186" s="14">
        <f>IF(Tabla1[[#This Row],[% Error1]]&gt;$E$1,Tabla1[[#This Row],[No]],IF(Tabla1[[#This Row],[% Error1]]&lt;-$E$1,Tabla1[[#This Row],[No]],""))</f>
        <v>61</v>
      </c>
      <c r="F186" s="14" t="str">
        <f>IF(Tabla1[[#This Row],[ID]]="","",VLOOKUP(Tabla1[[#This Row],[ID]],Tabla7[],2,FALSE))</f>
        <v>C1CCC2=CC=CC=C12</v>
      </c>
      <c r="G186" s="14" t="str">
        <f>IF(Tabla1[[#This Row],[ID]]="","",VLOOKUP(Tabla1[[#This Row],[ID]],Tabla7[],36,FALSE))</f>
        <v>Training</v>
      </c>
      <c r="H186" s="14" t="str">
        <f>IF(Tabla1[[#This Row],[ID]]="","",VLOOKUP(Tabla1[[#This Row],[ID]],Tabla7[],4,FALSE))</f>
        <v>Aromatic</v>
      </c>
      <c r="I186" s="24">
        <f>IF(Tabla1[[#This Row],[ID]]="","",VLOOKUP(Tabla1[[#This Row],[ID]],Tabla1[],4,FALSE))</f>
        <v>16.981594139451165</v>
      </c>
      <c r="J186" s="16">
        <f>Tabla1[[#This Row],[CN Literatura]]-Tabla1[[#This Row],[CN Predicted]]</f>
        <v>1.4604170959928</v>
      </c>
    </row>
    <row r="187" spans="1:10" ht="15" customHeight="1" x14ac:dyDescent="0.25">
      <c r="A187" s="1">
        <f>Desgloce!A186</f>
        <v>62</v>
      </c>
      <c r="B187" s="14">
        <f>VLOOKUP(Tabla1[[#This Row],[No]],Tabla7[],7,FALSE)</f>
        <v>8.6</v>
      </c>
      <c r="C187" s="24">
        <v>12.2597241546113</v>
      </c>
      <c r="D187" s="15">
        <f>(B187-C187)/B187*100</f>
        <v>-42.554932030363965</v>
      </c>
      <c r="E187" s="14">
        <f>IF(Tabla1[[#This Row],[% Error1]]&gt;$E$1,Tabla1[[#This Row],[No]],IF(Tabla1[[#This Row],[% Error1]]&lt;-$E$1,Tabla1[[#This Row],[No]],""))</f>
        <v>62</v>
      </c>
      <c r="F187" s="14" t="str">
        <f>IF(Tabla1[[#This Row],[ID]]="","",VLOOKUP(Tabla1[[#This Row],[ID]],Tabla7[],2,FALSE))</f>
        <v>C(CC)C1=CC=C(C=C1)O</v>
      </c>
      <c r="G187" s="14" t="str">
        <f>IF(Tabla1[[#This Row],[ID]]="","",VLOOKUP(Tabla1[[#This Row],[ID]],Tabla7[],36,FALSE))</f>
        <v>Training</v>
      </c>
      <c r="H187" s="14" t="str">
        <f>IF(Tabla1[[#This Row],[ID]]="","",VLOOKUP(Tabla1[[#This Row],[ID]],Tabla7[],4,FALSE))</f>
        <v>Cyclic Alcohol</v>
      </c>
      <c r="I187" s="16">
        <f>IF(Tabla1[[#This Row],[ID]]="","",VLOOKUP(Tabla1[[#This Row],[ID]],Tabla1[],4,FALSE))</f>
        <v>-42.554932030363965</v>
      </c>
      <c r="J187" s="16">
        <f>Tabla1[[#This Row],[CN Literatura]]-Tabla1[[#This Row],[CN Predicted]]</f>
        <v>-3.6597241546113004</v>
      </c>
    </row>
    <row r="188" spans="1:10" ht="15" customHeight="1" x14ac:dyDescent="0.25">
      <c r="A188" s="1">
        <f>Desgloce!A187</f>
        <v>63</v>
      </c>
      <c r="B188" s="14">
        <f>VLOOKUP(Tabla1[[#This Row],[No]],Tabla7[],7,FALSE)</f>
        <v>8.9</v>
      </c>
      <c r="C188" s="24">
        <v>10.7359589340815</v>
      </c>
      <c r="D188" s="15">
        <f>(B188-C188)/B188*100</f>
        <v>-20.628752068331462</v>
      </c>
      <c r="E188" s="14">
        <f>IF(Tabla1[[#This Row],[% Error1]]&gt;$E$1,Tabla1[[#This Row],[No]],IF(Tabla1[[#This Row],[% Error1]]&lt;-$E$1,Tabla1[[#This Row],[No]],""))</f>
        <v>63</v>
      </c>
      <c r="F188" s="14" t="str">
        <f>IF(Tabla1[[#This Row],[ID]]="","",VLOOKUP(Tabla1[[#This Row],[ID]],Tabla7[],2,FALSE))</f>
        <v>c1ccc2c(c1)CCCC2</v>
      </c>
      <c r="G188" s="14" t="str">
        <f>IF(Tabla1[[#This Row],[ID]]="","",VLOOKUP(Tabla1[[#This Row],[ID]],Tabla7[],36,FALSE))</f>
        <v>Training</v>
      </c>
      <c r="H188" s="14" t="str">
        <f>IF(Tabla1[[#This Row],[ID]]="","",VLOOKUP(Tabla1[[#This Row],[ID]],Tabla7[],4,FALSE))</f>
        <v>Aromatic</v>
      </c>
      <c r="I188" s="24">
        <f>IF(Tabla1[[#This Row],[ID]]="","",VLOOKUP(Tabla1[[#This Row],[ID]],Tabla1[],4,FALSE))</f>
        <v>-20.628752068331462</v>
      </c>
      <c r="J188" s="16">
        <f>Tabla1[[#This Row],[CN Literatura]]-Tabla1[[#This Row],[CN Predicted]]</f>
        <v>-1.8359589340814999</v>
      </c>
    </row>
    <row r="189" spans="1:10" ht="15" customHeight="1" x14ac:dyDescent="0.25">
      <c r="A189" s="1">
        <f>Desgloce!A188</f>
        <v>65</v>
      </c>
      <c r="B189" s="14">
        <f>VLOOKUP(Tabla1[[#This Row],[No]],Tabla7[],7,FALSE)</f>
        <v>8.9</v>
      </c>
      <c r="C189" s="24">
        <v>8.5749560982475206</v>
      </c>
      <c r="D189" s="15">
        <f>(B189-C189)/B189*100</f>
        <v>3.652178671376177</v>
      </c>
      <c r="E189" s="14" t="str">
        <f>IF(Tabla1[[#This Row],[% Error1]]&gt;$E$1,Tabla1[[#This Row],[No]],IF(Tabla1[[#This Row],[% Error1]]&lt;-$E$1,Tabla1[[#This Row],[No]],""))</f>
        <v/>
      </c>
      <c r="F189" s="14" t="str">
        <f>IF(Tabla1[[#This Row],[ID]]="","",VLOOKUP(Tabla1[[#This Row],[ID]],Tabla7[],2,FALSE))</f>
        <v/>
      </c>
      <c r="G189" s="14" t="str">
        <f>IF(Tabla1[[#This Row],[ID]]="","",VLOOKUP(Tabla1[[#This Row],[ID]],Tabla7[],36,FALSE))</f>
        <v/>
      </c>
      <c r="H189" s="14" t="str">
        <f>IF(Tabla1[[#This Row],[ID]]="","",VLOOKUP(Tabla1[[#This Row],[ID]],Tabla7[],4,FALSE))</f>
        <v/>
      </c>
      <c r="I189" s="16" t="str">
        <f>IF(Tabla1[[#This Row],[ID]]="","",VLOOKUP(Tabla1[[#This Row],[ID]],Tabla1[],4,FALSE))</f>
        <v/>
      </c>
      <c r="J189" s="16">
        <f>Tabla1[[#This Row],[CN Literatura]]-Tabla1[[#This Row],[CN Predicted]]</f>
        <v>0.32504390175247977</v>
      </c>
    </row>
    <row r="190" spans="1:10" ht="15" customHeight="1" x14ac:dyDescent="0.25">
      <c r="A190" s="1">
        <f>Desgloce!A189</f>
        <v>66</v>
      </c>
      <c r="B190" s="14">
        <f>VLOOKUP(Tabla1[[#This Row],[No]],Tabla7[],7,FALSE)</f>
        <v>9</v>
      </c>
      <c r="C190" s="24">
        <v>18.306154368742298</v>
      </c>
      <c r="D190" s="15">
        <f>(B190-C190)/B190*100</f>
        <v>-103.40171520824777</v>
      </c>
      <c r="E190" s="14">
        <f>IF(Tabla1[[#This Row],[% Error1]]&gt;$E$1,Tabla1[[#This Row],[No]],IF(Tabla1[[#This Row],[% Error1]]&lt;-$E$1,Tabla1[[#This Row],[No]],""))</f>
        <v>66</v>
      </c>
      <c r="F190" s="14" t="str">
        <f>IF(Tabla1[[#This Row],[ID]]="","",VLOOKUP(Tabla1[[#This Row],[ID]],Tabla7[],2,FALSE))</f>
        <v>CCCCCc1ccccc1</v>
      </c>
      <c r="G190" s="14" t="str">
        <f>IF(Tabla1[[#This Row],[ID]]="","",VLOOKUP(Tabla1[[#This Row],[ID]],Tabla7[],36,FALSE))</f>
        <v>Training</v>
      </c>
      <c r="H190" s="14" t="str">
        <f>IF(Tabla1[[#This Row],[ID]]="","",VLOOKUP(Tabla1[[#This Row],[ID]],Tabla7[],4,FALSE))</f>
        <v>Aromatic</v>
      </c>
      <c r="I190" s="24">
        <f>IF(Tabla1[[#This Row],[ID]]="","",VLOOKUP(Tabla1[[#This Row],[ID]],Tabla1[],4,FALSE))</f>
        <v>-103.40171520824777</v>
      </c>
      <c r="J190" s="16">
        <f>Tabla1[[#This Row],[CN Literatura]]-Tabla1[[#This Row],[CN Predicted]]</f>
        <v>-9.3061543687422983</v>
      </c>
    </row>
    <row r="191" spans="1:10" ht="15" customHeight="1" x14ac:dyDescent="0.25">
      <c r="A191" s="1">
        <f>Desgloce!A190</f>
        <v>67</v>
      </c>
      <c r="B191" s="14">
        <f>VLOOKUP(Tabla1[[#This Row],[No]],Tabla7[],7,FALSE)</f>
        <v>9</v>
      </c>
      <c r="C191" s="24">
        <v>8.23620909854648</v>
      </c>
      <c r="D191" s="15">
        <f>(B191-C191)/B191*100</f>
        <v>8.4865655717057784</v>
      </c>
      <c r="E191" s="14" t="str">
        <f>IF(Tabla1[[#This Row],[% Error1]]&gt;$E$1,Tabla1[[#This Row],[No]],IF(Tabla1[[#This Row],[% Error1]]&lt;-$E$1,Tabla1[[#This Row],[No]],""))</f>
        <v/>
      </c>
      <c r="F191" s="14" t="str">
        <f>IF(Tabla1[[#This Row],[ID]]="","",VLOOKUP(Tabla1[[#This Row],[ID]],Tabla7[],2,FALSE))</f>
        <v/>
      </c>
      <c r="G191" s="14" t="str">
        <f>IF(Tabla1[[#This Row],[ID]]="","",VLOOKUP(Tabla1[[#This Row],[ID]],Tabla7[],36,FALSE))</f>
        <v/>
      </c>
      <c r="H191" s="14" t="str">
        <f>IF(Tabla1[[#This Row],[ID]]="","",VLOOKUP(Tabla1[[#This Row],[ID]],Tabla7[],4,FALSE))</f>
        <v/>
      </c>
      <c r="I191" s="16" t="str">
        <f>IF(Tabla1[[#This Row],[ID]]="","",VLOOKUP(Tabla1[[#This Row],[ID]],Tabla1[],4,FALSE))</f>
        <v/>
      </c>
      <c r="J191" s="16">
        <f>Tabla1[[#This Row],[CN Literatura]]-Tabla1[[#This Row],[CN Predicted]]</f>
        <v>0.76379090145352002</v>
      </c>
    </row>
    <row r="192" spans="1:10" ht="15" customHeight="1" x14ac:dyDescent="0.25">
      <c r="A192" s="1">
        <f>Desgloce!A191</f>
        <v>69</v>
      </c>
      <c r="B192" s="14">
        <f>VLOOKUP(Tabla1[[#This Row],[No]],Tabla7[],7,FALSE)</f>
        <v>9</v>
      </c>
      <c r="C192" s="24">
        <v>7.6508640182232401</v>
      </c>
      <c r="D192" s="15">
        <f>(B192-C192)/B192*100</f>
        <v>14.990399797519554</v>
      </c>
      <c r="E192" s="14">
        <f>IF(Tabla1[[#This Row],[% Error1]]&gt;$E$1,Tabla1[[#This Row],[No]],IF(Tabla1[[#This Row],[% Error1]]&lt;-$E$1,Tabla1[[#This Row],[No]],""))</f>
        <v>69</v>
      </c>
      <c r="F192" s="14" t="str">
        <f>IF(Tabla1[[#This Row],[ID]]="","",VLOOKUP(Tabla1[[#This Row],[ID]],Tabla7[],2,FALSE))</f>
        <v>CC(C(C)C)C(C)C(C(C)C)C</v>
      </c>
      <c r="G192" s="14" t="str">
        <f>IF(Tabla1[[#This Row],[ID]]="","",VLOOKUP(Tabla1[[#This Row],[ID]],Tabla7[],36,FALSE))</f>
        <v>Training</v>
      </c>
      <c r="H192" s="14" t="str">
        <f>IF(Tabla1[[#This Row],[ID]]="","",VLOOKUP(Tabla1[[#This Row],[ID]],Tabla7[],4,FALSE))</f>
        <v>iso-alkane</v>
      </c>
      <c r="I192" s="16">
        <f>IF(Tabla1[[#This Row],[ID]]="","",VLOOKUP(Tabla1[[#This Row],[ID]],Tabla1[],4,FALSE))</f>
        <v>14.990399797519554</v>
      </c>
      <c r="J192" s="16">
        <f>Tabla1[[#This Row],[CN Literatura]]-Tabla1[[#This Row],[CN Predicted]]</f>
        <v>1.3491359817767599</v>
      </c>
    </row>
    <row r="193" spans="1:10" ht="15" customHeight="1" x14ac:dyDescent="0.25">
      <c r="A193" s="1">
        <f>Desgloce!A192</f>
        <v>70</v>
      </c>
      <c r="B193" s="14">
        <f>VLOOKUP(Tabla1[[#This Row],[No]],Tabla7[],7,FALSE)</f>
        <v>9</v>
      </c>
      <c r="C193" s="24">
        <v>10.9765250325182</v>
      </c>
      <c r="D193" s="15">
        <f>(B193-C193)/B193*100</f>
        <v>-21.961389250202224</v>
      </c>
      <c r="E193" s="14">
        <f>IF(Tabla1[[#This Row],[% Error1]]&gt;$E$1,Tabla1[[#This Row],[No]],IF(Tabla1[[#This Row],[% Error1]]&lt;-$E$1,Tabla1[[#This Row],[No]],""))</f>
        <v>70</v>
      </c>
      <c r="F193" s="14" t="str">
        <f>IF(Tabla1[[#This Row],[ID]]="","",VLOOKUP(Tabla1[[#This Row],[ID]],Tabla7[],2,FALSE))</f>
        <v>CC(CC(C)(C)C)CC(C)(C)C</v>
      </c>
      <c r="G193" s="14" t="str">
        <f>IF(Tabla1[[#This Row],[ID]]="","",VLOOKUP(Tabla1[[#This Row],[ID]],Tabla7[],36,FALSE))</f>
        <v>Training</v>
      </c>
      <c r="H193" s="14" t="str">
        <f>IF(Tabla1[[#This Row],[ID]]="","",VLOOKUP(Tabla1[[#This Row],[ID]],Tabla7[],4,FALSE))</f>
        <v>iso-alkane</v>
      </c>
      <c r="I193" s="16">
        <f>IF(Tabla1[[#This Row],[ID]]="","",VLOOKUP(Tabla1[[#This Row],[ID]],Tabla1[],4,FALSE))</f>
        <v>-21.961389250202224</v>
      </c>
      <c r="J193" s="16">
        <f>Tabla1[[#This Row],[CN Literatura]]-Tabla1[[#This Row],[CN Predicted]]</f>
        <v>-1.9765250325182002</v>
      </c>
    </row>
    <row r="194" spans="1:10" ht="15" customHeight="1" x14ac:dyDescent="0.25">
      <c r="A194" s="1">
        <f>Desgloce!A193</f>
        <v>72</v>
      </c>
      <c r="B194" s="14">
        <f>VLOOKUP(Tabla1[[#This Row],[No]],Tabla7[],7,FALSE)</f>
        <v>9</v>
      </c>
      <c r="C194" s="24">
        <v>7.6508640182232401</v>
      </c>
      <c r="D194" s="15">
        <f>(B194-C194)/B194*100</f>
        <v>14.990399797519554</v>
      </c>
      <c r="E194" s="14">
        <f>IF(Tabla1[[#This Row],[% Error1]]&gt;$E$1,Tabla1[[#This Row],[No]],IF(Tabla1[[#This Row],[% Error1]]&lt;-$E$1,Tabla1[[#This Row],[No]],""))</f>
        <v>72</v>
      </c>
      <c r="F194" s="14" t="str">
        <f>IF(Tabla1[[#This Row],[ID]]="","",VLOOKUP(Tabla1[[#This Row],[ID]],Tabla7[],2,FALSE))</f>
        <v>C[C@H](C(C)C)C(C)[C@H](C)C(C)C</v>
      </c>
      <c r="G194" s="14" t="str">
        <f>IF(Tabla1[[#This Row],[ID]]="","",VLOOKUP(Tabla1[[#This Row],[ID]],Tabla7[],36,FALSE))</f>
        <v>Training</v>
      </c>
      <c r="H194" s="14" t="str">
        <f>IF(Tabla1[[#This Row],[ID]]="","",VLOOKUP(Tabla1[[#This Row],[ID]],Tabla7[],4,FALSE))</f>
        <v>n-Alkane</v>
      </c>
      <c r="I194" s="16">
        <f>IF(Tabla1[[#This Row],[ID]]="","",VLOOKUP(Tabla1[[#This Row],[ID]],Tabla1[],4,FALSE))</f>
        <v>14.990399797519554</v>
      </c>
      <c r="J194" s="16">
        <f>Tabla1[[#This Row],[CN Literatura]]-Tabla1[[#This Row],[CN Predicted]]</f>
        <v>1.3491359817767599</v>
      </c>
    </row>
    <row r="195" spans="1:10" ht="15" customHeight="1" x14ac:dyDescent="0.25">
      <c r="A195" s="1">
        <f>Desgloce!A194</f>
        <v>73</v>
      </c>
      <c r="B195" s="14">
        <f>VLOOKUP(Tabla1[[#This Row],[No]],Tabla7[],7,FALSE)</f>
        <v>9</v>
      </c>
      <c r="C195" s="24">
        <v>7.6508640182232401</v>
      </c>
      <c r="D195" s="15">
        <f>(B195-C195)/B195*100</f>
        <v>14.990399797519554</v>
      </c>
      <c r="E195" s="14">
        <f>IF(Tabla1[[#This Row],[% Error1]]&gt;$E$1,Tabla1[[#This Row],[No]],IF(Tabla1[[#This Row],[% Error1]]&lt;-$E$1,Tabla1[[#This Row],[No]],""))</f>
        <v>73</v>
      </c>
      <c r="F195" s="14" t="str">
        <f>IF(Tabla1[[#This Row],[ID]]="","",VLOOKUP(Tabla1[[#This Row],[ID]],Tabla7[],2,FALSE))</f>
        <v>C[C@H](C(C)C)C(C)[C@@H](C)C(C)C</v>
      </c>
      <c r="G195" s="14" t="str">
        <f>IF(Tabla1[[#This Row],[ID]]="","",VLOOKUP(Tabla1[[#This Row],[ID]],Tabla7[],36,FALSE))</f>
        <v>Training</v>
      </c>
      <c r="H195" s="14" t="str">
        <f>IF(Tabla1[[#This Row],[ID]]="","",VLOOKUP(Tabla1[[#This Row],[ID]],Tabla7[],4,FALSE))</f>
        <v>n-Alkane</v>
      </c>
      <c r="I195" s="16">
        <f>IF(Tabla1[[#This Row],[ID]]="","",VLOOKUP(Tabla1[[#This Row],[ID]],Tabla1[],4,FALSE))</f>
        <v>14.990399797519554</v>
      </c>
      <c r="J195" s="16">
        <f>Tabla1[[#This Row],[CN Literatura]]-Tabla1[[#This Row],[CN Predicted]]</f>
        <v>1.3491359817767599</v>
      </c>
    </row>
    <row r="196" spans="1:10" ht="15" customHeight="1" x14ac:dyDescent="0.25">
      <c r="A196" s="1">
        <f>Desgloce!A195</f>
        <v>75</v>
      </c>
      <c r="B196" s="14">
        <f>VLOOKUP(Tabla1[[#This Row],[No]],Tabla7[],7,FALSE)</f>
        <v>9.1</v>
      </c>
      <c r="C196" s="24">
        <v>9.2727571714467505</v>
      </c>
      <c r="D196" s="15">
        <f>(B196-C196)/B196*100</f>
        <v>-1.8984304554588005</v>
      </c>
      <c r="E196" s="14" t="str">
        <f>IF(Tabla1[[#This Row],[% Error1]]&gt;$E$1,Tabla1[[#This Row],[No]],IF(Tabla1[[#This Row],[% Error1]]&lt;-$E$1,Tabla1[[#This Row],[No]],""))</f>
        <v/>
      </c>
      <c r="F196" s="14" t="str">
        <f>IF(Tabla1[[#This Row],[ID]]="","",VLOOKUP(Tabla1[[#This Row],[ID]],Tabla7[],2,FALSE))</f>
        <v/>
      </c>
      <c r="G196" s="14" t="str">
        <f>IF(Tabla1[[#This Row],[ID]]="","",VLOOKUP(Tabla1[[#This Row],[ID]],Tabla7[],36,FALSE))</f>
        <v/>
      </c>
      <c r="H196" s="14" t="str">
        <f>IF(Tabla1[[#This Row],[ID]]="","",VLOOKUP(Tabla1[[#This Row],[ID]],Tabla7[],4,FALSE))</f>
        <v/>
      </c>
      <c r="I196" s="16" t="str">
        <f>IF(Tabla1[[#This Row],[ID]]="","",VLOOKUP(Tabla1[[#This Row],[ID]],Tabla1[],4,FALSE))</f>
        <v/>
      </c>
      <c r="J196" s="16">
        <f>Tabla1[[#This Row],[CN Literatura]]-Tabla1[[#This Row],[CN Predicted]]</f>
        <v>-0.17275717144675085</v>
      </c>
    </row>
    <row r="197" spans="1:10" ht="15" customHeight="1" x14ac:dyDescent="0.25">
      <c r="A197" s="1">
        <f>Desgloce!A196</f>
        <v>76</v>
      </c>
      <c r="B197" s="14">
        <f>VLOOKUP(Tabla1[[#This Row],[No]],Tabla7[],7,FALSE)</f>
        <v>9.5</v>
      </c>
      <c r="C197" s="24">
        <v>8.9264829662877307</v>
      </c>
      <c r="D197" s="15">
        <f>(B197-C197)/B197*100</f>
        <v>6.037021407497571</v>
      </c>
      <c r="E197" s="14" t="str">
        <f>IF(Tabla1[[#This Row],[% Error1]]&gt;$E$1,Tabla1[[#This Row],[No]],IF(Tabla1[[#This Row],[% Error1]]&lt;-$E$1,Tabla1[[#This Row],[No]],""))</f>
        <v/>
      </c>
      <c r="F197" s="14" t="str">
        <f>IF(Tabla1[[#This Row],[ID]]="","",VLOOKUP(Tabla1[[#This Row],[ID]],Tabla7[],2,FALSE))</f>
        <v/>
      </c>
      <c r="G197" s="14" t="str">
        <f>IF(Tabla1[[#This Row],[ID]]="","",VLOOKUP(Tabla1[[#This Row],[ID]],Tabla7[],36,FALSE))</f>
        <v/>
      </c>
      <c r="H197" s="14" t="str">
        <f>IF(Tabla1[[#This Row],[ID]]="","",VLOOKUP(Tabla1[[#This Row],[ID]],Tabla7[],4,FALSE))</f>
        <v/>
      </c>
      <c r="I197" s="16" t="str">
        <f>IF(Tabla1[[#This Row],[ID]]="","",VLOOKUP(Tabla1[[#This Row],[ID]],Tabla1[],4,FALSE))</f>
        <v/>
      </c>
      <c r="J197" s="16">
        <f>Tabla1[[#This Row],[CN Literatura]]-Tabla1[[#This Row],[CN Predicted]]</f>
        <v>0.57351703371226925</v>
      </c>
    </row>
    <row r="198" spans="1:10" ht="15" customHeight="1" x14ac:dyDescent="0.25">
      <c r="A198" s="1">
        <f>Desgloce!A197</f>
        <v>77</v>
      </c>
      <c r="B198" s="14">
        <f>VLOOKUP(Tabla1[[#This Row],[No]],Tabla7[],7,FALSE)</f>
        <v>9.6999999999999993</v>
      </c>
      <c r="C198" s="24">
        <v>10.2043217864914</v>
      </c>
      <c r="D198" s="15">
        <f>(B198-C198)/B198*100</f>
        <v>-5.1991936751690817</v>
      </c>
      <c r="E198" s="14" t="str">
        <f>IF(Tabla1[[#This Row],[% Error1]]&gt;$E$1,Tabla1[[#This Row],[No]],IF(Tabla1[[#This Row],[% Error1]]&lt;-$E$1,Tabla1[[#This Row],[No]],""))</f>
        <v/>
      </c>
      <c r="F198" s="14" t="str">
        <f>IF(Tabla1[[#This Row],[ID]]="","",VLOOKUP(Tabla1[[#This Row],[ID]],Tabla7[],2,FALSE))</f>
        <v/>
      </c>
      <c r="G198" s="14" t="str">
        <f>IF(Tabla1[[#This Row],[ID]]="","",VLOOKUP(Tabla1[[#This Row],[ID]],Tabla7[],36,FALSE))</f>
        <v/>
      </c>
      <c r="H198" s="14" t="str">
        <f>IF(Tabla1[[#This Row],[ID]]="","",VLOOKUP(Tabla1[[#This Row],[ID]],Tabla7[],4,FALSE))</f>
        <v/>
      </c>
      <c r="I198" s="16" t="str">
        <f>IF(Tabla1[[#This Row],[ID]]="","",VLOOKUP(Tabla1[[#This Row],[ID]],Tabla1[],4,FALSE))</f>
        <v/>
      </c>
      <c r="J198" s="16">
        <f>Tabla1[[#This Row],[CN Literatura]]-Tabla1[[#This Row],[CN Predicted]]</f>
        <v>-0.50432178649140091</v>
      </c>
    </row>
    <row r="199" spans="1:10" ht="15" customHeight="1" x14ac:dyDescent="0.25">
      <c r="A199" s="1">
        <f>Desgloce!A198</f>
        <v>78</v>
      </c>
      <c r="B199" s="14">
        <f>VLOOKUP(Tabla1[[#This Row],[No]],Tabla7[],7,FALSE)</f>
        <v>9.8000000000000007</v>
      </c>
      <c r="C199" s="24">
        <v>10.003825544764499</v>
      </c>
      <c r="D199" s="15">
        <f>(B199-C199)/B199*100</f>
        <v>-2.0798524975969239</v>
      </c>
      <c r="E199" s="14" t="str">
        <f>IF(Tabla1[[#This Row],[% Error1]]&gt;$E$1,Tabla1[[#This Row],[No]],IF(Tabla1[[#This Row],[% Error1]]&lt;-$E$1,Tabla1[[#This Row],[No]],""))</f>
        <v/>
      </c>
      <c r="F199" s="14" t="str">
        <f>IF(Tabla1[[#This Row],[ID]]="","",VLOOKUP(Tabla1[[#This Row],[ID]],Tabla7[],2,FALSE))</f>
        <v/>
      </c>
      <c r="G199" s="14" t="str">
        <f>IF(Tabla1[[#This Row],[ID]]="","",VLOOKUP(Tabla1[[#This Row],[ID]],Tabla7[],36,FALSE))</f>
        <v/>
      </c>
      <c r="H199" s="14" t="str">
        <f>IF(Tabla1[[#This Row],[ID]]="","",VLOOKUP(Tabla1[[#This Row],[ID]],Tabla7[],4,FALSE))</f>
        <v/>
      </c>
      <c r="I199" s="16" t="str">
        <f>IF(Tabla1[[#This Row],[ID]]="","",VLOOKUP(Tabla1[[#This Row],[ID]],Tabla1[],4,FALSE))</f>
        <v/>
      </c>
      <c r="J199" s="16">
        <f>Tabla1[[#This Row],[CN Literatura]]-Tabla1[[#This Row],[CN Predicted]]</f>
        <v>-0.20382554476449855</v>
      </c>
    </row>
    <row r="200" spans="1:10" ht="15" customHeight="1" x14ac:dyDescent="0.25">
      <c r="A200" s="1">
        <f>Desgloce!A199</f>
        <v>79</v>
      </c>
      <c r="B200" s="14">
        <f>VLOOKUP(Tabla1[[#This Row],[No]],Tabla7[],7,FALSE)</f>
        <v>9.8000000000000007</v>
      </c>
      <c r="C200" s="24">
        <v>9.5849431728358301</v>
      </c>
      <c r="D200" s="15">
        <f>(B200-C200)/B200*100</f>
        <v>2.1944574200425575</v>
      </c>
      <c r="E200" s="14" t="str">
        <f>IF(Tabla1[[#This Row],[% Error1]]&gt;$E$1,Tabla1[[#This Row],[No]],IF(Tabla1[[#This Row],[% Error1]]&lt;-$E$1,Tabla1[[#This Row],[No]],""))</f>
        <v/>
      </c>
      <c r="F200" s="14" t="str">
        <f>IF(Tabla1[[#This Row],[ID]]="","",VLOOKUP(Tabla1[[#This Row],[ID]],Tabla7[],2,FALSE))</f>
        <v/>
      </c>
      <c r="G200" s="14" t="str">
        <f>IF(Tabla1[[#This Row],[ID]]="","",VLOOKUP(Tabla1[[#This Row],[ID]],Tabla7[],36,FALSE))</f>
        <v/>
      </c>
      <c r="H200" s="14" t="str">
        <f>IF(Tabla1[[#This Row],[ID]]="","",VLOOKUP(Tabla1[[#This Row],[ID]],Tabla7[],4,FALSE))</f>
        <v/>
      </c>
      <c r="I200" s="16" t="str">
        <f>IF(Tabla1[[#This Row],[ID]]="","",VLOOKUP(Tabla1[[#This Row],[ID]],Tabla1[],4,FALSE))</f>
        <v/>
      </c>
      <c r="J200" s="16">
        <f>Tabla1[[#This Row],[CN Literatura]]-Tabla1[[#This Row],[CN Predicted]]</f>
        <v>0.21505682716417063</v>
      </c>
    </row>
    <row r="201" spans="1:10" ht="15" customHeight="1" x14ac:dyDescent="0.25">
      <c r="A201" s="1">
        <f>Desgloce!A200</f>
        <v>80</v>
      </c>
      <c r="B201" s="14">
        <f>VLOOKUP(Tabla1[[#This Row],[No]],Tabla7[],7,FALSE)</f>
        <v>10</v>
      </c>
      <c r="C201" s="24">
        <v>9.8142506461725603</v>
      </c>
      <c r="D201" s="15">
        <f>(B201-C201)/B201*100</f>
        <v>1.8574935382743973</v>
      </c>
      <c r="E201" s="14" t="str">
        <f>IF(Tabla1[[#This Row],[% Error1]]&gt;$E$1,Tabla1[[#This Row],[No]],IF(Tabla1[[#This Row],[% Error1]]&lt;-$E$1,Tabla1[[#This Row],[No]],""))</f>
        <v/>
      </c>
      <c r="F201" s="14" t="str">
        <f>IF(Tabla1[[#This Row],[ID]]="","",VLOOKUP(Tabla1[[#This Row],[ID]],Tabla7[],2,FALSE))</f>
        <v/>
      </c>
      <c r="G201" s="14" t="str">
        <f>IF(Tabla1[[#This Row],[ID]]="","",VLOOKUP(Tabla1[[#This Row],[ID]],Tabla7[],36,FALSE))</f>
        <v/>
      </c>
      <c r="H201" s="14" t="str">
        <f>IF(Tabla1[[#This Row],[ID]]="","",VLOOKUP(Tabla1[[#This Row],[ID]],Tabla7[],4,FALSE))</f>
        <v/>
      </c>
      <c r="I201" s="16" t="str">
        <f>IF(Tabla1[[#This Row],[ID]]="","",VLOOKUP(Tabla1[[#This Row],[ID]],Tabla1[],4,FALSE))</f>
        <v/>
      </c>
      <c r="J201" s="16">
        <f>Tabla1[[#This Row],[CN Literatura]]-Tabla1[[#This Row],[CN Predicted]]</f>
        <v>0.18574935382743973</v>
      </c>
    </row>
    <row r="202" spans="1:10" ht="15" customHeight="1" x14ac:dyDescent="0.25">
      <c r="A202" s="1">
        <f>Desgloce!A201</f>
        <v>81</v>
      </c>
      <c r="B202" s="14">
        <f>VLOOKUP(Tabla1[[#This Row],[No]],Tabla7[],7,FALSE)</f>
        <v>10</v>
      </c>
      <c r="C202" s="24">
        <v>10.6100315463102</v>
      </c>
      <c r="D202" s="15">
        <f>(B202-C202)/B202*100</f>
        <v>-6.1003154631019996</v>
      </c>
      <c r="E202" s="14" t="str">
        <f>IF(Tabla1[[#This Row],[% Error1]]&gt;$E$1,Tabla1[[#This Row],[No]],IF(Tabla1[[#This Row],[% Error1]]&lt;-$E$1,Tabla1[[#This Row],[No]],""))</f>
        <v/>
      </c>
      <c r="F202" s="14" t="str">
        <f>IF(Tabla1[[#This Row],[ID]]="","",VLOOKUP(Tabla1[[#This Row],[ID]],Tabla7[],2,FALSE))</f>
        <v/>
      </c>
      <c r="G202" s="14" t="str">
        <f>IF(Tabla1[[#This Row],[ID]]="","",VLOOKUP(Tabla1[[#This Row],[ID]],Tabla7[],36,FALSE))</f>
        <v/>
      </c>
      <c r="H202" s="14" t="str">
        <f>IF(Tabla1[[#This Row],[ID]]="","",VLOOKUP(Tabla1[[#This Row],[ID]],Tabla7[],4,FALSE))</f>
        <v/>
      </c>
      <c r="I202" s="16" t="str">
        <f>IF(Tabla1[[#This Row],[ID]]="","",VLOOKUP(Tabla1[[#This Row],[ID]],Tabla1[],4,FALSE))</f>
        <v/>
      </c>
      <c r="J202" s="16">
        <f>Tabla1[[#This Row],[CN Literatura]]-Tabla1[[#This Row],[CN Predicted]]</f>
        <v>-0.61003154631019996</v>
      </c>
    </row>
    <row r="203" spans="1:10" ht="15" customHeight="1" x14ac:dyDescent="0.25">
      <c r="A203" s="1">
        <f>Desgloce!A202</f>
        <v>82</v>
      </c>
      <c r="B203" s="14">
        <f>VLOOKUP(Tabla1[[#This Row],[No]],Tabla7[],7,FALSE)</f>
        <v>10</v>
      </c>
      <c r="C203" s="24">
        <v>0.91176268699765495</v>
      </c>
      <c r="D203" s="15">
        <f>(B203-C203)/B203*100</f>
        <v>90.882373130023453</v>
      </c>
      <c r="E203" s="14">
        <f>IF(Tabla1[[#This Row],[% Error1]]&gt;$E$1,Tabla1[[#This Row],[No]],IF(Tabla1[[#This Row],[% Error1]]&lt;-$E$1,Tabla1[[#This Row],[No]],""))</f>
        <v>82</v>
      </c>
      <c r="F203" s="14" t="str">
        <f>IF(Tabla1[[#This Row],[ID]]="","",VLOOKUP(Tabla1[[#This Row],[ID]],Tabla7[],2,FALSE))</f>
        <v>CCCCC(C)(C)c1ccc2ccccc2c1</v>
      </c>
      <c r="G203" s="14" t="str">
        <f>IF(Tabla1[[#This Row],[ID]]="","",VLOOKUP(Tabla1[[#This Row],[ID]],Tabla7[],36,FALSE))</f>
        <v>Training</v>
      </c>
      <c r="H203" s="14" t="str">
        <f>IF(Tabla1[[#This Row],[ID]]="","",VLOOKUP(Tabla1[[#This Row],[ID]],Tabla7[],4,FALSE))</f>
        <v>Aromatic</v>
      </c>
      <c r="I203" s="24">
        <f>IF(Tabla1[[#This Row],[ID]]="","",VLOOKUP(Tabla1[[#This Row],[ID]],Tabla1[],4,FALSE))</f>
        <v>90.882373130023453</v>
      </c>
      <c r="J203" s="16">
        <f>Tabla1[[#This Row],[CN Literatura]]-Tabla1[[#This Row],[CN Predicted]]</f>
        <v>9.0882373130023453</v>
      </c>
    </row>
    <row r="204" spans="1:10" ht="15" customHeight="1" x14ac:dyDescent="0.25">
      <c r="A204" s="1">
        <f>Desgloce!A203</f>
        <v>83</v>
      </c>
      <c r="B204" s="14">
        <f>VLOOKUP(Tabla1[[#This Row],[No]],Tabla7[],7,FALSE)</f>
        <v>10</v>
      </c>
      <c r="C204" s="24">
        <v>9.6594072839902392</v>
      </c>
      <c r="D204" s="15">
        <f>(B204-C204)/B204*100</f>
        <v>3.4059271600976082</v>
      </c>
      <c r="E204" s="14" t="str">
        <f>IF(Tabla1[[#This Row],[% Error1]]&gt;$E$1,Tabla1[[#This Row],[No]],IF(Tabla1[[#This Row],[% Error1]]&lt;-$E$1,Tabla1[[#This Row],[No]],""))</f>
        <v/>
      </c>
      <c r="F204" s="14" t="str">
        <f>IF(Tabla1[[#This Row],[ID]]="","",VLOOKUP(Tabla1[[#This Row],[ID]],Tabla7[],2,FALSE))</f>
        <v/>
      </c>
      <c r="G204" s="14" t="str">
        <f>IF(Tabla1[[#This Row],[ID]]="","",VLOOKUP(Tabla1[[#This Row],[ID]],Tabla7[],36,FALSE))</f>
        <v/>
      </c>
      <c r="H204" s="14" t="str">
        <f>IF(Tabla1[[#This Row],[ID]]="","",VLOOKUP(Tabla1[[#This Row],[ID]],Tabla7[],4,FALSE))</f>
        <v/>
      </c>
      <c r="I204" s="16" t="str">
        <f>IF(Tabla1[[#This Row],[ID]]="","",VLOOKUP(Tabla1[[#This Row],[ID]],Tabla1[],4,FALSE))</f>
        <v/>
      </c>
      <c r="J204" s="16">
        <f>Tabla1[[#This Row],[CN Literatura]]-Tabla1[[#This Row],[CN Predicted]]</f>
        <v>0.34059271600976082</v>
      </c>
    </row>
    <row r="205" spans="1:10" ht="15" customHeight="1" x14ac:dyDescent="0.25">
      <c r="A205" s="1">
        <f>Desgloce!A204</f>
        <v>84</v>
      </c>
      <c r="B205" s="14">
        <f>VLOOKUP(Tabla1[[#This Row],[No]],Tabla7[],7,FALSE)</f>
        <v>10.1</v>
      </c>
      <c r="C205" s="24">
        <v>4.2625392212190798</v>
      </c>
      <c r="D205" s="15">
        <f>(B205-C205)/B205*100</f>
        <v>57.796641374068514</v>
      </c>
      <c r="E205" s="14">
        <f>IF(Tabla1[[#This Row],[% Error1]]&gt;$E$1,Tabla1[[#This Row],[No]],IF(Tabla1[[#This Row],[% Error1]]&lt;-$E$1,Tabla1[[#This Row],[No]],""))</f>
        <v>84</v>
      </c>
      <c r="F205" s="14" t="str">
        <f>IF(Tabla1[[#This Row],[ID]]="","",VLOOKUP(Tabla1[[#This Row],[ID]],Tabla7[],2,FALSE))</f>
        <v>CC1=C(C(=CC=C1)C)C</v>
      </c>
      <c r="G205" s="14" t="str">
        <f>IF(Tabla1[[#This Row],[ID]]="","",VLOOKUP(Tabla1[[#This Row],[ID]],Tabla7[],36,FALSE))</f>
        <v>Training</v>
      </c>
      <c r="H205" s="14" t="str">
        <f>IF(Tabla1[[#This Row],[ID]]="","",VLOOKUP(Tabla1[[#This Row],[ID]],Tabla7[],4,FALSE))</f>
        <v>Aromatic</v>
      </c>
      <c r="I205" s="24">
        <f>IF(Tabla1[[#This Row],[ID]]="","",VLOOKUP(Tabla1[[#This Row],[ID]],Tabla1[],4,FALSE))</f>
        <v>57.796641374068514</v>
      </c>
      <c r="J205" s="16">
        <f>Tabla1[[#This Row],[CN Literatura]]-Tabla1[[#This Row],[CN Predicted]]</f>
        <v>5.8374607787809198</v>
      </c>
    </row>
    <row r="206" spans="1:10" ht="15" customHeight="1" x14ac:dyDescent="0.25">
      <c r="A206" s="1">
        <f>Desgloce!A205</f>
        <v>88</v>
      </c>
      <c r="B206" s="14">
        <f>VLOOKUP(Tabla1[[#This Row],[No]],Tabla7[],7,FALSE)</f>
        <v>10.8</v>
      </c>
      <c r="C206" s="24">
        <v>8.0696527377260594</v>
      </c>
      <c r="D206" s="15">
        <f>(B206-C206)/B206*100</f>
        <v>25.280993169203157</v>
      </c>
      <c r="E206" s="14">
        <f>IF(Tabla1[[#This Row],[% Error1]]&gt;$E$1,Tabla1[[#This Row],[No]],IF(Tabla1[[#This Row],[% Error1]]&lt;-$E$1,Tabla1[[#This Row],[No]],""))</f>
        <v>88</v>
      </c>
      <c r="F206" s="14" t="str">
        <f>IF(Tabla1[[#This Row],[ID]]="","",VLOOKUP(Tabla1[[#This Row],[ID]],Tabla7[],2,FALSE))</f>
        <v>C1=COC(=C1)CO</v>
      </c>
      <c r="G206" s="14" t="str">
        <f>IF(Tabla1[[#This Row],[ID]]="","",VLOOKUP(Tabla1[[#This Row],[ID]],Tabla7[],36,FALSE))</f>
        <v>Training</v>
      </c>
      <c r="H206" s="14" t="str">
        <f>IF(Tabla1[[#This Row],[ID]]="","",VLOOKUP(Tabla1[[#This Row],[ID]],Tabla7[],4,FALSE))</f>
        <v>Furans</v>
      </c>
      <c r="I206" s="16">
        <f>IF(Tabla1[[#This Row],[ID]]="","",VLOOKUP(Tabla1[[#This Row],[ID]],Tabla1[],4,FALSE))</f>
        <v>25.280993169203157</v>
      </c>
      <c r="J206" s="16">
        <f>Tabla1[[#This Row],[CN Literatura]]-Tabla1[[#This Row],[CN Predicted]]</f>
        <v>2.7303472622739413</v>
      </c>
    </row>
    <row r="207" spans="1:10" ht="15" customHeight="1" x14ac:dyDescent="0.25">
      <c r="A207" s="1">
        <f>Desgloce!A206</f>
        <v>89</v>
      </c>
      <c r="B207" s="14">
        <f>VLOOKUP(Tabla1[[#This Row],[No]],Tabla7[],7,FALSE)</f>
        <v>10.9</v>
      </c>
      <c r="C207" s="24">
        <v>14.601068737763001</v>
      </c>
      <c r="D207" s="15">
        <f>(B207-C207)/B207*100</f>
        <v>-33.954759062045873</v>
      </c>
      <c r="E207" s="14">
        <f>IF(Tabla1[[#This Row],[% Error1]]&gt;$E$1,Tabla1[[#This Row],[No]],IF(Tabla1[[#This Row],[% Error1]]&lt;-$E$1,Tabla1[[#This Row],[No]],""))</f>
        <v>89</v>
      </c>
      <c r="F207" s="14" t="str">
        <f>IF(Tabla1[[#This Row],[ID]]="","",VLOOKUP(Tabla1[[#This Row],[ID]],Tabla7[],2,FALSE))</f>
        <v>Cc1ccc(o1)C</v>
      </c>
      <c r="G207" s="14" t="str">
        <f>IF(Tabla1[[#This Row],[ID]]="","",VLOOKUP(Tabla1[[#This Row],[ID]],Tabla7[],36,FALSE))</f>
        <v>Training</v>
      </c>
      <c r="H207" s="14" t="str">
        <f>IF(Tabla1[[#This Row],[ID]]="","",VLOOKUP(Tabla1[[#This Row],[ID]],Tabla7[],4,FALSE))</f>
        <v>Polyfunctional</v>
      </c>
      <c r="I207" s="16">
        <f>IF(Tabla1[[#This Row],[ID]]="","",VLOOKUP(Tabla1[[#This Row],[ID]],Tabla1[],4,FALSE))</f>
        <v>-33.954759062045873</v>
      </c>
      <c r="J207" s="16">
        <f>Tabla1[[#This Row],[CN Literatura]]-Tabla1[[#This Row],[CN Predicted]]</f>
        <v>-3.7010687377630003</v>
      </c>
    </row>
    <row r="208" spans="1:10" ht="15" customHeight="1" x14ac:dyDescent="0.25">
      <c r="A208" s="1">
        <f>Desgloce!A207</f>
        <v>90</v>
      </c>
      <c r="B208" s="14">
        <f>VLOOKUP(Tabla1[[#This Row],[No]],Tabla7[],7,FALSE)</f>
        <v>11</v>
      </c>
      <c r="C208" s="24">
        <v>11.6808592692629</v>
      </c>
      <c r="D208" s="15">
        <f>(B208-C208)/B208*100</f>
        <v>-6.1896297205718165</v>
      </c>
      <c r="E208" s="14" t="str">
        <f>IF(Tabla1[[#This Row],[% Error1]]&gt;$E$1,Tabla1[[#This Row],[No]],IF(Tabla1[[#This Row],[% Error1]]&lt;-$E$1,Tabla1[[#This Row],[No]],""))</f>
        <v/>
      </c>
      <c r="F208" s="14" t="str">
        <f>IF(Tabla1[[#This Row],[ID]]="","",VLOOKUP(Tabla1[[#This Row],[ID]],Tabla7[],2,FALSE))</f>
        <v/>
      </c>
      <c r="G208" s="14" t="str">
        <f>IF(Tabla1[[#This Row],[ID]]="","",VLOOKUP(Tabla1[[#This Row],[ID]],Tabla7[],36,FALSE))</f>
        <v/>
      </c>
      <c r="H208" s="14" t="str">
        <f>IF(Tabla1[[#This Row],[ID]]="","",VLOOKUP(Tabla1[[#This Row],[ID]],Tabla7[],4,FALSE))</f>
        <v/>
      </c>
      <c r="I208" s="16" t="str">
        <f>IF(Tabla1[[#This Row],[ID]]="","",VLOOKUP(Tabla1[[#This Row],[ID]],Tabla1[],4,FALSE))</f>
        <v/>
      </c>
      <c r="J208" s="16">
        <f>Tabla1[[#This Row],[CN Literatura]]-Tabla1[[#This Row],[CN Predicted]]</f>
        <v>-0.68085926926289986</v>
      </c>
    </row>
    <row r="209" spans="1:10" ht="15" customHeight="1" x14ac:dyDescent="0.25">
      <c r="A209" s="1">
        <f>Desgloce!A208</f>
        <v>91</v>
      </c>
      <c r="B209" s="14">
        <f>VLOOKUP(Tabla1[[#This Row],[No]],Tabla7[],7,FALSE)</f>
        <v>11.5</v>
      </c>
      <c r="C209" s="24">
        <v>11.2155388590181</v>
      </c>
      <c r="D209" s="15">
        <f>(B209-C209)/B209*100</f>
        <v>2.4735751389730454</v>
      </c>
      <c r="E209" s="14" t="str">
        <f>IF(Tabla1[[#This Row],[% Error1]]&gt;$E$1,Tabla1[[#This Row],[No]],IF(Tabla1[[#This Row],[% Error1]]&lt;-$E$1,Tabla1[[#This Row],[No]],""))</f>
        <v/>
      </c>
      <c r="F209" s="14" t="str">
        <f>IF(Tabla1[[#This Row],[ID]]="","",VLOOKUP(Tabla1[[#This Row],[ID]],Tabla7[],2,FALSE))</f>
        <v/>
      </c>
      <c r="G209" s="14" t="str">
        <f>IF(Tabla1[[#This Row],[ID]]="","",VLOOKUP(Tabla1[[#This Row],[ID]],Tabla7[],36,FALSE))</f>
        <v/>
      </c>
      <c r="H209" s="14" t="str">
        <f>IF(Tabla1[[#This Row],[ID]]="","",VLOOKUP(Tabla1[[#This Row],[ID]],Tabla7[],4,FALSE))</f>
        <v/>
      </c>
      <c r="I209" s="16" t="str">
        <f>IF(Tabla1[[#This Row],[ID]]="","",VLOOKUP(Tabla1[[#This Row],[ID]],Tabla1[],4,FALSE))</f>
        <v/>
      </c>
      <c r="J209" s="16">
        <f>Tabla1[[#This Row],[CN Literatura]]-Tabla1[[#This Row],[CN Predicted]]</f>
        <v>0.28446114098190023</v>
      </c>
    </row>
    <row r="210" spans="1:10" ht="15" customHeight="1" x14ac:dyDescent="0.25">
      <c r="A210" s="1">
        <f>Desgloce!A209</f>
        <v>93</v>
      </c>
      <c r="B210" s="14">
        <f>VLOOKUP(Tabla1[[#This Row],[No]],Tabla7[],7,FALSE)</f>
        <v>11.9</v>
      </c>
      <c r="C210" s="24">
        <v>13.162366072586</v>
      </c>
      <c r="D210" s="15">
        <f>(B210-C210)/B210*100</f>
        <v>-10.608118257025206</v>
      </c>
      <c r="E210" s="14">
        <f>IF(Tabla1[[#This Row],[% Error1]]&gt;$E$1,Tabla1[[#This Row],[No]],IF(Tabla1[[#This Row],[% Error1]]&lt;-$E$1,Tabla1[[#This Row],[No]],""))</f>
        <v>93</v>
      </c>
      <c r="F210" s="14" t="str">
        <f>IF(Tabla1[[#This Row],[ID]]="","",VLOOKUP(Tabla1[[#This Row],[ID]],Tabla7[],2,FALSE))</f>
        <v>CC1CC(=O)CC(C1)(C)C</v>
      </c>
      <c r="G210" s="14" t="str">
        <f>IF(Tabla1[[#This Row],[ID]]="","",VLOOKUP(Tabla1[[#This Row],[ID]],Tabla7[],36,FALSE))</f>
        <v>Training</v>
      </c>
      <c r="H210" s="14" t="str">
        <f>IF(Tabla1[[#This Row],[ID]]="","",VLOOKUP(Tabla1[[#This Row],[ID]],Tabla7[],4,FALSE))</f>
        <v>Cyclic Ketone</v>
      </c>
      <c r="I210" s="16">
        <f>IF(Tabla1[[#This Row],[ID]]="","",VLOOKUP(Tabla1[[#This Row],[ID]],Tabla1[],4,FALSE))</f>
        <v>-10.608118257025206</v>
      </c>
      <c r="J210" s="16">
        <f>Tabla1[[#This Row],[CN Literatura]]-Tabla1[[#This Row],[CN Predicted]]</f>
        <v>-1.2623660725859995</v>
      </c>
    </row>
    <row r="211" spans="1:10" ht="15" customHeight="1" x14ac:dyDescent="0.25">
      <c r="A211" s="1">
        <f>Desgloce!A210</f>
        <v>98</v>
      </c>
      <c r="B211" s="14">
        <f>VLOOKUP(Tabla1[[#This Row],[No]],Tabla7[],7,FALSE)</f>
        <v>12</v>
      </c>
      <c r="C211" s="24">
        <v>29.4228863680922</v>
      </c>
      <c r="D211" s="15">
        <f>(B211-C211)/B211*100</f>
        <v>-145.19071973410166</v>
      </c>
      <c r="E211" s="14">
        <f>IF(Tabla1[[#This Row],[% Error1]]&gt;$E$1,Tabla1[[#This Row],[No]],IF(Tabla1[[#This Row],[% Error1]]&lt;-$E$1,Tabla1[[#This Row],[No]],""))</f>
        <v>98</v>
      </c>
      <c r="F211" s="14" t="str">
        <f>IF(Tabla1[[#This Row],[ID]]="","",VLOOKUP(Tabla1[[#This Row],[ID]],Tabla7[],2,FALSE))</f>
        <v>CC(C)C(CC)CC</v>
      </c>
      <c r="G211" s="14" t="str">
        <f>IF(Tabla1[[#This Row],[ID]]="","",VLOOKUP(Tabla1[[#This Row],[ID]],Tabla7[],36,FALSE))</f>
        <v>Training</v>
      </c>
      <c r="H211" s="14" t="str">
        <f>IF(Tabla1[[#This Row],[ID]]="","",VLOOKUP(Tabla1[[#This Row],[ID]],Tabla7[],4,FALSE))</f>
        <v>iso-alkane</v>
      </c>
      <c r="I211" s="16">
        <f>IF(Tabla1[[#This Row],[ID]]="","",VLOOKUP(Tabla1[[#This Row],[ID]],Tabla1[],4,FALSE))</f>
        <v>-145.19071973410166</v>
      </c>
      <c r="J211" s="16">
        <f>Tabla1[[#This Row],[CN Literatura]]-Tabla1[[#This Row],[CN Predicted]]</f>
        <v>-17.4228863680922</v>
      </c>
    </row>
    <row r="212" spans="1:10" ht="15" customHeight="1" x14ac:dyDescent="0.25">
      <c r="A212" s="1">
        <f>Desgloce!A211</f>
        <v>100</v>
      </c>
      <c r="B212" s="14">
        <f>VLOOKUP(Tabla1[[#This Row],[No]],Tabla7[],7,FALSE)</f>
        <v>12.6</v>
      </c>
      <c r="C212" s="24">
        <v>13.8009749027401</v>
      </c>
      <c r="D212" s="15">
        <f>(B212-C212)/B212*100</f>
        <v>-9.5315468471436517</v>
      </c>
      <c r="E212" s="14" t="str">
        <f>IF(Tabla1[[#This Row],[% Error1]]&gt;$E$1,Tabla1[[#This Row],[No]],IF(Tabla1[[#This Row],[% Error1]]&lt;-$E$1,Tabla1[[#This Row],[No]],""))</f>
        <v/>
      </c>
      <c r="F212" s="14" t="str">
        <f>IF(Tabla1[[#This Row],[ID]]="","",VLOOKUP(Tabla1[[#This Row],[ID]],Tabla7[],2,FALSE))</f>
        <v/>
      </c>
      <c r="G212" s="14" t="str">
        <f>IF(Tabla1[[#This Row],[ID]]="","",VLOOKUP(Tabla1[[#This Row],[ID]],Tabla7[],36,FALSE))</f>
        <v/>
      </c>
      <c r="H212" s="14" t="str">
        <f>IF(Tabla1[[#This Row],[ID]]="","",VLOOKUP(Tabla1[[#This Row],[ID]],Tabla7[],4,FALSE))</f>
        <v/>
      </c>
      <c r="I212" s="16" t="str">
        <f>IF(Tabla1[[#This Row],[ID]]="","",VLOOKUP(Tabla1[[#This Row],[ID]],Tabla1[],4,FALSE))</f>
        <v/>
      </c>
      <c r="J212" s="16">
        <f>Tabla1[[#This Row],[CN Literatura]]-Tabla1[[#This Row],[CN Predicted]]</f>
        <v>-1.2009749027401</v>
      </c>
    </row>
    <row r="213" spans="1:10" ht="15" customHeight="1" x14ac:dyDescent="0.25">
      <c r="A213" s="1">
        <f>Desgloce!A212</f>
        <v>101</v>
      </c>
      <c r="B213" s="14">
        <f>VLOOKUP(Tabla1[[#This Row],[No]],Tabla7[],7,FALSE)</f>
        <v>12.9</v>
      </c>
      <c r="C213" s="24">
        <v>16.423666270378899</v>
      </c>
      <c r="D213" s="15">
        <f>(B213-C213)/B213*100</f>
        <v>-27.315242406037971</v>
      </c>
      <c r="E213" s="14">
        <f>IF(Tabla1[[#This Row],[% Error1]]&gt;$E$1,Tabla1[[#This Row],[No]],IF(Tabla1[[#This Row],[% Error1]]&lt;-$E$1,Tabla1[[#This Row],[No]],""))</f>
        <v>101</v>
      </c>
      <c r="F213" s="14" t="str">
        <f>IF(Tabla1[[#This Row],[ID]]="","",VLOOKUP(Tabla1[[#This Row],[ID]],Tabla7[],2,FALSE))</f>
        <v>C(CCC)C1=CC=CC=C1</v>
      </c>
      <c r="G213" s="14" t="str">
        <f>IF(Tabla1[[#This Row],[ID]]="","",VLOOKUP(Tabla1[[#This Row],[ID]],Tabla7[],36,FALSE))</f>
        <v>Training</v>
      </c>
      <c r="H213" s="14" t="str">
        <f>IF(Tabla1[[#This Row],[ID]]="","",VLOOKUP(Tabla1[[#This Row],[ID]],Tabla7[],4,FALSE))</f>
        <v>Aromatic</v>
      </c>
      <c r="I213" s="24">
        <f>IF(Tabla1[[#This Row],[ID]]="","",VLOOKUP(Tabla1[[#This Row],[ID]],Tabla1[],4,FALSE))</f>
        <v>-27.315242406037971</v>
      </c>
      <c r="J213" s="16">
        <f>Tabla1[[#This Row],[CN Literatura]]-Tabla1[[#This Row],[CN Predicted]]</f>
        <v>-3.5236662703788983</v>
      </c>
    </row>
    <row r="214" spans="1:10" ht="15" customHeight="1" x14ac:dyDescent="0.25">
      <c r="A214" s="1">
        <f>Desgloce!A213</f>
        <v>102</v>
      </c>
      <c r="B214" s="14">
        <f>VLOOKUP(Tabla1[[#This Row],[No]],Tabla7[],7,FALSE)</f>
        <v>12.9</v>
      </c>
      <c r="C214" s="24">
        <v>14.212923677729499</v>
      </c>
      <c r="D214" s="15">
        <f>(B214-C214)/B214*100</f>
        <v>-10.17770292813565</v>
      </c>
      <c r="E214" s="14">
        <f>IF(Tabla1[[#This Row],[% Error1]]&gt;$E$1,Tabla1[[#This Row],[No]],IF(Tabla1[[#This Row],[% Error1]]&lt;-$E$1,Tabla1[[#This Row],[No]],""))</f>
        <v>102</v>
      </c>
      <c r="F214" s="14" t="str">
        <f>IF(Tabla1[[#This Row],[ID]]="","",VLOOKUP(Tabla1[[#This Row],[ID]],Tabla7[],2,FALSE))</f>
        <v>CC(C)C(C)(C)C</v>
      </c>
      <c r="G214" s="14" t="str">
        <f>IF(Tabla1[[#This Row],[ID]]="","",VLOOKUP(Tabla1[[#This Row],[ID]],Tabla7[],36,FALSE))</f>
        <v>Training</v>
      </c>
      <c r="H214" s="14" t="str">
        <f>IF(Tabla1[[#This Row],[ID]]="","",VLOOKUP(Tabla1[[#This Row],[ID]],Tabla7[],4,FALSE))</f>
        <v>iso-alkane</v>
      </c>
      <c r="I214" s="16">
        <f>IF(Tabla1[[#This Row],[ID]]="","",VLOOKUP(Tabla1[[#This Row],[ID]],Tabla1[],4,FALSE))</f>
        <v>-10.17770292813565</v>
      </c>
      <c r="J214" s="16">
        <f>Tabla1[[#This Row],[CN Literatura]]-Tabla1[[#This Row],[CN Predicted]]</f>
        <v>-1.3129236777294988</v>
      </c>
    </row>
    <row r="215" spans="1:10" ht="15" customHeight="1" x14ac:dyDescent="0.25">
      <c r="A215" s="1">
        <f>Desgloce!A214</f>
        <v>103</v>
      </c>
      <c r="B215" s="14">
        <f>VLOOKUP(Tabla1[[#This Row],[No]],Tabla7[],7,FALSE)</f>
        <v>12.9</v>
      </c>
      <c r="C215" s="24">
        <v>12.9738717489015</v>
      </c>
      <c r="D215" s="15">
        <f>(B215-C215)/B215*100</f>
        <v>-0.57264921629069376</v>
      </c>
      <c r="E215" s="14" t="str">
        <f>IF(Tabla1[[#This Row],[% Error1]]&gt;$E$1,Tabla1[[#This Row],[No]],IF(Tabla1[[#This Row],[% Error1]]&lt;-$E$1,Tabla1[[#This Row],[No]],""))</f>
        <v/>
      </c>
      <c r="F215" s="14" t="str">
        <f>IF(Tabla1[[#This Row],[ID]]="","",VLOOKUP(Tabla1[[#This Row],[ID]],Tabla7[],2,FALSE))</f>
        <v/>
      </c>
      <c r="G215" s="14" t="str">
        <f>IF(Tabla1[[#This Row],[ID]]="","",VLOOKUP(Tabla1[[#This Row],[ID]],Tabla7[],36,FALSE))</f>
        <v/>
      </c>
      <c r="H215" s="14" t="str">
        <f>IF(Tabla1[[#This Row],[ID]]="","",VLOOKUP(Tabla1[[#This Row],[ID]],Tabla7[],4,FALSE))</f>
        <v/>
      </c>
      <c r="I215" s="16" t="str">
        <f>IF(Tabla1[[#This Row],[ID]]="","",VLOOKUP(Tabla1[[#This Row],[ID]],Tabla1[],4,FALSE))</f>
        <v/>
      </c>
      <c r="J215" s="16">
        <f>Tabla1[[#This Row],[CN Literatura]]-Tabla1[[#This Row],[CN Predicted]]</f>
        <v>-7.3871748901499501E-2</v>
      </c>
    </row>
    <row r="216" spans="1:10" ht="15" customHeight="1" x14ac:dyDescent="0.25">
      <c r="A216" s="1">
        <f>Desgloce!A215</f>
        <v>104</v>
      </c>
      <c r="B216" s="14">
        <f>VLOOKUP(Tabla1[[#This Row],[No]],Tabla7[],7,FALSE)</f>
        <v>13</v>
      </c>
      <c r="C216" s="24">
        <v>13.813315873048399</v>
      </c>
      <c r="D216" s="15">
        <f>(B216-C216)/B216*100</f>
        <v>-6.2562759465261477</v>
      </c>
      <c r="E216" s="14" t="str">
        <f>IF(Tabla1[[#This Row],[% Error1]]&gt;$E$1,Tabla1[[#This Row],[No]],IF(Tabla1[[#This Row],[% Error1]]&lt;-$E$1,Tabla1[[#This Row],[No]],""))</f>
        <v/>
      </c>
      <c r="F216" s="14" t="str">
        <f>IF(Tabla1[[#This Row],[ID]]="","",VLOOKUP(Tabla1[[#This Row],[ID]],Tabla7[],2,FALSE))</f>
        <v/>
      </c>
      <c r="G216" s="14" t="str">
        <f>IF(Tabla1[[#This Row],[ID]]="","",VLOOKUP(Tabla1[[#This Row],[ID]],Tabla7[],36,FALSE))</f>
        <v/>
      </c>
      <c r="H216" s="14" t="str">
        <f>IF(Tabla1[[#This Row],[ID]]="","",VLOOKUP(Tabla1[[#This Row],[ID]],Tabla7[],4,FALSE))</f>
        <v/>
      </c>
      <c r="I216" s="16" t="str">
        <f>IF(Tabla1[[#This Row],[ID]]="","",VLOOKUP(Tabla1[[#This Row],[ID]],Tabla1[],4,FALSE))</f>
        <v/>
      </c>
      <c r="J216" s="16">
        <f>Tabla1[[#This Row],[CN Literatura]]-Tabla1[[#This Row],[CN Predicted]]</f>
        <v>-0.81331587304839914</v>
      </c>
    </row>
    <row r="217" spans="1:10" ht="15" customHeight="1" x14ac:dyDescent="0.25">
      <c r="A217" s="1">
        <f>Desgloce!A216</f>
        <v>105</v>
      </c>
      <c r="B217" s="14">
        <f>VLOOKUP(Tabla1[[#This Row],[No]],Tabla7[],7,FALSE)</f>
        <v>13</v>
      </c>
      <c r="C217" s="24">
        <v>12.5093206599736</v>
      </c>
      <c r="D217" s="15">
        <f>(B217-C217)/B217*100</f>
        <v>3.7744564617415386</v>
      </c>
      <c r="E217" s="14" t="str">
        <f>IF(Tabla1[[#This Row],[% Error1]]&gt;$E$1,Tabla1[[#This Row],[No]],IF(Tabla1[[#This Row],[% Error1]]&lt;-$E$1,Tabla1[[#This Row],[No]],""))</f>
        <v/>
      </c>
      <c r="F217" s="14" t="str">
        <f>IF(Tabla1[[#This Row],[ID]]="","",VLOOKUP(Tabla1[[#This Row],[ID]],Tabla7[],2,FALSE))</f>
        <v/>
      </c>
      <c r="G217" s="14" t="str">
        <f>IF(Tabla1[[#This Row],[ID]]="","",VLOOKUP(Tabla1[[#This Row],[ID]],Tabla7[],36,FALSE))</f>
        <v/>
      </c>
      <c r="H217" s="14" t="str">
        <f>IF(Tabla1[[#This Row],[ID]]="","",VLOOKUP(Tabla1[[#This Row],[ID]],Tabla7[],4,FALSE))</f>
        <v/>
      </c>
      <c r="I217" s="16" t="str">
        <f>IF(Tabla1[[#This Row],[ID]]="","",VLOOKUP(Tabla1[[#This Row],[ID]],Tabla1[],4,FALSE))</f>
        <v/>
      </c>
      <c r="J217" s="16">
        <f>Tabla1[[#This Row],[CN Literatura]]-Tabla1[[#This Row],[CN Predicted]]</f>
        <v>0.49067934002640001</v>
      </c>
    </row>
    <row r="218" spans="1:10" ht="15" customHeight="1" x14ac:dyDescent="0.25">
      <c r="A218" s="1">
        <f>Desgloce!A217</f>
        <v>106</v>
      </c>
      <c r="B218" s="14">
        <f>VLOOKUP(Tabla1[[#This Row],[No]],Tabla7[],7,FALSE)</f>
        <v>13</v>
      </c>
      <c r="C218" s="24">
        <v>16.083340757339801</v>
      </c>
      <c r="D218" s="15">
        <f>(B218-C218)/B218*100</f>
        <v>-23.718005825690781</v>
      </c>
      <c r="E218" s="14">
        <f>IF(Tabla1[[#This Row],[% Error1]]&gt;$E$1,Tabla1[[#This Row],[No]],IF(Tabla1[[#This Row],[% Error1]]&lt;-$E$1,Tabla1[[#This Row],[No]],""))</f>
        <v>106</v>
      </c>
      <c r="F218" s="14" t="str">
        <f>IF(Tabla1[[#This Row],[ID]]="","",VLOOKUP(Tabla1[[#This Row],[ID]],Tabla7[],2,FALSE))</f>
        <v>CCCCCCC(CC)(CC)c1ccc2ccccc2c1</v>
      </c>
      <c r="G218" s="14" t="str">
        <f>IF(Tabla1[[#This Row],[ID]]="","",VLOOKUP(Tabla1[[#This Row],[ID]],Tabla7[],36,FALSE))</f>
        <v>Training</v>
      </c>
      <c r="H218" s="14" t="str">
        <f>IF(Tabla1[[#This Row],[ID]]="","",VLOOKUP(Tabla1[[#This Row],[ID]],Tabla7[],4,FALSE))</f>
        <v>Aromatic</v>
      </c>
      <c r="I218" s="24">
        <f>IF(Tabla1[[#This Row],[ID]]="","",VLOOKUP(Tabla1[[#This Row],[ID]],Tabla1[],4,FALSE))</f>
        <v>-23.718005825690781</v>
      </c>
      <c r="J218" s="16">
        <f>Tabla1[[#This Row],[CN Literatura]]-Tabla1[[#This Row],[CN Predicted]]</f>
        <v>-3.0833407573398013</v>
      </c>
    </row>
    <row r="219" spans="1:10" ht="15" customHeight="1" x14ac:dyDescent="0.25">
      <c r="A219" s="1">
        <f>Desgloce!A218</f>
        <v>107</v>
      </c>
      <c r="B219" s="14">
        <f>VLOOKUP(Tabla1[[#This Row],[No]],Tabla7[],7,FALSE)</f>
        <v>13</v>
      </c>
      <c r="C219" s="24">
        <v>8.4232495941010495</v>
      </c>
      <c r="D219" s="15">
        <f>(B219-C219)/B219*100</f>
        <v>35.205772353068845</v>
      </c>
      <c r="E219" s="14">
        <f>IF(Tabla1[[#This Row],[% Error1]]&gt;$E$1,Tabla1[[#This Row],[No]],IF(Tabla1[[#This Row],[% Error1]]&lt;-$E$1,Tabla1[[#This Row],[No]],""))</f>
        <v>107</v>
      </c>
      <c r="F219" s="14" t="str">
        <f>IF(Tabla1[[#This Row],[ID]]="","",VLOOKUP(Tabla1[[#This Row],[ID]],Tabla7[],2,FALSE))</f>
        <v>CC(=O)OCC(COC(=O)C)OC(=O)C</v>
      </c>
      <c r="G219" s="14" t="str">
        <f>IF(Tabla1[[#This Row],[ID]]="","",VLOOKUP(Tabla1[[#This Row],[ID]],Tabla7[],36,FALSE))</f>
        <v>Training</v>
      </c>
      <c r="H219" s="14" t="str">
        <f>IF(Tabla1[[#This Row],[ID]]="","",VLOOKUP(Tabla1[[#This Row],[ID]],Tabla7[],4,FALSE))</f>
        <v>Ester</v>
      </c>
      <c r="I219" s="16">
        <f>IF(Tabla1[[#This Row],[ID]]="","",VLOOKUP(Tabla1[[#This Row],[ID]],Tabla1[],4,FALSE))</f>
        <v>35.205772353068845</v>
      </c>
      <c r="J219" s="16">
        <f>Tabla1[[#This Row],[CN Literatura]]-Tabla1[[#This Row],[CN Predicted]]</f>
        <v>4.5767504058989505</v>
      </c>
    </row>
    <row r="220" spans="1:10" ht="15" customHeight="1" x14ac:dyDescent="0.25">
      <c r="A220" s="1">
        <f>Desgloce!A219</f>
        <v>108</v>
      </c>
      <c r="B220" s="14">
        <f>VLOOKUP(Tabla1[[#This Row],[No]],Tabla7[],7,FALSE)</f>
        <v>13</v>
      </c>
      <c r="C220" s="24">
        <v>34.991246382817401</v>
      </c>
      <c r="D220" s="15">
        <f>(B220-C220)/B220*100</f>
        <v>-169.16343371398003</v>
      </c>
      <c r="E220" s="14">
        <f>IF(Tabla1[[#This Row],[% Error1]]&gt;$E$1,Tabla1[[#This Row],[No]],IF(Tabla1[[#This Row],[% Error1]]&lt;-$E$1,Tabla1[[#This Row],[No]],""))</f>
        <v>108</v>
      </c>
      <c r="F220" s="14" t="str">
        <f>IF(Tabla1[[#This Row],[ID]]="","",VLOOKUP(Tabla1[[#This Row],[ID]],Tabla7[],2,FALSE))</f>
        <v>C(CCC(=O)OCCCC)(=O)OCCCC</v>
      </c>
      <c r="G220" s="14" t="str">
        <f>IF(Tabla1[[#This Row],[ID]]="","",VLOOKUP(Tabla1[[#This Row],[ID]],Tabla7[],36,FALSE))</f>
        <v>Training</v>
      </c>
      <c r="H220" s="14" t="str">
        <f>IF(Tabla1[[#This Row],[ID]]="","",VLOOKUP(Tabla1[[#This Row],[ID]],Tabla7[],4,FALSE))</f>
        <v>Ester of Dicarboxylic Acids</v>
      </c>
      <c r="I220" s="16">
        <f>IF(Tabla1[[#This Row],[ID]]="","",VLOOKUP(Tabla1[[#This Row],[ID]],Tabla1[],4,FALSE))</f>
        <v>-169.16343371398003</v>
      </c>
      <c r="J220" s="16">
        <f>Tabla1[[#This Row],[CN Literatura]]-Tabla1[[#This Row],[CN Predicted]]</f>
        <v>-21.991246382817401</v>
      </c>
    </row>
    <row r="221" spans="1:10" ht="15" customHeight="1" x14ac:dyDescent="0.25">
      <c r="A221" s="1">
        <f>Desgloce!A220</f>
        <v>109</v>
      </c>
      <c r="B221" s="14">
        <f>VLOOKUP(Tabla1[[#This Row],[No]],Tabla7[],7,FALSE)</f>
        <v>13.1</v>
      </c>
      <c r="C221" s="24">
        <v>14.876174972825501</v>
      </c>
      <c r="D221" s="15">
        <f>(B221-C221)/B221*100</f>
        <v>-13.558587578820619</v>
      </c>
      <c r="E221" s="14">
        <f>IF(Tabla1[[#This Row],[% Error1]]&gt;$E$1,Tabla1[[#This Row],[No]],IF(Tabla1[[#This Row],[% Error1]]&lt;-$E$1,Tabla1[[#This Row],[No]],""))</f>
        <v>109</v>
      </c>
      <c r="F221" s="14" t="str">
        <f>IF(Tabla1[[#This Row],[ID]]="","",VLOOKUP(Tabla1[[#This Row],[ID]],Tabla7[],2,FALSE))</f>
        <v>CC(CCO)C</v>
      </c>
      <c r="G221" s="14" t="str">
        <f>IF(Tabla1[[#This Row],[ID]]="","",VLOOKUP(Tabla1[[#This Row],[ID]],Tabla7[],36,FALSE))</f>
        <v>Training</v>
      </c>
      <c r="H221" s="14" t="str">
        <f>IF(Tabla1[[#This Row],[ID]]="","",VLOOKUP(Tabla1[[#This Row],[ID]],Tabla7[],4,FALSE))</f>
        <v>Alcohol</v>
      </c>
      <c r="I221" s="16">
        <f>IF(Tabla1[[#This Row],[ID]]="","",VLOOKUP(Tabla1[[#This Row],[ID]],Tabla1[],4,FALSE))</f>
        <v>-13.558587578820619</v>
      </c>
      <c r="J221" s="16">
        <f>Tabla1[[#This Row],[CN Literatura]]-Tabla1[[#This Row],[CN Predicted]]</f>
        <v>-1.7761749728255012</v>
      </c>
    </row>
    <row r="222" spans="1:10" ht="15" customHeight="1" x14ac:dyDescent="0.25">
      <c r="A222" s="1">
        <f>Desgloce!A221</f>
        <v>110</v>
      </c>
      <c r="B222" s="14">
        <f>VLOOKUP(Tabla1[[#This Row],[No]],Tabla7[],7,FALSE)</f>
        <v>13.1</v>
      </c>
      <c r="C222" s="24">
        <v>11.9332297738021</v>
      </c>
      <c r="D222" s="15">
        <f>(B222-C222)/B222*100</f>
        <v>8.9066429480755662</v>
      </c>
      <c r="E222" s="14" t="str">
        <f>IF(Tabla1[[#This Row],[% Error1]]&gt;$E$1,Tabla1[[#This Row],[No]],IF(Tabla1[[#This Row],[% Error1]]&lt;-$E$1,Tabla1[[#This Row],[No]],""))</f>
        <v/>
      </c>
      <c r="F222" s="14" t="str">
        <f>IF(Tabla1[[#This Row],[ID]]="","",VLOOKUP(Tabla1[[#This Row],[ID]],Tabla7[],2,FALSE))</f>
        <v/>
      </c>
      <c r="G222" s="14" t="str">
        <f>IF(Tabla1[[#This Row],[ID]]="","",VLOOKUP(Tabla1[[#This Row],[ID]],Tabla7[],36,FALSE))</f>
        <v/>
      </c>
      <c r="H222" s="14" t="str">
        <f>IF(Tabla1[[#This Row],[ID]]="","",VLOOKUP(Tabla1[[#This Row],[ID]],Tabla7[],4,FALSE))</f>
        <v/>
      </c>
      <c r="I222" s="16" t="str">
        <f>IF(Tabla1[[#This Row],[ID]]="","",VLOOKUP(Tabla1[[#This Row],[ID]],Tabla1[],4,FALSE))</f>
        <v/>
      </c>
      <c r="J222" s="16">
        <f>Tabla1[[#This Row],[CN Literatura]]-Tabla1[[#This Row],[CN Predicted]]</f>
        <v>1.1667702261978992</v>
      </c>
    </row>
    <row r="223" spans="1:10" ht="15" customHeight="1" x14ac:dyDescent="0.25">
      <c r="A223" s="1">
        <f>Desgloce!A222</f>
        <v>114</v>
      </c>
      <c r="B223" s="14">
        <f>VLOOKUP(Tabla1[[#This Row],[No]],Tabla7[],7,FALSE)</f>
        <v>14</v>
      </c>
      <c r="C223" s="24">
        <v>13.455930992266101</v>
      </c>
      <c r="D223" s="15">
        <f>(B223-C223)/B223*100</f>
        <v>3.8862071980992798</v>
      </c>
      <c r="E223" s="14" t="str">
        <f>IF(Tabla1[[#This Row],[% Error1]]&gt;$E$1,Tabla1[[#This Row],[No]],IF(Tabla1[[#This Row],[% Error1]]&lt;-$E$1,Tabla1[[#This Row],[No]],""))</f>
        <v/>
      </c>
      <c r="F223" s="14" t="str">
        <f>IF(Tabla1[[#This Row],[ID]]="","",VLOOKUP(Tabla1[[#This Row],[ID]],Tabla7[],2,FALSE))</f>
        <v/>
      </c>
      <c r="G223" s="14" t="str">
        <f>IF(Tabla1[[#This Row],[ID]]="","",VLOOKUP(Tabla1[[#This Row],[ID]],Tabla7[],36,FALSE))</f>
        <v/>
      </c>
      <c r="H223" s="14" t="str">
        <f>IF(Tabla1[[#This Row],[ID]]="","",VLOOKUP(Tabla1[[#This Row],[ID]],Tabla7[],4,FALSE))</f>
        <v/>
      </c>
      <c r="I223" s="16" t="str">
        <f>IF(Tabla1[[#This Row],[ID]]="","",VLOOKUP(Tabla1[[#This Row],[ID]],Tabla1[],4,FALSE))</f>
        <v/>
      </c>
      <c r="J223" s="16">
        <f>Tabla1[[#This Row],[CN Literatura]]-Tabla1[[#This Row],[CN Predicted]]</f>
        <v>0.54406900773389921</v>
      </c>
    </row>
    <row r="224" spans="1:10" ht="15" customHeight="1" x14ac:dyDescent="0.25">
      <c r="A224" s="1">
        <f>Desgloce!A223</f>
        <v>115</v>
      </c>
      <c r="B224" s="14">
        <f>VLOOKUP(Tabla1[[#This Row],[No]],Tabla7[],7,FALSE)</f>
        <v>14</v>
      </c>
      <c r="C224" s="24">
        <v>18.745717294222899</v>
      </c>
      <c r="D224" s="15">
        <f>(B224-C224)/B224*100</f>
        <v>-33.897980673020712</v>
      </c>
      <c r="E224" s="14">
        <f>IF(Tabla1[[#This Row],[% Error1]]&gt;$E$1,Tabla1[[#This Row],[No]],IF(Tabla1[[#This Row],[% Error1]]&lt;-$E$1,Tabla1[[#This Row],[No]],""))</f>
        <v>115</v>
      </c>
      <c r="F224" s="14" t="str">
        <f>IF(Tabla1[[#This Row],[ID]]="","",VLOOKUP(Tabla1[[#This Row],[ID]],Tabla7[],2,FALSE))</f>
        <v>CC(C)(C(CC)C)C</v>
      </c>
      <c r="G224" s="14" t="str">
        <f>IF(Tabla1[[#This Row],[ID]]="","",VLOOKUP(Tabla1[[#This Row],[ID]],Tabla7[],36,FALSE))</f>
        <v>Training</v>
      </c>
      <c r="H224" s="14" t="str">
        <f>IF(Tabla1[[#This Row],[ID]]="","",VLOOKUP(Tabla1[[#This Row],[ID]],Tabla7[],4,FALSE))</f>
        <v>iso-alkane</v>
      </c>
      <c r="I224" s="16">
        <f>IF(Tabla1[[#This Row],[ID]]="","",VLOOKUP(Tabla1[[#This Row],[ID]],Tabla1[],4,FALSE))</f>
        <v>-33.897980673020712</v>
      </c>
      <c r="J224" s="16">
        <f>Tabla1[[#This Row],[CN Literatura]]-Tabla1[[#This Row],[CN Predicted]]</f>
        <v>-4.7457172942228993</v>
      </c>
    </row>
    <row r="225" spans="1:10" ht="15" customHeight="1" x14ac:dyDescent="0.25">
      <c r="A225" s="1">
        <f>Desgloce!A224</f>
        <v>116</v>
      </c>
      <c r="B225" s="14">
        <f>VLOOKUP(Tabla1[[#This Row],[No]],Tabla7[],7,FALSE)</f>
        <v>14</v>
      </c>
      <c r="C225" s="24">
        <v>11.173994840016601</v>
      </c>
      <c r="D225" s="15">
        <f>(B225-C225)/B225*100</f>
        <v>20.185751142738567</v>
      </c>
      <c r="E225" s="14">
        <f>IF(Tabla1[[#This Row],[% Error1]]&gt;$E$1,Tabla1[[#This Row],[No]],IF(Tabla1[[#This Row],[% Error1]]&lt;-$E$1,Tabla1[[#This Row],[No]],""))</f>
        <v>116</v>
      </c>
      <c r="F225" s="14" t="str">
        <f>IF(Tabla1[[#This Row],[ID]]="","",VLOOKUP(Tabla1[[#This Row],[ID]],Tabla7[],2,FALSE))</f>
        <v>CC(C)C(C(C)C)C</v>
      </c>
      <c r="G225" s="14" t="str">
        <f>IF(Tabla1[[#This Row],[ID]]="","",VLOOKUP(Tabla1[[#This Row],[ID]],Tabla7[],36,FALSE))</f>
        <v>Training</v>
      </c>
      <c r="H225" s="14" t="str">
        <f>IF(Tabla1[[#This Row],[ID]]="","",VLOOKUP(Tabla1[[#This Row],[ID]],Tabla7[],4,FALSE))</f>
        <v>iso-alkane</v>
      </c>
      <c r="I225" s="16">
        <f>IF(Tabla1[[#This Row],[ID]]="","",VLOOKUP(Tabla1[[#This Row],[ID]],Tabla1[],4,FALSE))</f>
        <v>20.185751142738567</v>
      </c>
      <c r="J225" s="16">
        <f>Tabla1[[#This Row],[CN Literatura]]-Tabla1[[#This Row],[CN Predicted]]</f>
        <v>2.8260051599833993</v>
      </c>
    </row>
    <row r="226" spans="1:10" ht="15" customHeight="1" x14ac:dyDescent="0.25">
      <c r="A226" s="1">
        <f>Desgloce!A225</f>
        <v>117</v>
      </c>
      <c r="B226" s="14">
        <f>VLOOKUP(Tabla1[[#This Row],[No]],Tabla7[],7,FALSE)</f>
        <v>14</v>
      </c>
      <c r="C226" s="24">
        <v>13.455930992266101</v>
      </c>
      <c r="D226" s="15">
        <f>(B226-C226)/B226*100</f>
        <v>3.8862071980992798</v>
      </c>
      <c r="E226" s="14" t="str">
        <f>IF(Tabla1[[#This Row],[% Error1]]&gt;$E$1,Tabla1[[#This Row],[No]],IF(Tabla1[[#This Row],[% Error1]]&lt;-$E$1,Tabla1[[#This Row],[No]],""))</f>
        <v/>
      </c>
      <c r="F226" s="14" t="str">
        <f>IF(Tabla1[[#This Row],[ID]]="","",VLOOKUP(Tabla1[[#This Row],[ID]],Tabla7[],2,FALSE))</f>
        <v/>
      </c>
      <c r="G226" s="14" t="str">
        <f>IF(Tabla1[[#This Row],[ID]]="","",VLOOKUP(Tabla1[[#This Row],[ID]],Tabla7[],36,FALSE))</f>
        <v/>
      </c>
      <c r="H226" s="14" t="str">
        <f>IF(Tabla1[[#This Row],[ID]]="","",VLOOKUP(Tabla1[[#This Row],[ID]],Tabla7[],4,FALSE))</f>
        <v/>
      </c>
      <c r="I226" s="16" t="str">
        <f>IF(Tabla1[[#This Row],[ID]]="","",VLOOKUP(Tabla1[[#This Row],[ID]],Tabla1[],4,FALSE))</f>
        <v/>
      </c>
      <c r="J226" s="16">
        <f>Tabla1[[#This Row],[CN Literatura]]-Tabla1[[#This Row],[CN Predicted]]</f>
        <v>0.54406900773389921</v>
      </c>
    </row>
    <row r="227" spans="1:10" ht="15" customHeight="1" x14ac:dyDescent="0.25">
      <c r="A227" s="1">
        <f>Desgloce!A226</f>
        <v>119</v>
      </c>
      <c r="B227" s="14">
        <f>VLOOKUP(Tabla1[[#This Row],[No]],Tabla7[],7,FALSE)</f>
        <v>14.4</v>
      </c>
      <c r="C227" s="24">
        <v>13.8863086620759</v>
      </c>
      <c r="D227" s="15">
        <f>(B227-C227)/B227*100</f>
        <v>3.5673009578062556</v>
      </c>
      <c r="E227" s="14" t="str">
        <f>IF(Tabla1[[#This Row],[% Error1]]&gt;$E$1,Tabla1[[#This Row],[No]],IF(Tabla1[[#This Row],[% Error1]]&lt;-$E$1,Tabla1[[#This Row],[No]],""))</f>
        <v/>
      </c>
      <c r="F227" s="14" t="str">
        <f>IF(Tabla1[[#This Row],[ID]]="","",VLOOKUP(Tabla1[[#This Row],[ID]],Tabla7[],2,FALSE))</f>
        <v/>
      </c>
      <c r="G227" s="14" t="str">
        <f>IF(Tabla1[[#This Row],[ID]]="","",VLOOKUP(Tabla1[[#This Row],[ID]],Tabla7[],36,FALSE))</f>
        <v/>
      </c>
      <c r="H227" s="14" t="str">
        <f>IF(Tabla1[[#This Row],[ID]]="","",VLOOKUP(Tabla1[[#This Row],[ID]],Tabla7[],4,FALSE))</f>
        <v/>
      </c>
      <c r="I227" s="16" t="str">
        <f>IF(Tabla1[[#This Row],[ID]]="","",VLOOKUP(Tabla1[[#This Row],[ID]],Tabla1[],4,FALSE))</f>
        <v/>
      </c>
      <c r="J227" s="16">
        <f>Tabla1[[#This Row],[CN Literatura]]-Tabla1[[#This Row],[CN Predicted]]</f>
        <v>0.51369133792410082</v>
      </c>
    </row>
    <row r="228" spans="1:10" ht="15" customHeight="1" x14ac:dyDescent="0.25">
      <c r="A228" s="1">
        <f>Desgloce!A227</f>
        <v>120</v>
      </c>
      <c r="B228" s="14">
        <f>VLOOKUP(Tabla1[[#This Row],[No]],Tabla7[],7,FALSE)</f>
        <v>15</v>
      </c>
      <c r="C228" s="24">
        <v>5.8648281430353402</v>
      </c>
      <c r="D228" s="15">
        <f>(B228-C228)/B228*100</f>
        <v>60.90114571309774</v>
      </c>
      <c r="E228" s="14">
        <f>IF(Tabla1[[#This Row],[% Error1]]&gt;$E$1,Tabla1[[#This Row],[No]],IF(Tabla1[[#This Row],[% Error1]]&lt;-$E$1,Tabla1[[#This Row],[No]],""))</f>
        <v>120</v>
      </c>
      <c r="F228" s="14" t="str">
        <f>IF(Tabla1[[#This Row],[ID]]="","",VLOOKUP(Tabla1[[#This Row],[ID]],Tabla7[],2,FALSE))</f>
        <v>CC(C)c1ccccc1</v>
      </c>
      <c r="G228" s="14" t="str">
        <f>IF(Tabla1[[#This Row],[ID]]="","",VLOOKUP(Tabla1[[#This Row],[ID]],Tabla7[],36,FALSE))</f>
        <v>Training</v>
      </c>
      <c r="H228" s="14" t="str">
        <f>IF(Tabla1[[#This Row],[ID]]="","",VLOOKUP(Tabla1[[#This Row],[ID]],Tabla7[],4,FALSE))</f>
        <v>Aromatic</v>
      </c>
      <c r="I228" s="24">
        <f>IF(Tabla1[[#This Row],[ID]]="","",VLOOKUP(Tabla1[[#This Row],[ID]],Tabla1[],4,FALSE))</f>
        <v>60.90114571309774</v>
      </c>
      <c r="J228" s="16">
        <f>Tabla1[[#This Row],[CN Literatura]]-Tabla1[[#This Row],[CN Predicted]]</f>
        <v>9.1351718569646607</v>
      </c>
    </row>
    <row r="229" spans="1:10" ht="15" customHeight="1" x14ac:dyDescent="0.25">
      <c r="A229" s="1">
        <f>Desgloce!A228</f>
        <v>121</v>
      </c>
      <c r="B229" s="14">
        <f>VLOOKUP(Tabla1[[#This Row],[No]],Tabla7[],7,FALSE)</f>
        <v>15</v>
      </c>
      <c r="C229" s="24">
        <v>11.1530318503911</v>
      </c>
      <c r="D229" s="15">
        <f>(B229-C229)/B229*100</f>
        <v>25.646454330725998</v>
      </c>
      <c r="E229" s="14">
        <f>IF(Tabla1[[#This Row],[% Error1]]&gt;$E$1,Tabla1[[#This Row],[No]],IF(Tabla1[[#This Row],[% Error1]]&lt;-$E$1,Tabla1[[#This Row],[No]],""))</f>
        <v>121</v>
      </c>
      <c r="F229" s="14" t="str">
        <f>IF(Tabla1[[#This Row],[ID]]="","",VLOOKUP(Tabla1[[#This Row],[ID]],Tabla7[],2,FALSE))</f>
        <v>C1CCCCC1</v>
      </c>
      <c r="G229" s="14" t="str">
        <f>IF(Tabla1[[#This Row],[ID]]="","",VLOOKUP(Tabla1[[#This Row],[ID]],Tabla7[],36,FALSE))</f>
        <v>Training</v>
      </c>
      <c r="H229" s="14" t="str">
        <f>IF(Tabla1[[#This Row],[ID]]="","",VLOOKUP(Tabla1[[#This Row],[ID]],Tabla7[],4,FALSE))</f>
        <v>cyclo-alkane</v>
      </c>
      <c r="I229" s="16">
        <f>IF(Tabla1[[#This Row],[ID]]="","",VLOOKUP(Tabla1[[#This Row],[ID]],Tabla1[],4,FALSE))</f>
        <v>25.646454330725998</v>
      </c>
      <c r="J229" s="16">
        <f>Tabla1[[#This Row],[CN Literatura]]-Tabla1[[#This Row],[CN Predicted]]</f>
        <v>3.8469681496088999</v>
      </c>
    </row>
    <row r="230" spans="1:10" ht="15" customHeight="1" x14ac:dyDescent="0.25">
      <c r="A230" s="1">
        <f>Desgloce!A229</f>
        <v>122</v>
      </c>
      <c r="B230" s="14">
        <f>VLOOKUP(Tabla1[[#This Row],[No]],Tabla7[],7,FALSE)</f>
        <v>15</v>
      </c>
      <c r="C230" s="24">
        <v>22.8393832708954</v>
      </c>
      <c r="D230" s="15">
        <f>(B230-C230)/B230*100</f>
        <v>-52.26255513930267</v>
      </c>
      <c r="E230" s="14">
        <f>IF(Tabla1[[#This Row],[% Error1]]&gt;$E$1,Tabla1[[#This Row],[No]],IF(Tabla1[[#This Row],[% Error1]]&lt;-$E$1,Tabla1[[#This Row],[No]],""))</f>
        <v>122</v>
      </c>
      <c r="F230" s="14" t="str">
        <f>IF(Tabla1[[#This Row],[ID]]="","",VLOOKUP(Tabla1[[#This Row],[ID]],Tabla7[],2,FALSE))</f>
        <v>C(CC(=O)OC)(=O)OC</v>
      </c>
      <c r="G230" s="14" t="str">
        <f>IF(Tabla1[[#This Row],[ID]]="","",VLOOKUP(Tabla1[[#This Row],[ID]],Tabla7[],36,FALSE))</f>
        <v>Training</v>
      </c>
      <c r="H230" s="14" t="str">
        <f>IF(Tabla1[[#This Row],[ID]]="","",VLOOKUP(Tabla1[[#This Row],[ID]],Tabla7[],4,FALSE))</f>
        <v>Ester of Dicarboxylic Acids</v>
      </c>
      <c r="I230" s="16">
        <f>IF(Tabla1[[#This Row],[ID]]="","",VLOOKUP(Tabla1[[#This Row],[ID]],Tabla1[],4,FALSE))</f>
        <v>-52.26255513930267</v>
      </c>
      <c r="J230" s="16">
        <f>Tabla1[[#This Row],[CN Literatura]]-Tabla1[[#This Row],[CN Predicted]]</f>
        <v>-7.8393832708954001</v>
      </c>
    </row>
    <row r="231" spans="1:10" ht="15" customHeight="1" x14ac:dyDescent="0.25">
      <c r="A231" s="1">
        <f>Desgloce!A230</f>
        <v>125</v>
      </c>
      <c r="B231" s="14">
        <f>VLOOKUP(Tabla1[[#This Row],[No]],Tabla7[],7,FALSE)</f>
        <v>15</v>
      </c>
      <c r="C231" s="24">
        <v>18.745717294222899</v>
      </c>
      <c r="D231" s="15">
        <f>(B231-C231)/B231*100</f>
        <v>-24.971448628152661</v>
      </c>
      <c r="E231" s="14">
        <f>IF(Tabla1[[#This Row],[% Error1]]&gt;$E$1,Tabla1[[#This Row],[No]],IF(Tabla1[[#This Row],[% Error1]]&lt;-$E$1,Tabla1[[#This Row],[No]],""))</f>
        <v>125</v>
      </c>
      <c r="F231" s="14" t="str">
        <f>IF(Tabla1[[#This Row],[ID]]="","",VLOOKUP(Tabla1[[#This Row],[ID]],Tabla7[],2,FALSE))</f>
        <v>CC(C)CC(C)(C)C</v>
      </c>
      <c r="G231" s="14" t="str">
        <f>IF(Tabla1[[#This Row],[ID]]="","",VLOOKUP(Tabla1[[#This Row],[ID]],Tabla7[],36,FALSE))</f>
        <v>Training</v>
      </c>
      <c r="H231" s="14" t="str">
        <f>IF(Tabla1[[#This Row],[ID]]="","",VLOOKUP(Tabla1[[#This Row],[ID]],Tabla7[],4,FALSE))</f>
        <v>iso-alkane</v>
      </c>
      <c r="I231" s="16">
        <f>IF(Tabla1[[#This Row],[ID]]="","",VLOOKUP(Tabla1[[#This Row],[ID]],Tabla1[],4,FALSE))</f>
        <v>-24.971448628152661</v>
      </c>
      <c r="J231" s="16">
        <f>Tabla1[[#This Row],[CN Literatura]]-Tabla1[[#This Row],[CN Predicted]]</f>
        <v>-3.7457172942228993</v>
      </c>
    </row>
    <row r="232" spans="1:10" ht="15" customHeight="1" x14ac:dyDescent="0.25">
      <c r="A232" s="1">
        <f>Desgloce!A231</f>
        <v>126</v>
      </c>
      <c r="B232" s="14">
        <f>VLOOKUP(Tabla1[[#This Row],[No]],Tabla7[],7,FALSE)</f>
        <v>15</v>
      </c>
      <c r="C232" s="24">
        <v>13.380648156302099</v>
      </c>
      <c r="D232" s="15">
        <f>(B232-C232)/B232*100</f>
        <v>10.795678957986006</v>
      </c>
      <c r="E232" s="14">
        <f>IF(Tabla1[[#This Row],[% Error1]]&gt;$E$1,Tabla1[[#This Row],[No]],IF(Tabla1[[#This Row],[% Error1]]&lt;-$E$1,Tabla1[[#This Row],[No]],""))</f>
        <v>126</v>
      </c>
      <c r="F232" s="14" t="str">
        <f>IF(Tabla1[[#This Row],[ID]]="","",VLOOKUP(Tabla1[[#This Row],[ID]],Tabla7[],2,FALSE))</f>
        <v>C[C@H](CC(C)(C)C)CC(C)(C)CC(C)(C)C</v>
      </c>
      <c r="G232" s="14" t="str">
        <f>IF(Tabla1[[#This Row],[ID]]="","",VLOOKUP(Tabla1[[#This Row],[ID]],Tabla7[],36,FALSE))</f>
        <v>Training</v>
      </c>
      <c r="H232" s="14" t="str">
        <f>IF(Tabla1[[#This Row],[ID]]="","",VLOOKUP(Tabla1[[#This Row],[ID]],Tabla7[],4,FALSE))</f>
        <v>n-Alkane</v>
      </c>
      <c r="I232" s="16">
        <f>IF(Tabla1[[#This Row],[ID]]="","",VLOOKUP(Tabla1[[#This Row],[ID]],Tabla1[],4,FALSE))</f>
        <v>10.795678957986006</v>
      </c>
      <c r="J232" s="16">
        <f>Tabla1[[#This Row],[CN Literatura]]-Tabla1[[#This Row],[CN Predicted]]</f>
        <v>1.6193518436979009</v>
      </c>
    </row>
    <row r="233" spans="1:10" ht="15" customHeight="1" x14ac:dyDescent="0.25">
      <c r="A233" s="1">
        <f>Desgloce!A232</f>
        <v>127</v>
      </c>
      <c r="B233" s="14">
        <f>VLOOKUP(Tabla1[[#This Row],[No]],Tabla7[],7,FALSE)</f>
        <v>15</v>
      </c>
      <c r="C233" s="24">
        <v>13.6832339874403</v>
      </c>
      <c r="D233" s="15">
        <f>(B233-C233)/B233*100</f>
        <v>8.7784400837313363</v>
      </c>
      <c r="E233" s="14" t="str">
        <f>IF(Tabla1[[#This Row],[% Error1]]&gt;$E$1,Tabla1[[#This Row],[No]],IF(Tabla1[[#This Row],[% Error1]]&lt;-$E$1,Tabla1[[#This Row],[No]],""))</f>
        <v/>
      </c>
      <c r="F233" s="14" t="str">
        <f>IF(Tabla1[[#This Row],[ID]]="","",VLOOKUP(Tabla1[[#This Row],[ID]],Tabla7[],2,FALSE))</f>
        <v/>
      </c>
      <c r="G233" s="14" t="str">
        <f>IF(Tabla1[[#This Row],[ID]]="","",VLOOKUP(Tabla1[[#This Row],[ID]],Tabla7[],36,FALSE))</f>
        <v/>
      </c>
      <c r="H233" s="14" t="str">
        <f>IF(Tabla1[[#This Row],[ID]]="","",VLOOKUP(Tabla1[[#This Row],[ID]],Tabla7[],4,FALSE))</f>
        <v/>
      </c>
      <c r="I233" s="16" t="str">
        <f>IF(Tabla1[[#This Row],[ID]]="","",VLOOKUP(Tabla1[[#This Row],[ID]],Tabla1[],4,FALSE))</f>
        <v/>
      </c>
      <c r="J233" s="16">
        <f>Tabla1[[#This Row],[CN Literatura]]-Tabla1[[#This Row],[CN Predicted]]</f>
        <v>1.3167660125597003</v>
      </c>
    </row>
    <row r="234" spans="1:10" ht="15" customHeight="1" x14ac:dyDescent="0.25">
      <c r="A234" s="1">
        <f>Desgloce!A233</f>
        <v>129</v>
      </c>
      <c r="B234" s="14">
        <f>VLOOKUP(Tabla1[[#This Row],[No]],Tabla7[],7,FALSE)</f>
        <v>15.5</v>
      </c>
      <c r="C234" s="24">
        <v>16.624480710920398</v>
      </c>
      <c r="D234" s="15">
        <f>(B234-C234)/B234*100</f>
        <v>-7.254714264002569</v>
      </c>
      <c r="E234" s="14" t="str">
        <f>IF(Tabla1[[#This Row],[% Error1]]&gt;$E$1,Tabla1[[#This Row],[No]],IF(Tabla1[[#This Row],[% Error1]]&lt;-$E$1,Tabla1[[#This Row],[No]],""))</f>
        <v/>
      </c>
      <c r="F234" s="14" t="str">
        <f>IF(Tabla1[[#This Row],[ID]]="","",VLOOKUP(Tabla1[[#This Row],[ID]],Tabla7[],2,FALSE))</f>
        <v/>
      </c>
      <c r="G234" s="14" t="str">
        <f>IF(Tabla1[[#This Row],[ID]]="","",VLOOKUP(Tabla1[[#This Row],[ID]],Tabla7[],36,FALSE))</f>
        <v/>
      </c>
      <c r="H234" s="14" t="str">
        <f>IF(Tabla1[[#This Row],[ID]]="","",VLOOKUP(Tabla1[[#This Row],[ID]],Tabla7[],4,FALSE))</f>
        <v/>
      </c>
      <c r="I234" s="16" t="str">
        <f>IF(Tabla1[[#This Row],[ID]]="","",VLOOKUP(Tabla1[[#This Row],[ID]],Tabla1[],4,FALSE))</f>
        <v/>
      </c>
      <c r="J234" s="16">
        <f>Tabla1[[#This Row],[CN Literatura]]-Tabla1[[#This Row],[CN Predicted]]</f>
        <v>-1.1244807109203983</v>
      </c>
    </row>
    <row r="235" spans="1:10" ht="15" customHeight="1" x14ac:dyDescent="0.25">
      <c r="A235" s="1">
        <f>Desgloce!A234</f>
        <v>130</v>
      </c>
      <c r="B235" s="14">
        <f>VLOOKUP(Tabla1[[#This Row],[No]],Tabla7[],7,FALSE)</f>
        <v>15.6</v>
      </c>
      <c r="C235" s="24">
        <v>18.451934367747601</v>
      </c>
      <c r="D235" s="15">
        <f>(B235-C235)/B235*100</f>
        <v>-18.281630562484626</v>
      </c>
      <c r="E235" s="14">
        <f>IF(Tabla1[[#This Row],[% Error1]]&gt;$E$1,Tabla1[[#This Row],[No]],IF(Tabla1[[#This Row],[% Error1]]&lt;-$E$1,Tabla1[[#This Row],[No]],""))</f>
        <v>130</v>
      </c>
      <c r="F235" s="14" t="str">
        <f>IF(Tabla1[[#This Row],[ID]]="","",VLOOKUP(Tabla1[[#This Row],[ID]],Tabla7[],2,FALSE))</f>
        <v>C1C=CCO1</v>
      </c>
      <c r="G235" s="14" t="str">
        <f>IF(Tabla1[[#This Row],[ID]]="","",VLOOKUP(Tabla1[[#This Row],[ID]],Tabla7[],36,FALSE))</f>
        <v>Training</v>
      </c>
      <c r="H235" s="14" t="str">
        <f>IF(Tabla1[[#This Row],[ID]]="","",VLOOKUP(Tabla1[[#This Row],[ID]],Tabla7[],4,FALSE))</f>
        <v>Polyfunctional</v>
      </c>
      <c r="I235" s="16">
        <f>IF(Tabla1[[#This Row],[ID]]="","",VLOOKUP(Tabla1[[#This Row],[ID]],Tabla1[],4,FALSE))</f>
        <v>-18.281630562484626</v>
      </c>
      <c r="J235" s="16">
        <f>Tabla1[[#This Row],[CN Literatura]]-Tabla1[[#This Row],[CN Predicted]]</f>
        <v>-2.8519343677476012</v>
      </c>
    </row>
    <row r="236" spans="1:10" ht="15" customHeight="1" x14ac:dyDescent="0.25">
      <c r="A236" s="1">
        <f>Desgloce!A235</f>
        <v>132</v>
      </c>
      <c r="B236" s="14">
        <f>VLOOKUP(Tabla1[[#This Row],[No]],Tabla7[],7,FALSE)</f>
        <v>15.8</v>
      </c>
      <c r="C236" s="24">
        <v>15.6878833547306</v>
      </c>
      <c r="D236" s="15">
        <f>(B236-C236)/B236*100</f>
        <v>0.70959902069241076</v>
      </c>
      <c r="E236" s="14" t="str">
        <f>IF(Tabla1[[#This Row],[% Error1]]&gt;$E$1,Tabla1[[#This Row],[No]],IF(Tabla1[[#This Row],[% Error1]]&lt;-$E$1,Tabla1[[#This Row],[No]],""))</f>
        <v/>
      </c>
      <c r="F236" s="14" t="str">
        <f>IF(Tabla1[[#This Row],[ID]]="","",VLOOKUP(Tabla1[[#This Row],[ID]],Tabla7[],2,FALSE))</f>
        <v/>
      </c>
      <c r="G236" s="14" t="str">
        <f>IF(Tabla1[[#This Row],[ID]]="","",VLOOKUP(Tabla1[[#This Row],[ID]],Tabla7[],36,FALSE))</f>
        <v/>
      </c>
      <c r="H236" s="14" t="str">
        <f>IF(Tabla1[[#This Row],[ID]]="","",VLOOKUP(Tabla1[[#This Row],[ID]],Tabla7[],4,FALSE))</f>
        <v/>
      </c>
      <c r="I236" s="16" t="str">
        <f>IF(Tabla1[[#This Row],[ID]]="","",VLOOKUP(Tabla1[[#This Row],[ID]],Tabla1[],4,FALSE))</f>
        <v/>
      </c>
      <c r="J236" s="16">
        <f>Tabla1[[#This Row],[CN Literatura]]-Tabla1[[#This Row],[CN Predicted]]</f>
        <v>0.11211664526940091</v>
      </c>
    </row>
    <row r="237" spans="1:10" ht="15" customHeight="1" x14ac:dyDescent="0.25">
      <c r="A237" s="1">
        <f>Desgloce!A236</f>
        <v>134</v>
      </c>
      <c r="B237" s="14">
        <f>VLOOKUP(Tabla1[[#This Row],[No]],Tabla7[],7,FALSE)</f>
        <v>16</v>
      </c>
      <c r="C237" s="24">
        <v>17.9331088339822</v>
      </c>
      <c r="D237" s="15">
        <f>(B237-C237)/B237*100</f>
        <v>-12.081930212388748</v>
      </c>
      <c r="E237" s="14">
        <f>IF(Tabla1[[#This Row],[% Error1]]&gt;$E$1,Tabla1[[#This Row],[No]],IF(Tabla1[[#This Row],[% Error1]]&lt;-$E$1,Tabla1[[#This Row],[No]],""))</f>
        <v>134</v>
      </c>
      <c r="F237" s="14" t="str">
        <f>IF(Tabla1[[#This Row],[ID]]="","",VLOOKUP(Tabla1[[#This Row],[ID]],Tabla7[],2,FALSE))</f>
        <v>CC1(CC(CC1)C)C</v>
      </c>
      <c r="G237" s="14" t="str">
        <f>IF(Tabla1[[#This Row],[ID]]="","",VLOOKUP(Tabla1[[#This Row],[ID]],Tabla7[],36,FALSE))</f>
        <v>Training</v>
      </c>
      <c r="H237" s="14" t="str">
        <f>IF(Tabla1[[#This Row],[ID]]="","",VLOOKUP(Tabla1[[#This Row],[ID]],Tabla7[],4,FALSE))</f>
        <v>cyclo-alkane</v>
      </c>
      <c r="I237" s="16">
        <f>IF(Tabla1[[#This Row],[ID]]="","",VLOOKUP(Tabla1[[#This Row],[ID]],Tabla1[],4,FALSE))</f>
        <v>-12.081930212388748</v>
      </c>
      <c r="J237" s="16">
        <f>Tabla1[[#This Row],[CN Literatura]]-Tabla1[[#This Row],[CN Predicted]]</f>
        <v>-1.9331088339821996</v>
      </c>
    </row>
    <row r="238" spans="1:10" ht="15" customHeight="1" x14ac:dyDescent="0.25">
      <c r="A238" s="1">
        <f>Desgloce!A237</f>
        <v>135</v>
      </c>
      <c r="B238" s="14">
        <f>VLOOKUP(Tabla1[[#This Row],[No]],Tabla7[],7,FALSE)</f>
        <v>16.3</v>
      </c>
      <c r="C238" s="24">
        <v>16.177490181501799</v>
      </c>
      <c r="D238" s="15">
        <f>(B238-C238)/B238*100</f>
        <v>0.75159397851657439</v>
      </c>
      <c r="E238" s="14" t="str">
        <f>IF(Tabla1[[#This Row],[% Error1]]&gt;$E$1,Tabla1[[#This Row],[No]],IF(Tabla1[[#This Row],[% Error1]]&lt;-$E$1,Tabla1[[#This Row],[No]],""))</f>
        <v/>
      </c>
      <c r="F238" s="14" t="str">
        <f>IF(Tabla1[[#This Row],[ID]]="","",VLOOKUP(Tabla1[[#This Row],[ID]],Tabla7[],2,FALSE))</f>
        <v/>
      </c>
      <c r="G238" s="14" t="str">
        <f>IF(Tabla1[[#This Row],[ID]]="","",VLOOKUP(Tabla1[[#This Row],[ID]],Tabla7[],36,FALSE))</f>
        <v/>
      </c>
      <c r="H238" s="14" t="str">
        <f>IF(Tabla1[[#This Row],[ID]]="","",VLOOKUP(Tabla1[[#This Row],[ID]],Tabla7[],4,FALSE))</f>
        <v/>
      </c>
      <c r="I238" s="16" t="str">
        <f>IF(Tabla1[[#This Row],[ID]]="","",VLOOKUP(Tabla1[[#This Row],[ID]],Tabla1[],4,FALSE))</f>
        <v/>
      </c>
      <c r="J238" s="16">
        <f>Tabla1[[#This Row],[CN Literatura]]-Tabla1[[#This Row],[CN Predicted]]</f>
        <v>0.12250981849820164</v>
      </c>
    </row>
    <row r="239" spans="1:10" ht="15" customHeight="1" x14ac:dyDescent="0.25">
      <c r="A239" s="1">
        <f>Desgloce!A238</f>
        <v>137</v>
      </c>
      <c r="B239" s="14">
        <f>VLOOKUP(Tabla1[[#This Row],[No]],Tabla7[],7,FALSE)</f>
        <v>16.5</v>
      </c>
      <c r="C239" s="24">
        <v>20.991595817035002</v>
      </c>
      <c r="D239" s="15">
        <f>(B239-C239)/B239*100</f>
        <v>-27.221792830515163</v>
      </c>
      <c r="E239" s="14">
        <f>IF(Tabla1[[#This Row],[% Error1]]&gt;$E$1,Tabla1[[#This Row],[No]],IF(Tabla1[[#This Row],[% Error1]]&lt;-$E$1,Tabla1[[#This Row],[No]],""))</f>
        <v>137</v>
      </c>
      <c r="F239" s="14" t="str">
        <f>IF(Tabla1[[#This Row],[ID]]="","",VLOOKUP(Tabla1[[#This Row],[ID]],Tabla7[],2,FALSE))</f>
        <v>CC(=CCC/C(=C/CO)/C)C</v>
      </c>
      <c r="G239" s="14" t="str">
        <f>IF(Tabla1[[#This Row],[ID]]="","",VLOOKUP(Tabla1[[#This Row],[ID]],Tabla7[],36,FALSE))</f>
        <v>Training</v>
      </c>
      <c r="H239" s="14" t="str">
        <f>IF(Tabla1[[#This Row],[ID]]="","",VLOOKUP(Tabla1[[#This Row],[ID]],Tabla7[],4,FALSE))</f>
        <v>Polyfunctional</v>
      </c>
      <c r="I239" s="16">
        <f>IF(Tabla1[[#This Row],[ID]]="","",VLOOKUP(Tabla1[[#This Row],[ID]],Tabla1[],4,FALSE))</f>
        <v>-27.221792830515163</v>
      </c>
      <c r="J239" s="16">
        <f>Tabla1[[#This Row],[CN Literatura]]-Tabla1[[#This Row],[CN Predicted]]</f>
        <v>-4.4915958170350017</v>
      </c>
    </row>
    <row r="240" spans="1:10" ht="15" customHeight="1" x14ac:dyDescent="0.25">
      <c r="A240" s="1">
        <f>Desgloce!A239</f>
        <v>138</v>
      </c>
      <c r="B240" s="14">
        <f>VLOOKUP(Tabla1[[#This Row],[No]],Tabla7[],7,FALSE)</f>
        <v>17</v>
      </c>
      <c r="C240" s="24">
        <v>13.7033062444842</v>
      </c>
      <c r="D240" s="15">
        <f>(B240-C240)/B240*100</f>
        <v>19.392316208916473</v>
      </c>
      <c r="E240" s="14">
        <f>IF(Tabla1[[#This Row],[% Error1]]&gt;$E$1,Tabla1[[#This Row],[No]],IF(Tabla1[[#This Row],[% Error1]]&lt;-$E$1,Tabla1[[#This Row],[No]],""))</f>
        <v>138</v>
      </c>
      <c r="F240" s="14" t="str">
        <f>IF(Tabla1[[#This Row],[ID]]="","",VLOOKUP(Tabla1[[#This Row],[ID]],Tabla7[],2,FALSE))</f>
        <v>CCCCO</v>
      </c>
      <c r="G240" s="14" t="str">
        <f>IF(Tabla1[[#This Row],[ID]]="","",VLOOKUP(Tabla1[[#This Row],[ID]],Tabla7[],36,FALSE))</f>
        <v>Training</v>
      </c>
      <c r="H240" s="14" t="str">
        <f>IF(Tabla1[[#This Row],[ID]]="","",VLOOKUP(Tabla1[[#This Row],[ID]],Tabla7[],4,FALSE))</f>
        <v>Alcohol</v>
      </c>
      <c r="I240" s="16">
        <f>IF(Tabla1[[#This Row],[ID]]="","",VLOOKUP(Tabla1[[#This Row],[ID]],Tabla1[],4,FALSE))</f>
        <v>19.392316208916473</v>
      </c>
      <c r="J240" s="16">
        <f>Tabla1[[#This Row],[CN Literatura]]-Tabla1[[#This Row],[CN Predicted]]</f>
        <v>3.2966937555158005</v>
      </c>
    </row>
    <row r="241" spans="1:10" ht="15" customHeight="1" x14ac:dyDescent="0.25">
      <c r="A241" s="1">
        <f>Desgloce!A240</f>
        <v>139</v>
      </c>
      <c r="B241" s="14">
        <f>VLOOKUP(Tabla1[[#This Row],[No]],Tabla7[],7,FALSE)</f>
        <v>17</v>
      </c>
      <c r="C241" s="24">
        <v>12.1849632481394</v>
      </c>
      <c r="D241" s="15">
        <f>(B241-C241)/B241*100</f>
        <v>28.32374559918</v>
      </c>
      <c r="E241" s="14">
        <f>IF(Tabla1[[#This Row],[% Error1]]&gt;$E$1,Tabla1[[#This Row],[No]],IF(Tabla1[[#This Row],[% Error1]]&lt;-$E$1,Tabla1[[#This Row],[No]],""))</f>
        <v>139</v>
      </c>
      <c r="F241" s="14" t="str">
        <f>IF(Tabla1[[#This Row],[ID]]="","",VLOOKUP(Tabla1[[#This Row],[ID]],Tabla7[],2,FALSE))</f>
        <v>Cc1ccc(C)c(C)c1C</v>
      </c>
      <c r="G241" s="14" t="str">
        <f>IF(Tabla1[[#This Row],[ID]]="","",VLOOKUP(Tabla1[[#This Row],[ID]],Tabla7[],36,FALSE))</f>
        <v>Training</v>
      </c>
      <c r="H241" s="14" t="str">
        <f>IF(Tabla1[[#This Row],[ID]]="","",VLOOKUP(Tabla1[[#This Row],[ID]],Tabla7[],4,FALSE))</f>
        <v>Aromatic</v>
      </c>
      <c r="I241" s="24">
        <f>IF(Tabla1[[#This Row],[ID]]="","",VLOOKUP(Tabla1[[#This Row],[ID]],Tabla1[],4,FALSE))</f>
        <v>28.32374559918</v>
      </c>
      <c r="J241" s="16">
        <f>Tabla1[[#This Row],[CN Literatura]]-Tabla1[[#This Row],[CN Predicted]]</f>
        <v>4.8150367518605997</v>
      </c>
    </row>
    <row r="242" spans="1:10" ht="15" customHeight="1" x14ac:dyDescent="0.25">
      <c r="A242" s="1">
        <f>Desgloce!A241</f>
        <v>141</v>
      </c>
      <c r="B242" s="14">
        <f>VLOOKUP(Tabla1[[#This Row],[No]],Tabla7[],7,FALSE)</f>
        <v>17</v>
      </c>
      <c r="C242" s="24">
        <v>14.3556593694829</v>
      </c>
      <c r="D242" s="15">
        <f>(B242-C242)/B242*100</f>
        <v>15.554944885394702</v>
      </c>
      <c r="E242" s="14">
        <f>IF(Tabla1[[#This Row],[% Error1]]&gt;$E$1,Tabla1[[#This Row],[No]],IF(Tabla1[[#This Row],[% Error1]]&lt;-$E$1,Tabla1[[#This Row],[No]],""))</f>
        <v>141</v>
      </c>
      <c r="F242" s="14" t="str">
        <f>IF(Tabla1[[#This Row],[ID]]="","",VLOOKUP(Tabla1[[#This Row],[ID]],Tabla7[],2,FALSE))</f>
        <v>CC1(C(C1)C)C</v>
      </c>
      <c r="G242" s="14" t="str">
        <f>IF(Tabla1[[#This Row],[ID]]="","",VLOOKUP(Tabla1[[#This Row],[ID]],Tabla7[],36,FALSE))</f>
        <v>Training</v>
      </c>
      <c r="H242" s="14" t="str">
        <f>IF(Tabla1[[#This Row],[ID]]="","",VLOOKUP(Tabla1[[#This Row],[ID]],Tabla7[],4,FALSE))</f>
        <v>cyclo-alkane</v>
      </c>
      <c r="I242" s="16">
        <f>IF(Tabla1[[#This Row],[ID]]="","",VLOOKUP(Tabla1[[#This Row],[ID]],Tabla1[],4,FALSE))</f>
        <v>15.554944885394702</v>
      </c>
      <c r="J242" s="16">
        <f>Tabla1[[#This Row],[CN Literatura]]-Tabla1[[#This Row],[CN Predicted]]</f>
        <v>2.6443406305170996</v>
      </c>
    </row>
    <row r="243" spans="1:10" ht="15" customHeight="1" x14ac:dyDescent="0.25">
      <c r="A243" s="1">
        <f>Desgloce!A242</f>
        <v>143</v>
      </c>
      <c r="B243" s="14">
        <f>VLOOKUP(Tabla1[[#This Row],[No]],Tabla7[],7,FALSE)</f>
        <v>17</v>
      </c>
      <c r="C243" s="24">
        <v>31.631398738161199</v>
      </c>
      <c r="D243" s="15">
        <f>(B243-C243)/B243*100</f>
        <v>-86.06705140094823</v>
      </c>
      <c r="E243" s="14">
        <f>IF(Tabla1[[#This Row],[% Error1]]&gt;$E$1,Tabla1[[#This Row],[No]],IF(Tabla1[[#This Row],[% Error1]]&lt;-$E$1,Tabla1[[#This Row],[No]],""))</f>
        <v>143</v>
      </c>
      <c r="F243" s="14" t="str">
        <f>IF(Tabla1[[#This Row],[ID]]="","",VLOOKUP(Tabla1[[#This Row],[ID]],Tabla7[],2,FALSE))</f>
        <v>C(C)C(CC)(CC)CC</v>
      </c>
      <c r="G243" s="14" t="str">
        <f>IF(Tabla1[[#This Row],[ID]]="","",VLOOKUP(Tabla1[[#This Row],[ID]],Tabla7[],36,FALSE))</f>
        <v>Training</v>
      </c>
      <c r="H243" s="14" t="str">
        <f>IF(Tabla1[[#This Row],[ID]]="","",VLOOKUP(Tabla1[[#This Row],[ID]],Tabla7[],4,FALSE))</f>
        <v>iso-alkane</v>
      </c>
      <c r="I243" s="16">
        <f>IF(Tabla1[[#This Row],[ID]]="","",VLOOKUP(Tabla1[[#This Row],[ID]],Tabla1[],4,FALSE))</f>
        <v>-86.06705140094823</v>
      </c>
      <c r="J243" s="16">
        <f>Tabla1[[#This Row],[CN Literatura]]-Tabla1[[#This Row],[CN Predicted]]</f>
        <v>-14.631398738161199</v>
      </c>
    </row>
    <row r="244" spans="1:10" ht="15" customHeight="1" x14ac:dyDescent="0.25">
      <c r="A244" s="1">
        <f>Desgloce!A243</f>
        <v>144</v>
      </c>
      <c r="B244" s="14">
        <f>VLOOKUP(Tabla1[[#This Row],[No]],Tabla7[],7,FALSE)</f>
        <v>17.2</v>
      </c>
      <c r="C244" s="24">
        <v>21.436115391512502</v>
      </c>
      <c r="D244" s="15">
        <f>(B244-C244)/B244*100</f>
        <v>-24.62857785763083</v>
      </c>
      <c r="E244" s="14">
        <f>IF(Tabla1[[#This Row],[% Error1]]&gt;$E$1,Tabla1[[#This Row],[No]],IF(Tabla1[[#This Row],[% Error1]]&lt;-$E$1,Tabla1[[#This Row],[No]],""))</f>
        <v>144</v>
      </c>
      <c r="F244" s="14" t="str">
        <f>IF(Tabla1[[#This Row],[ID]]="","",VLOOKUP(Tabla1[[#This Row],[ID]],Tabla7[],2,FALSE))</f>
        <v>CC1CCCC1</v>
      </c>
      <c r="G244" s="14" t="str">
        <f>IF(Tabla1[[#This Row],[ID]]="","",VLOOKUP(Tabla1[[#This Row],[ID]],Tabla7[],36,FALSE))</f>
        <v>Training</v>
      </c>
      <c r="H244" s="14" t="str">
        <f>IF(Tabla1[[#This Row],[ID]]="","",VLOOKUP(Tabla1[[#This Row],[ID]],Tabla7[],4,FALSE))</f>
        <v>cyclo-alkane</v>
      </c>
      <c r="I244" s="16">
        <f>IF(Tabla1[[#This Row],[ID]]="","",VLOOKUP(Tabla1[[#This Row],[ID]],Tabla1[],4,FALSE))</f>
        <v>-24.62857785763083</v>
      </c>
      <c r="J244" s="16">
        <f>Tabla1[[#This Row],[CN Literatura]]-Tabla1[[#This Row],[CN Predicted]]</f>
        <v>-4.2361153915125023</v>
      </c>
    </row>
    <row r="245" spans="1:10" ht="15" customHeight="1" x14ac:dyDescent="0.25">
      <c r="A245" s="1">
        <f>Desgloce!A244</f>
        <v>145</v>
      </c>
      <c r="B245" s="14">
        <f>VLOOKUP(Tabla1[[#This Row],[No]],Tabla7[],7,FALSE)</f>
        <v>17.8</v>
      </c>
      <c r="C245" s="24">
        <v>25.7707799917196</v>
      </c>
      <c r="D245" s="15">
        <f>(B245-C245)/B245*100</f>
        <v>-44.779662874829206</v>
      </c>
      <c r="E245" s="14">
        <f>IF(Tabla1[[#This Row],[% Error1]]&gt;$E$1,Tabla1[[#This Row],[No]],IF(Tabla1[[#This Row],[% Error1]]&lt;-$E$1,Tabla1[[#This Row],[No]],""))</f>
        <v>145</v>
      </c>
      <c r="F245" s="14" t="str">
        <f>IF(Tabla1[[#This Row],[ID]]="","",VLOOKUP(Tabla1[[#This Row],[ID]],Tabla7[],2,FALSE))</f>
        <v>CCCCOC(=O)CCC</v>
      </c>
      <c r="G245" s="14" t="str">
        <f>IF(Tabla1[[#This Row],[ID]]="","",VLOOKUP(Tabla1[[#This Row],[ID]],Tabla7[],36,FALSE))</f>
        <v>Training</v>
      </c>
      <c r="H245" s="14" t="str">
        <f>IF(Tabla1[[#This Row],[ID]]="","",VLOOKUP(Tabla1[[#This Row],[ID]],Tabla7[],4,FALSE))</f>
        <v>Ester</v>
      </c>
      <c r="I245" s="16">
        <f>IF(Tabla1[[#This Row],[ID]]="","",VLOOKUP(Tabla1[[#This Row],[ID]],Tabla1[],4,FALSE))</f>
        <v>-44.779662874829206</v>
      </c>
      <c r="J245" s="16">
        <f>Tabla1[[#This Row],[CN Literatura]]-Tabla1[[#This Row],[CN Predicted]]</f>
        <v>-7.9707799917195992</v>
      </c>
    </row>
    <row r="246" spans="1:10" ht="15" customHeight="1" x14ac:dyDescent="0.25">
      <c r="A246" s="1">
        <f>Desgloce!A245</f>
        <v>147</v>
      </c>
      <c r="B246" s="14">
        <f>VLOOKUP(Tabla1[[#This Row],[No]],Tabla7[],7,FALSE)</f>
        <v>18</v>
      </c>
      <c r="C246" s="24">
        <v>17.773628569863899</v>
      </c>
      <c r="D246" s="15">
        <f>(B246-C246)/B246*100</f>
        <v>1.2576190563116738</v>
      </c>
      <c r="E246" s="14" t="str">
        <f>IF(Tabla1[[#This Row],[% Error1]]&gt;$E$1,Tabla1[[#This Row],[No]],IF(Tabla1[[#This Row],[% Error1]]&lt;-$E$1,Tabla1[[#This Row],[No]],""))</f>
        <v/>
      </c>
      <c r="F246" s="14" t="str">
        <f>IF(Tabla1[[#This Row],[ID]]="","",VLOOKUP(Tabla1[[#This Row],[ID]],Tabla7[],2,FALSE))</f>
        <v/>
      </c>
      <c r="G246" s="14" t="str">
        <f>IF(Tabla1[[#This Row],[ID]]="","",VLOOKUP(Tabla1[[#This Row],[ID]],Tabla7[],36,FALSE))</f>
        <v/>
      </c>
      <c r="H246" s="14" t="str">
        <f>IF(Tabla1[[#This Row],[ID]]="","",VLOOKUP(Tabla1[[#This Row],[ID]],Tabla7[],4,FALSE))</f>
        <v/>
      </c>
      <c r="I246" s="16" t="str">
        <f>IF(Tabla1[[#This Row],[ID]]="","",VLOOKUP(Tabla1[[#This Row],[ID]],Tabla1[],4,FALSE))</f>
        <v/>
      </c>
      <c r="J246" s="16">
        <f>Tabla1[[#This Row],[CN Literatura]]-Tabla1[[#This Row],[CN Predicted]]</f>
        <v>0.22637143013610128</v>
      </c>
    </row>
    <row r="247" spans="1:10" ht="15" customHeight="1" x14ac:dyDescent="0.25">
      <c r="A247" s="1">
        <f>Desgloce!A246</f>
        <v>149</v>
      </c>
      <c r="B247" s="14">
        <f>VLOOKUP(Tabla1[[#This Row],[No]],Tabla7[],7,FALSE)</f>
        <v>18</v>
      </c>
      <c r="C247" s="24">
        <v>16.028941663044499</v>
      </c>
      <c r="D247" s="15">
        <f>(B247-C247)/B247*100</f>
        <v>10.950324094197228</v>
      </c>
      <c r="E247" s="14">
        <f>IF(Tabla1[[#This Row],[% Error1]]&gt;$E$1,Tabla1[[#This Row],[No]],IF(Tabla1[[#This Row],[% Error1]]&lt;-$E$1,Tabla1[[#This Row],[No]],""))</f>
        <v>149</v>
      </c>
      <c r="F247" s="14" t="str">
        <f>IF(Tabla1[[#This Row],[ID]]="","",VLOOKUP(Tabla1[[#This Row],[ID]],Tabla7[],2,FALSE))</f>
        <v>CC(C)CC(CCCCCCC)(C1=CC=CC=C1)CC(C)C</v>
      </c>
      <c r="G247" s="14" t="str">
        <f>IF(Tabla1[[#This Row],[ID]]="","",VLOOKUP(Tabla1[[#This Row],[ID]],Tabla7[],36,FALSE))</f>
        <v>Training</v>
      </c>
      <c r="H247" s="14" t="str">
        <f>IF(Tabla1[[#This Row],[ID]]="","",VLOOKUP(Tabla1[[#This Row],[ID]],Tabla7[],4,FALSE))</f>
        <v>Aromatic</v>
      </c>
      <c r="I247" s="24">
        <f>IF(Tabla1[[#This Row],[ID]]="","",VLOOKUP(Tabla1[[#This Row],[ID]],Tabla1[],4,FALSE))</f>
        <v>10.950324094197228</v>
      </c>
      <c r="J247" s="16">
        <f>Tabla1[[#This Row],[CN Literatura]]-Tabla1[[#This Row],[CN Predicted]]</f>
        <v>1.971058336955501</v>
      </c>
    </row>
    <row r="248" spans="1:10" ht="15" customHeight="1" x14ac:dyDescent="0.25">
      <c r="A248" s="1">
        <f>Desgloce!A247</f>
        <v>150</v>
      </c>
      <c r="B248" s="14">
        <f>VLOOKUP(Tabla1[[#This Row],[No]],Tabla7[],7,FALSE)</f>
        <v>18</v>
      </c>
      <c r="C248" s="24">
        <v>19.436412314439401</v>
      </c>
      <c r="D248" s="15">
        <f>(B248-C248)/B248*100</f>
        <v>-7.98006841355223</v>
      </c>
      <c r="E248" s="14" t="str">
        <f>IF(Tabla1[[#This Row],[% Error1]]&gt;$E$1,Tabla1[[#This Row],[No]],IF(Tabla1[[#This Row],[% Error1]]&lt;-$E$1,Tabla1[[#This Row],[No]],""))</f>
        <v/>
      </c>
      <c r="F248" s="14" t="str">
        <f>IF(Tabla1[[#This Row],[ID]]="","",VLOOKUP(Tabla1[[#This Row],[ID]],Tabla7[],2,FALSE))</f>
        <v/>
      </c>
      <c r="G248" s="14" t="str">
        <f>IF(Tabla1[[#This Row],[ID]]="","",VLOOKUP(Tabla1[[#This Row],[ID]],Tabla7[],36,FALSE))</f>
        <v/>
      </c>
      <c r="H248" s="14" t="str">
        <f>IF(Tabla1[[#This Row],[ID]]="","",VLOOKUP(Tabla1[[#This Row],[ID]],Tabla7[],4,FALSE))</f>
        <v/>
      </c>
      <c r="I248" s="16" t="str">
        <f>IF(Tabla1[[#This Row],[ID]]="","",VLOOKUP(Tabla1[[#This Row],[ID]],Tabla1[],4,FALSE))</f>
        <v/>
      </c>
      <c r="J248" s="16">
        <f>Tabla1[[#This Row],[CN Literatura]]-Tabla1[[#This Row],[CN Predicted]]</f>
        <v>-1.4364123144394014</v>
      </c>
    </row>
    <row r="249" spans="1:10" ht="15" customHeight="1" x14ac:dyDescent="0.25">
      <c r="A249" s="1">
        <f>Desgloce!A248</f>
        <v>151</v>
      </c>
      <c r="B249" s="14">
        <f>VLOOKUP(Tabla1[[#This Row],[No]],Tabla7[],7,FALSE)</f>
        <v>18</v>
      </c>
      <c r="C249" s="24">
        <v>19.7273740398333</v>
      </c>
      <c r="D249" s="15">
        <f>(B249-C249)/B249*100</f>
        <v>-9.5965224435183352</v>
      </c>
      <c r="E249" s="14" t="str">
        <f>IF(Tabla1[[#This Row],[% Error1]]&gt;$E$1,Tabla1[[#This Row],[No]],IF(Tabla1[[#This Row],[% Error1]]&lt;-$E$1,Tabla1[[#This Row],[No]],""))</f>
        <v/>
      </c>
      <c r="F249" s="14" t="str">
        <f>IF(Tabla1[[#This Row],[ID]]="","",VLOOKUP(Tabla1[[#This Row],[ID]],Tabla7[],2,FALSE))</f>
        <v/>
      </c>
      <c r="G249" s="14" t="str">
        <f>IF(Tabla1[[#This Row],[ID]]="","",VLOOKUP(Tabla1[[#This Row],[ID]],Tabla7[],36,FALSE))</f>
        <v/>
      </c>
      <c r="H249" s="14" t="str">
        <f>IF(Tabla1[[#This Row],[ID]]="","",VLOOKUP(Tabla1[[#This Row],[ID]],Tabla7[],4,FALSE))</f>
        <v/>
      </c>
      <c r="I249" s="16" t="str">
        <f>IF(Tabla1[[#This Row],[ID]]="","",VLOOKUP(Tabla1[[#This Row],[ID]],Tabla1[],4,FALSE))</f>
        <v/>
      </c>
      <c r="J249" s="16">
        <f>Tabla1[[#This Row],[CN Literatura]]-Tabla1[[#This Row],[CN Predicted]]</f>
        <v>-1.7273740398333004</v>
      </c>
    </row>
    <row r="250" spans="1:10" ht="15" customHeight="1" x14ac:dyDescent="0.25">
      <c r="A250" s="1">
        <f>Desgloce!A249</f>
        <v>155</v>
      </c>
      <c r="B250" s="14">
        <f>VLOOKUP(Tabla1[[#This Row],[No]],Tabla7[],7,FALSE)</f>
        <v>18</v>
      </c>
      <c r="C250" s="24">
        <v>19.591709453822201</v>
      </c>
      <c r="D250" s="15">
        <f>(B250-C250)/B250*100</f>
        <v>-8.8428302990122276</v>
      </c>
      <c r="E250" s="14" t="str">
        <f>IF(Tabla1[[#This Row],[% Error1]]&gt;$E$1,Tabla1[[#This Row],[No]],IF(Tabla1[[#This Row],[% Error1]]&lt;-$E$1,Tabla1[[#This Row],[No]],""))</f>
        <v/>
      </c>
      <c r="F250" s="14" t="str">
        <f>IF(Tabla1[[#This Row],[ID]]="","",VLOOKUP(Tabla1[[#This Row],[ID]],Tabla7[],2,FALSE))</f>
        <v/>
      </c>
      <c r="G250" s="14" t="str">
        <f>IF(Tabla1[[#This Row],[ID]]="","",VLOOKUP(Tabla1[[#This Row],[ID]],Tabla7[],36,FALSE))</f>
        <v/>
      </c>
      <c r="H250" s="14" t="str">
        <f>IF(Tabla1[[#This Row],[ID]]="","",VLOOKUP(Tabla1[[#This Row],[ID]],Tabla7[],4,FALSE))</f>
        <v/>
      </c>
      <c r="I250" s="16" t="str">
        <f>IF(Tabla1[[#This Row],[ID]]="","",VLOOKUP(Tabla1[[#This Row],[ID]],Tabla1[],4,FALSE))</f>
        <v/>
      </c>
      <c r="J250" s="16">
        <f>Tabla1[[#This Row],[CN Literatura]]-Tabla1[[#This Row],[CN Predicted]]</f>
        <v>-1.591709453822201</v>
      </c>
    </row>
    <row r="251" spans="1:10" ht="15" customHeight="1" x14ac:dyDescent="0.25">
      <c r="A251" s="1">
        <f>Desgloce!A250</f>
        <v>156</v>
      </c>
      <c r="B251" s="14">
        <f>VLOOKUP(Tabla1[[#This Row],[No]],Tabla7[],7,FALSE)</f>
        <v>18</v>
      </c>
      <c r="C251" s="24">
        <v>19.591709453822201</v>
      </c>
      <c r="D251" s="15">
        <f>(B251-C251)/B251*100</f>
        <v>-8.8428302990122276</v>
      </c>
      <c r="E251" s="14" t="str">
        <f>IF(Tabla1[[#This Row],[% Error1]]&gt;$E$1,Tabla1[[#This Row],[No]],IF(Tabla1[[#This Row],[% Error1]]&lt;-$E$1,Tabla1[[#This Row],[No]],""))</f>
        <v/>
      </c>
      <c r="F251" s="14" t="str">
        <f>IF(Tabla1[[#This Row],[ID]]="","",VLOOKUP(Tabla1[[#This Row],[ID]],Tabla7[],2,FALSE))</f>
        <v/>
      </c>
      <c r="G251" s="14" t="str">
        <f>IF(Tabla1[[#This Row],[ID]]="","",VLOOKUP(Tabla1[[#This Row],[ID]],Tabla7[],36,FALSE))</f>
        <v/>
      </c>
      <c r="H251" s="14" t="str">
        <f>IF(Tabla1[[#This Row],[ID]]="","",VLOOKUP(Tabla1[[#This Row],[ID]],Tabla7[],4,FALSE))</f>
        <v/>
      </c>
      <c r="I251" s="16" t="str">
        <f>IF(Tabla1[[#This Row],[ID]]="","",VLOOKUP(Tabla1[[#This Row],[ID]],Tabla1[],4,FALSE))</f>
        <v/>
      </c>
      <c r="J251" s="16">
        <f>Tabla1[[#This Row],[CN Literatura]]-Tabla1[[#This Row],[CN Predicted]]</f>
        <v>-1.591709453822201</v>
      </c>
    </row>
    <row r="252" spans="1:10" ht="15" customHeight="1" x14ac:dyDescent="0.25">
      <c r="A252" s="1">
        <f>Desgloce!A251</f>
        <v>158</v>
      </c>
      <c r="B252" s="14">
        <f>VLOOKUP(Tabla1[[#This Row],[No]],Tabla7[],7,FALSE)</f>
        <v>18</v>
      </c>
      <c r="C252" s="24">
        <v>17.433947253144598</v>
      </c>
      <c r="D252" s="15">
        <f>(B252-C252)/B252*100</f>
        <v>3.1447374825300085</v>
      </c>
      <c r="E252" s="14" t="str">
        <f>IF(Tabla1[[#This Row],[% Error1]]&gt;$E$1,Tabla1[[#This Row],[No]],IF(Tabla1[[#This Row],[% Error1]]&lt;-$E$1,Tabla1[[#This Row],[No]],""))</f>
        <v/>
      </c>
      <c r="F252" s="14" t="str">
        <f>IF(Tabla1[[#This Row],[ID]]="","",VLOOKUP(Tabla1[[#This Row],[ID]],Tabla7[],2,FALSE))</f>
        <v/>
      </c>
      <c r="G252" s="14" t="str">
        <f>IF(Tabla1[[#This Row],[ID]]="","",VLOOKUP(Tabla1[[#This Row],[ID]],Tabla7[],36,FALSE))</f>
        <v/>
      </c>
      <c r="H252" s="14" t="str">
        <f>IF(Tabla1[[#This Row],[ID]]="","",VLOOKUP(Tabla1[[#This Row],[ID]],Tabla7[],4,FALSE))</f>
        <v/>
      </c>
      <c r="I252" s="16" t="str">
        <f>IF(Tabla1[[#This Row],[ID]]="","",VLOOKUP(Tabla1[[#This Row],[ID]],Tabla1[],4,FALSE))</f>
        <v/>
      </c>
      <c r="J252" s="16">
        <f>Tabla1[[#This Row],[CN Literatura]]-Tabla1[[#This Row],[CN Predicted]]</f>
        <v>0.56605274685540152</v>
      </c>
    </row>
    <row r="253" spans="1:10" ht="15" customHeight="1" x14ac:dyDescent="0.25">
      <c r="A253" s="1">
        <f>Desgloce!A252</f>
        <v>159</v>
      </c>
      <c r="B253" s="14">
        <f>VLOOKUP(Tabla1[[#This Row],[No]],Tabla7[],7,FALSE)</f>
        <v>18</v>
      </c>
      <c r="C253" s="24">
        <v>21.194892455488599</v>
      </c>
      <c r="D253" s="15">
        <f>(B253-C253)/B253*100</f>
        <v>-17.749402530492215</v>
      </c>
      <c r="E253" s="14">
        <f>IF(Tabla1[[#This Row],[% Error1]]&gt;$E$1,Tabla1[[#This Row],[No]],IF(Tabla1[[#This Row],[% Error1]]&lt;-$E$1,Tabla1[[#This Row],[No]],""))</f>
        <v>159</v>
      </c>
      <c r="F253" s="14" t="str">
        <f>IF(Tabla1[[#This Row],[ID]]="","",VLOOKUP(Tabla1[[#This Row],[ID]],Tabla7[],2,FALSE))</f>
        <v>CCCCCC[C@@](C)(CC)C1CCCC2CCCCC12</v>
      </c>
      <c r="G253" s="14" t="str">
        <f>IF(Tabla1[[#This Row],[ID]]="","",VLOOKUP(Tabla1[[#This Row],[ID]],Tabla7[],36,FALSE))</f>
        <v>Training</v>
      </c>
      <c r="H253" s="14" t="str">
        <f>IF(Tabla1[[#This Row],[ID]]="","",VLOOKUP(Tabla1[[#This Row],[ID]],Tabla7[],4,FALSE))</f>
        <v>cyclo-alkane</v>
      </c>
      <c r="I253" s="16">
        <f>IF(Tabla1[[#This Row],[ID]]="","",VLOOKUP(Tabla1[[#This Row],[ID]],Tabla1[],4,FALSE))</f>
        <v>-17.749402530492215</v>
      </c>
      <c r="J253" s="16">
        <f>Tabla1[[#This Row],[CN Literatura]]-Tabla1[[#This Row],[CN Predicted]]</f>
        <v>-3.1948924554885991</v>
      </c>
    </row>
    <row r="254" spans="1:10" ht="15" customHeight="1" x14ac:dyDescent="0.25">
      <c r="A254" s="1">
        <f>Desgloce!A253</f>
        <v>160</v>
      </c>
      <c r="B254" s="14">
        <f>VLOOKUP(Tabla1[[#This Row],[No]],Tabla7[],7,FALSE)</f>
        <v>18</v>
      </c>
      <c r="C254" s="24">
        <v>21.194892455488599</v>
      </c>
      <c r="D254" s="15">
        <f>(B254-C254)/B254*100</f>
        <v>-17.749402530492215</v>
      </c>
      <c r="E254" s="14">
        <f>IF(Tabla1[[#This Row],[% Error1]]&gt;$E$1,Tabla1[[#This Row],[No]],IF(Tabla1[[#This Row],[% Error1]]&lt;-$E$1,Tabla1[[#This Row],[No]],""))</f>
        <v>160</v>
      </c>
      <c r="F254" s="14" t="str">
        <f>IF(Tabla1[[#This Row],[ID]]="","",VLOOKUP(Tabla1[[#This Row],[ID]],Tabla7[],2,FALSE))</f>
        <v>CCCCCC[C@](C)(CC)C1CCCC2CCCCC12</v>
      </c>
      <c r="G254" s="14" t="str">
        <f>IF(Tabla1[[#This Row],[ID]]="","",VLOOKUP(Tabla1[[#This Row],[ID]],Tabla7[],36,FALSE))</f>
        <v>Training</v>
      </c>
      <c r="H254" s="14" t="str">
        <f>IF(Tabla1[[#This Row],[ID]]="","",VLOOKUP(Tabla1[[#This Row],[ID]],Tabla7[],4,FALSE))</f>
        <v>Polyfunctional</v>
      </c>
      <c r="I254" s="16">
        <f>IF(Tabla1[[#This Row],[ID]]="","",VLOOKUP(Tabla1[[#This Row],[ID]],Tabla1[],4,FALSE))</f>
        <v>-17.749402530492215</v>
      </c>
      <c r="J254" s="16">
        <f>Tabla1[[#This Row],[CN Literatura]]-Tabla1[[#This Row],[CN Predicted]]</f>
        <v>-3.1948924554885991</v>
      </c>
    </row>
    <row r="255" spans="1:10" ht="15" customHeight="1" x14ac:dyDescent="0.25">
      <c r="A255" s="1">
        <f>Desgloce!A254</f>
        <v>161</v>
      </c>
      <c r="B255" s="14">
        <f>VLOOKUP(Tabla1[[#This Row],[No]],Tabla7[],7,FALSE)</f>
        <v>18.100000000000001</v>
      </c>
      <c r="C255" s="24">
        <v>17.8982601530487</v>
      </c>
      <c r="D255" s="15">
        <f>(B255-C255)/B255*100</f>
        <v>1.1145847897861982</v>
      </c>
      <c r="E255" s="14" t="str">
        <f>IF(Tabla1[[#This Row],[% Error1]]&gt;$E$1,Tabla1[[#This Row],[No]],IF(Tabla1[[#This Row],[% Error1]]&lt;-$E$1,Tabla1[[#This Row],[No]],""))</f>
        <v/>
      </c>
      <c r="F255" s="14" t="str">
        <f>IF(Tabla1[[#This Row],[ID]]="","",VLOOKUP(Tabla1[[#This Row],[ID]],Tabla7[],2,FALSE))</f>
        <v/>
      </c>
      <c r="G255" s="14" t="str">
        <f>IF(Tabla1[[#This Row],[ID]]="","",VLOOKUP(Tabla1[[#This Row],[ID]],Tabla7[],36,FALSE))</f>
        <v/>
      </c>
      <c r="H255" s="14" t="str">
        <f>IF(Tabla1[[#This Row],[ID]]="","",VLOOKUP(Tabla1[[#This Row],[ID]],Tabla7[],4,FALSE))</f>
        <v/>
      </c>
      <c r="I255" s="16" t="str">
        <f>IF(Tabla1[[#This Row],[ID]]="","",VLOOKUP(Tabla1[[#This Row],[ID]],Tabla1[],4,FALSE))</f>
        <v/>
      </c>
      <c r="J255" s="16">
        <f>Tabla1[[#This Row],[CN Literatura]]-Tabla1[[#This Row],[CN Predicted]]</f>
        <v>0.20173984695130187</v>
      </c>
    </row>
    <row r="256" spans="1:10" ht="15" customHeight="1" x14ac:dyDescent="0.25">
      <c r="A256" s="1">
        <f>Desgloce!A255</f>
        <v>162</v>
      </c>
      <c r="B256" s="14">
        <f>VLOOKUP(Tabla1[[#This Row],[No]],Tabla7[],7,FALSE)</f>
        <v>18.2</v>
      </c>
      <c r="C256" s="24">
        <v>18.7091692072371</v>
      </c>
      <c r="D256" s="15">
        <f>(B256-C256)/B256*100</f>
        <v>-2.797633006797255</v>
      </c>
      <c r="E256" s="14" t="str">
        <f>IF(Tabla1[[#This Row],[% Error1]]&gt;$E$1,Tabla1[[#This Row],[No]],IF(Tabla1[[#This Row],[% Error1]]&lt;-$E$1,Tabla1[[#This Row],[No]],""))</f>
        <v/>
      </c>
      <c r="F256" s="14" t="str">
        <f>IF(Tabla1[[#This Row],[ID]]="","",VLOOKUP(Tabla1[[#This Row],[ID]],Tabla7[],2,FALSE))</f>
        <v/>
      </c>
      <c r="G256" s="14" t="str">
        <f>IF(Tabla1[[#This Row],[ID]]="","",VLOOKUP(Tabla1[[#This Row],[ID]],Tabla7[],36,FALSE))</f>
        <v/>
      </c>
      <c r="H256" s="14" t="str">
        <f>IF(Tabla1[[#This Row],[ID]]="","",VLOOKUP(Tabla1[[#This Row],[ID]],Tabla7[],4,FALSE))</f>
        <v/>
      </c>
      <c r="I256" s="16" t="str">
        <f>IF(Tabla1[[#This Row],[ID]]="","",VLOOKUP(Tabla1[[#This Row],[ID]],Tabla1[],4,FALSE))</f>
        <v/>
      </c>
      <c r="J256" s="16">
        <f>Tabla1[[#This Row],[CN Literatura]]-Tabla1[[#This Row],[CN Predicted]]</f>
        <v>-0.50916920723710035</v>
      </c>
    </row>
    <row r="257" spans="1:10" ht="15" customHeight="1" x14ac:dyDescent="0.25">
      <c r="A257" s="1">
        <f>Desgloce!A256</f>
        <v>163</v>
      </c>
      <c r="B257" s="14">
        <f>VLOOKUP(Tabla1[[#This Row],[No]],Tabla7[],7,FALSE)</f>
        <v>18.2</v>
      </c>
      <c r="C257" s="24">
        <v>18.3085778389352</v>
      </c>
      <c r="D257" s="15">
        <f>(B257-C257)/B257*100</f>
        <v>-0.59658153261099334</v>
      </c>
      <c r="E257" s="14" t="str">
        <f>IF(Tabla1[[#This Row],[% Error1]]&gt;$E$1,Tabla1[[#This Row],[No]],IF(Tabla1[[#This Row],[% Error1]]&lt;-$E$1,Tabla1[[#This Row],[No]],""))</f>
        <v/>
      </c>
      <c r="F257" s="14" t="str">
        <f>IF(Tabla1[[#This Row],[ID]]="","",VLOOKUP(Tabla1[[#This Row],[ID]],Tabla7[],2,FALSE))</f>
        <v/>
      </c>
      <c r="G257" s="14" t="str">
        <f>IF(Tabla1[[#This Row],[ID]]="","",VLOOKUP(Tabla1[[#This Row],[ID]],Tabla7[],36,FALSE))</f>
        <v/>
      </c>
      <c r="H257" s="14" t="str">
        <f>IF(Tabla1[[#This Row],[ID]]="","",VLOOKUP(Tabla1[[#This Row],[ID]],Tabla7[],4,FALSE))</f>
        <v/>
      </c>
      <c r="I257" s="16" t="str">
        <f>IF(Tabla1[[#This Row],[ID]]="","",VLOOKUP(Tabla1[[#This Row],[ID]],Tabla1[],4,FALSE))</f>
        <v/>
      </c>
      <c r="J257" s="16">
        <f>Tabla1[[#This Row],[CN Literatura]]-Tabla1[[#This Row],[CN Predicted]]</f>
        <v>-0.10857783893520079</v>
      </c>
    </row>
    <row r="258" spans="1:10" ht="15" customHeight="1" x14ac:dyDescent="0.25">
      <c r="A258" s="1">
        <f>Desgloce!A257</f>
        <v>164</v>
      </c>
      <c r="B258" s="14">
        <f>VLOOKUP(Tabla1[[#This Row],[No]],Tabla7[],7,FALSE)</f>
        <v>18.399999999999999</v>
      </c>
      <c r="C258" s="24">
        <v>13.1539092581073</v>
      </c>
      <c r="D258" s="15">
        <f>(B258-C258)/B258*100</f>
        <v>28.511362727677714</v>
      </c>
      <c r="E258" s="14">
        <f>IF(Tabla1[[#This Row],[% Error1]]&gt;$E$1,Tabla1[[#This Row],[No]],IF(Tabla1[[#This Row],[% Error1]]&lt;-$E$1,Tabla1[[#This Row],[No]],""))</f>
        <v>164</v>
      </c>
      <c r="F258" s="14" t="str">
        <f>IF(Tabla1[[#This Row],[ID]]="","",VLOOKUP(Tabla1[[#This Row],[ID]],Tabla7[],2,FALSE))</f>
        <v>CC(C)CCO</v>
      </c>
      <c r="G258" s="14" t="str">
        <f>IF(Tabla1[[#This Row],[ID]]="","",VLOOKUP(Tabla1[[#This Row],[ID]],Tabla7[],36,FALSE))</f>
        <v>Training</v>
      </c>
      <c r="H258" s="14" t="str">
        <f>IF(Tabla1[[#This Row],[ID]]="","",VLOOKUP(Tabla1[[#This Row],[ID]],Tabla7[],4,FALSE))</f>
        <v>Alcohol</v>
      </c>
      <c r="I258" s="16">
        <f>IF(Tabla1[[#This Row],[ID]]="","",VLOOKUP(Tabla1[[#This Row],[ID]],Tabla1[],4,FALSE))</f>
        <v>28.511362727677714</v>
      </c>
      <c r="J258" s="16">
        <f>Tabla1[[#This Row],[CN Literatura]]-Tabla1[[#This Row],[CN Predicted]]</f>
        <v>5.246090741892699</v>
      </c>
    </row>
    <row r="259" spans="1:10" ht="15" customHeight="1" x14ac:dyDescent="0.25">
      <c r="A259" s="1">
        <f>Desgloce!A258</f>
        <v>165</v>
      </c>
      <c r="B259" s="14">
        <f>VLOOKUP(Tabla1[[#This Row],[No]],Tabla7[],7,FALSE)</f>
        <v>18.399999999999999</v>
      </c>
      <c r="C259" s="24">
        <v>17.826935420033099</v>
      </c>
      <c r="D259" s="15">
        <f>(B259-C259)/B259*100</f>
        <v>3.1144814128635865</v>
      </c>
      <c r="E259" s="14" t="str">
        <f>IF(Tabla1[[#This Row],[% Error1]]&gt;$E$1,Tabla1[[#This Row],[No]],IF(Tabla1[[#This Row],[% Error1]]&lt;-$E$1,Tabla1[[#This Row],[No]],""))</f>
        <v/>
      </c>
      <c r="F259" s="14" t="str">
        <f>IF(Tabla1[[#This Row],[ID]]="","",VLOOKUP(Tabla1[[#This Row],[ID]],Tabla7[],2,FALSE))</f>
        <v/>
      </c>
      <c r="G259" s="14" t="str">
        <f>IF(Tabla1[[#This Row],[ID]]="","",VLOOKUP(Tabla1[[#This Row],[ID]],Tabla7[],36,FALSE))</f>
        <v/>
      </c>
      <c r="H259" s="14" t="str">
        <f>IF(Tabla1[[#This Row],[ID]]="","",VLOOKUP(Tabla1[[#This Row],[ID]],Tabla7[],4,FALSE))</f>
        <v/>
      </c>
      <c r="I259" s="16" t="str">
        <f>IF(Tabla1[[#This Row],[ID]]="","",VLOOKUP(Tabla1[[#This Row],[ID]],Tabla1[],4,FALSE))</f>
        <v/>
      </c>
      <c r="J259" s="16">
        <f>Tabla1[[#This Row],[CN Literatura]]-Tabla1[[#This Row],[CN Predicted]]</f>
        <v>0.57306457996689986</v>
      </c>
    </row>
    <row r="260" spans="1:10" ht="15" customHeight="1" x14ac:dyDescent="0.25">
      <c r="A260" s="1">
        <f>Desgloce!A259</f>
        <v>166</v>
      </c>
      <c r="B260" s="14">
        <f>VLOOKUP(Tabla1[[#This Row],[No]],Tabla7[],7,FALSE)</f>
        <v>18.600000000000001</v>
      </c>
      <c r="C260" s="24">
        <v>19.931877003885202</v>
      </c>
      <c r="D260" s="15">
        <f>(B260-C260)/B260*100</f>
        <v>-7.160629053146236</v>
      </c>
      <c r="E260" s="14" t="str">
        <f>IF(Tabla1[[#This Row],[% Error1]]&gt;$E$1,Tabla1[[#This Row],[No]],IF(Tabla1[[#This Row],[% Error1]]&lt;-$E$1,Tabla1[[#This Row],[No]],""))</f>
        <v/>
      </c>
      <c r="F260" s="14" t="str">
        <f>IF(Tabla1[[#This Row],[ID]]="","",VLOOKUP(Tabla1[[#This Row],[ID]],Tabla7[],2,FALSE))</f>
        <v/>
      </c>
      <c r="G260" s="14" t="str">
        <f>IF(Tabla1[[#This Row],[ID]]="","",VLOOKUP(Tabla1[[#This Row],[ID]],Tabla7[],36,FALSE))</f>
        <v/>
      </c>
      <c r="H260" s="14" t="str">
        <f>IF(Tabla1[[#This Row],[ID]]="","",VLOOKUP(Tabla1[[#This Row],[ID]],Tabla7[],4,FALSE))</f>
        <v/>
      </c>
      <c r="I260" s="16" t="str">
        <f>IF(Tabla1[[#This Row],[ID]]="","",VLOOKUP(Tabla1[[#This Row],[ID]],Tabla1[],4,FALSE))</f>
        <v/>
      </c>
      <c r="J260" s="16">
        <f>Tabla1[[#This Row],[CN Literatura]]-Tabla1[[#This Row],[CN Predicted]]</f>
        <v>-1.3318770038852001</v>
      </c>
    </row>
    <row r="261" spans="1:10" x14ac:dyDescent="0.25">
      <c r="A261" s="1">
        <f>Desgloce!A260</f>
        <v>168</v>
      </c>
      <c r="B261" s="14">
        <f>VLOOKUP(Tabla1[[#This Row],[No]],Tabla7[],7,FALSE)</f>
        <v>18.899999999999999</v>
      </c>
      <c r="C261" s="24">
        <v>22.2141899353452</v>
      </c>
      <c r="D261" s="15">
        <f>(B261-C261)/B261*100</f>
        <v>-17.535396483307945</v>
      </c>
      <c r="E261" s="14">
        <f>IF(Tabla1[[#This Row],[% Error1]]&gt;$E$1,Tabla1[[#This Row],[No]],IF(Tabla1[[#This Row],[% Error1]]&lt;-$E$1,Tabla1[[#This Row],[No]],""))</f>
        <v>168</v>
      </c>
      <c r="F261" s="14" t="str">
        <f>IF(Tabla1[[#This Row],[ID]]="","",VLOOKUP(Tabla1[[#This Row],[ID]],Tabla7[],2,FALSE))</f>
        <v>CC1=CC[C@H](CC1)C(=C)C</v>
      </c>
      <c r="G261" s="14" t="str">
        <f>IF(Tabla1[[#This Row],[ID]]="","",VLOOKUP(Tabla1[[#This Row],[ID]],Tabla7[],36,FALSE))</f>
        <v>Training</v>
      </c>
      <c r="H261" s="14" t="str">
        <f>IF(Tabla1[[#This Row],[ID]]="","",VLOOKUP(Tabla1[[#This Row],[ID]],Tabla7[],4,FALSE))</f>
        <v>Alkene</v>
      </c>
      <c r="I261" s="16">
        <f>IF(Tabla1[[#This Row],[ID]]="","",VLOOKUP(Tabla1[[#This Row],[ID]],Tabla1[],4,FALSE))</f>
        <v>-17.535396483307945</v>
      </c>
      <c r="J261" s="16">
        <f>Tabla1[[#This Row],[CN Literatura]]-Tabla1[[#This Row],[CN Predicted]]</f>
        <v>-3.3141899353452011</v>
      </c>
    </row>
    <row r="262" spans="1:10" x14ac:dyDescent="0.25">
      <c r="A262" s="1">
        <f>Desgloce!A261</f>
        <v>169</v>
      </c>
      <c r="B262" s="14">
        <f>VLOOKUP(Tabla1[[#This Row],[No]],Tabla7[],7,FALSE)</f>
        <v>18.899999999999999</v>
      </c>
      <c r="C262" s="24">
        <v>22.2141899353452</v>
      </c>
      <c r="D262" s="15">
        <f>(B262-C262)/B262*100</f>
        <v>-17.535396483307945</v>
      </c>
      <c r="E262" s="14">
        <f>IF(Tabla1[[#This Row],[% Error1]]&gt;$E$1,Tabla1[[#This Row],[No]],IF(Tabla1[[#This Row],[% Error1]]&lt;-$E$1,Tabla1[[#This Row],[No]],""))</f>
        <v>169</v>
      </c>
      <c r="F262" s="14" t="str">
        <f>IF(Tabla1[[#This Row],[ID]]="","",VLOOKUP(Tabla1[[#This Row],[ID]],Tabla7[],2,FALSE))</f>
        <v>CC1=CCC(CC1)C(=C)C</v>
      </c>
      <c r="G262" s="14" t="str">
        <f>IF(Tabla1[[#This Row],[ID]]="","",VLOOKUP(Tabla1[[#This Row],[ID]],Tabla7[],36,FALSE))</f>
        <v>Training</v>
      </c>
      <c r="H262" s="14" t="str">
        <f>IF(Tabla1[[#This Row],[ID]]="","",VLOOKUP(Tabla1[[#This Row],[ID]],Tabla7[],4,FALSE))</f>
        <v>cyclo-alkane</v>
      </c>
      <c r="I262" s="16">
        <f>IF(Tabla1[[#This Row],[ID]]="","",VLOOKUP(Tabla1[[#This Row],[ID]],Tabla1[],4,FALSE))</f>
        <v>-17.535396483307945</v>
      </c>
      <c r="J262" s="16">
        <f>Tabla1[[#This Row],[CN Literatura]]-Tabla1[[#This Row],[CN Predicted]]</f>
        <v>-3.3141899353452011</v>
      </c>
    </row>
    <row r="263" spans="1:10" x14ac:dyDescent="0.25">
      <c r="A263" s="1">
        <f>Desgloce!A262</f>
        <v>170</v>
      </c>
      <c r="B263" s="14">
        <f>VLOOKUP(Tabla1[[#This Row],[No]],Tabla7[],7,FALSE)</f>
        <v>18.899999999999999</v>
      </c>
      <c r="C263" s="24">
        <v>27.404879236879299</v>
      </c>
      <c r="D263" s="15">
        <f>(B263-C263)/B263*100</f>
        <v>-44.999361041689426</v>
      </c>
      <c r="E263" s="14">
        <f>IF(Tabla1[[#This Row],[% Error1]]&gt;$E$1,Tabla1[[#This Row],[No]],IF(Tabla1[[#This Row],[% Error1]]&lt;-$E$1,Tabla1[[#This Row],[No]],""))</f>
        <v>170</v>
      </c>
      <c r="F263" s="14" t="str">
        <f>IF(Tabla1[[#This Row],[ID]]="","",VLOOKUP(Tabla1[[#This Row],[ID]],Tabla7[],2,FALSE))</f>
        <v>CC1=CCC2CC1C2(C)C</v>
      </c>
      <c r="G263" s="14" t="str">
        <f>IF(Tabla1[[#This Row],[ID]]="","",VLOOKUP(Tabla1[[#This Row],[ID]],Tabla7[],36,FALSE))</f>
        <v>Training</v>
      </c>
      <c r="H263" s="14" t="str">
        <f>IF(Tabla1[[#This Row],[ID]]="","",VLOOKUP(Tabla1[[#This Row],[ID]],Tabla7[],4,FALSE))</f>
        <v>cyclo-alkane</v>
      </c>
      <c r="I263" s="16">
        <f>IF(Tabla1[[#This Row],[ID]]="","",VLOOKUP(Tabla1[[#This Row],[ID]],Tabla1[],4,FALSE))</f>
        <v>-44.999361041689426</v>
      </c>
      <c r="J263" s="16">
        <f>Tabla1[[#This Row],[CN Literatura]]-Tabla1[[#This Row],[CN Predicted]]</f>
        <v>-8.5048792368793009</v>
      </c>
    </row>
    <row r="264" spans="1:10" x14ac:dyDescent="0.25">
      <c r="A264" s="1">
        <f>Desgloce!A263</f>
        <v>171</v>
      </c>
      <c r="B264" s="14">
        <f>VLOOKUP(Tabla1[[#This Row],[No]],Tabla7[],7,FALSE)</f>
        <v>19</v>
      </c>
      <c r="C264" s="24">
        <v>20.835788337823899</v>
      </c>
      <c r="D264" s="15">
        <f>(B264-C264)/B264*100</f>
        <v>-9.6620438832836815</v>
      </c>
      <c r="E264" s="14" t="str">
        <f>IF(Tabla1[[#This Row],[% Error1]]&gt;$E$1,Tabla1[[#This Row],[No]],IF(Tabla1[[#This Row],[% Error1]]&lt;-$E$1,Tabla1[[#This Row],[No]],""))</f>
        <v/>
      </c>
      <c r="F264" s="14" t="str">
        <f>IF(Tabla1[[#This Row],[ID]]="","",VLOOKUP(Tabla1[[#This Row],[ID]],Tabla7[],2,FALSE))</f>
        <v/>
      </c>
      <c r="G264" s="14" t="str">
        <f>IF(Tabla1[[#This Row],[ID]]="","",VLOOKUP(Tabla1[[#This Row],[ID]],Tabla7[],36,FALSE))</f>
        <v/>
      </c>
      <c r="H264" s="14" t="str">
        <f>IF(Tabla1[[#This Row],[ID]]="","",VLOOKUP(Tabla1[[#This Row],[ID]],Tabla7[],4,FALSE))</f>
        <v/>
      </c>
      <c r="I264" s="16" t="str">
        <f>IF(Tabla1[[#This Row],[ID]]="","",VLOOKUP(Tabla1[[#This Row],[ID]],Tabla1[],4,FALSE))</f>
        <v/>
      </c>
      <c r="J264" s="16">
        <f>Tabla1[[#This Row],[CN Literatura]]-Tabla1[[#This Row],[CN Predicted]]</f>
        <v>-1.8357883378238995</v>
      </c>
    </row>
    <row r="265" spans="1:10" x14ac:dyDescent="0.25">
      <c r="A265" s="1">
        <f>Desgloce!A264</f>
        <v>173</v>
      </c>
      <c r="B265" s="14">
        <f>VLOOKUP(Tabla1[[#This Row],[No]],Tabla7[],7,FALSE)</f>
        <v>19</v>
      </c>
      <c r="C265" s="24">
        <v>20.326573425375901</v>
      </c>
      <c r="D265" s="15">
        <f>(B265-C265)/B265*100</f>
        <v>-6.9819653967152702</v>
      </c>
      <c r="E265" s="14" t="str">
        <f>IF(Tabla1[[#This Row],[% Error1]]&gt;$E$1,Tabla1[[#This Row],[No]],IF(Tabla1[[#This Row],[% Error1]]&lt;-$E$1,Tabla1[[#This Row],[No]],""))</f>
        <v/>
      </c>
      <c r="F265" s="14" t="str">
        <f>IF(Tabla1[[#This Row],[ID]]="","",VLOOKUP(Tabla1[[#This Row],[ID]],Tabla7[],2,FALSE))</f>
        <v/>
      </c>
      <c r="G265" s="14" t="str">
        <f>IF(Tabla1[[#This Row],[ID]]="","",VLOOKUP(Tabla1[[#This Row],[ID]],Tabla7[],36,FALSE))</f>
        <v/>
      </c>
      <c r="H265" s="14" t="str">
        <f>IF(Tabla1[[#This Row],[ID]]="","",VLOOKUP(Tabla1[[#This Row],[ID]],Tabla7[],4,FALSE))</f>
        <v/>
      </c>
      <c r="I265" s="16" t="str">
        <f>IF(Tabla1[[#This Row],[ID]]="","",VLOOKUP(Tabla1[[#This Row],[ID]],Tabla1[],4,FALSE))</f>
        <v/>
      </c>
      <c r="J265" s="16">
        <f>Tabla1[[#This Row],[CN Literatura]]-Tabla1[[#This Row],[CN Predicted]]</f>
        <v>-1.3265734253759014</v>
      </c>
    </row>
    <row r="266" spans="1:10" x14ac:dyDescent="0.25">
      <c r="A266" s="1">
        <f>Desgloce!A265</f>
        <v>175</v>
      </c>
      <c r="B266" s="14">
        <f>VLOOKUP(Tabla1[[#This Row],[No]],Tabla7[],7,FALSE)</f>
        <v>19.100000000000001</v>
      </c>
      <c r="C266" s="24">
        <v>18.9936577519676</v>
      </c>
      <c r="D266" s="15">
        <f>(B266-C266)/B266*100</f>
        <v>0.55676569650471952</v>
      </c>
      <c r="E266" s="14" t="str">
        <f>IF(Tabla1[[#This Row],[% Error1]]&gt;$E$1,Tabla1[[#This Row],[No]],IF(Tabla1[[#This Row],[% Error1]]&lt;-$E$1,Tabla1[[#This Row],[No]],""))</f>
        <v/>
      </c>
      <c r="F266" s="14" t="str">
        <f>IF(Tabla1[[#This Row],[ID]]="","",VLOOKUP(Tabla1[[#This Row],[ID]],Tabla7[],2,FALSE))</f>
        <v/>
      </c>
      <c r="G266" s="14" t="str">
        <f>IF(Tabla1[[#This Row],[ID]]="","",VLOOKUP(Tabla1[[#This Row],[ID]],Tabla7[],36,FALSE))</f>
        <v/>
      </c>
      <c r="H266" s="14" t="str">
        <f>IF(Tabla1[[#This Row],[ID]]="","",VLOOKUP(Tabla1[[#This Row],[ID]],Tabla7[],4,FALSE))</f>
        <v/>
      </c>
      <c r="I266" s="16" t="str">
        <f>IF(Tabla1[[#This Row],[ID]]="","",VLOOKUP(Tabla1[[#This Row],[ID]],Tabla1[],4,FALSE))</f>
        <v/>
      </c>
      <c r="J266" s="16">
        <f>Tabla1[[#This Row],[CN Literatura]]-Tabla1[[#This Row],[CN Predicted]]</f>
        <v>0.10634224803240144</v>
      </c>
    </row>
    <row r="267" spans="1:10" x14ac:dyDescent="0.25">
      <c r="A267" s="1">
        <f>Desgloce!A266</f>
        <v>176</v>
      </c>
      <c r="B267" s="14">
        <f>VLOOKUP(Tabla1[[#This Row],[No]],Tabla7[],7,FALSE)</f>
        <v>19.100000000000001</v>
      </c>
      <c r="C267" s="24">
        <v>18.9936577519676</v>
      </c>
      <c r="D267" s="15">
        <f>(B267-C267)/B267*100</f>
        <v>0.55676569650471952</v>
      </c>
      <c r="E267" s="14" t="str">
        <f>IF(Tabla1[[#This Row],[% Error1]]&gt;$E$1,Tabla1[[#This Row],[No]],IF(Tabla1[[#This Row],[% Error1]]&lt;-$E$1,Tabla1[[#This Row],[No]],""))</f>
        <v/>
      </c>
      <c r="F267" s="14" t="str">
        <f>IF(Tabla1[[#This Row],[ID]]="","",VLOOKUP(Tabla1[[#This Row],[ID]],Tabla7[],2,FALSE))</f>
        <v/>
      </c>
      <c r="G267" s="14" t="str">
        <f>IF(Tabla1[[#This Row],[ID]]="","",VLOOKUP(Tabla1[[#This Row],[ID]],Tabla7[],36,FALSE))</f>
        <v/>
      </c>
      <c r="H267" s="14" t="str">
        <f>IF(Tabla1[[#This Row],[ID]]="","",VLOOKUP(Tabla1[[#This Row],[ID]],Tabla7[],4,FALSE))</f>
        <v/>
      </c>
      <c r="I267" s="16" t="str">
        <f>IF(Tabla1[[#This Row],[ID]]="","",VLOOKUP(Tabla1[[#This Row],[ID]],Tabla1[],4,FALSE))</f>
        <v/>
      </c>
      <c r="J267" s="16">
        <f>Tabla1[[#This Row],[CN Literatura]]-Tabla1[[#This Row],[CN Predicted]]</f>
        <v>0.10634224803240144</v>
      </c>
    </row>
    <row r="268" spans="1:10" x14ac:dyDescent="0.25">
      <c r="A268" s="1">
        <f>Desgloce!A267</f>
        <v>178</v>
      </c>
      <c r="B268" s="14">
        <f>VLOOKUP(Tabla1[[#This Row],[No]],Tabla7[],7,FALSE)</f>
        <v>19.3</v>
      </c>
      <c r="C268" s="24">
        <v>16.612525317413201</v>
      </c>
      <c r="D268" s="15">
        <f>(B268-C268)/B268*100</f>
        <v>13.924739288014504</v>
      </c>
      <c r="E268" s="14">
        <f>IF(Tabla1[[#This Row],[% Error1]]&gt;$E$1,Tabla1[[#This Row],[No]],IF(Tabla1[[#This Row],[% Error1]]&lt;-$E$1,Tabla1[[#This Row],[No]],""))</f>
        <v>178</v>
      </c>
      <c r="F268" s="14" t="str">
        <f>IF(Tabla1[[#This Row],[ID]]="","",VLOOKUP(Tabla1[[#This Row],[ID]],Tabla7[],2,FALSE))</f>
        <v>C=1(C(O)=CC=CC1)OC</v>
      </c>
      <c r="G268" s="14" t="str">
        <f>IF(Tabla1[[#This Row],[ID]]="","",VLOOKUP(Tabla1[[#This Row],[ID]],Tabla7[],36,FALSE))</f>
        <v>Training</v>
      </c>
      <c r="H268" s="14" t="str">
        <f>IF(Tabla1[[#This Row],[ID]]="","",VLOOKUP(Tabla1[[#This Row],[ID]],Tabla7[],4,FALSE))</f>
        <v>Cyclic Alcohol</v>
      </c>
      <c r="I268" s="16">
        <f>IF(Tabla1[[#This Row],[ID]]="","",VLOOKUP(Tabla1[[#This Row],[ID]],Tabla1[],4,FALSE))</f>
        <v>13.924739288014504</v>
      </c>
      <c r="J268" s="16">
        <f>Tabla1[[#This Row],[CN Literatura]]-Tabla1[[#This Row],[CN Predicted]]</f>
        <v>2.6874746825867994</v>
      </c>
    </row>
    <row r="269" spans="1:10" x14ac:dyDescent="0.25">
      <c r="A269" s="1">
        <f>Desgloce!A268</f>
        <v>179</v>
      </c>
      <c r="B269" s="14">
        <f>VLOOKUP(Tabla1[[#This Row],[No]],Tabla7[],7,FALSE)</f>
        <v>19.5</v>
      </c>
      <c r="C269" s="24">
        <v>19.606473278043701</v>
      </c>
      <c r="D269" s="15">
        <f>(B269-C269)/B269*100</f>
        <v>-0.54601681048051898</v>
      </c>
      <c r="E269" s="14" t="str">
        <f>IF(Tabla1[[#This Row],[% Error1]]&gt;$E$1,Tabla1[[#This Row],[No]],IF(Tabla1[[#This Row],[% Error1]]&lt;-$E$1,Tabla1[[#This Row],[No]],""))</f>
        <v/>
      </c>
      <c r="F269" s="14" t="str">
        <f>IF(Tabla1[[#This Row],[ID]]="","",VLOOKUP(Tabla1[[#This Row],[ID]],Tabla7[],2,FALSE))</f>
        <v/>
      </c>
      <c r="G269" s="14" t="str">
        <f>IF(Tabla1[[#This Row],[ID]]="","",VLOOKUP(Tabla1[[#This Row],[ID]],Tabla7[],36,FALSE))</f>
        <v/>
      </c>
      <c r="H269" s="14" t="str">
        <f>IF(Tabla1[[#This Row],[ID]]="","",VLOOKUP(Tabla1[[#This Row],[ID]],Tabla7[],4,FALSE))</f>
        <v/>
      </c>
      <c r="I269" s="16" t="str">
        <f>IF(Tabla1[[#This Row],[ID]]="","",VLOOKUP(Tabla1[[#This Row],[ID]],Tabla1[],4,FALSE))</f>
        <v/>
      </c>
      <c r="J269" s="16">
        <f>Tabla1[[#This Row],[CN Literatura]]-Tabla1[[#This Row],[CN Predicted]]</f>
        <v>-0.10647327804370121</v>
      </c>
    </row>
    <row r="270" spans="1:10" x14ac:dyDescent="0.25">
      <c r="A270" s="1">
        <f>Desgloce!A269</f>
        <v>180</v>
      </c>
      <c r="B270" s="14">
        <f>VLOOKUP(Tabla1[[#This Row],[No]],Tabla7[],7,FALSE)</f>
        <v>19.5</v>
      </c>
      <c r="C270" s="24">
        <v>21.622722993974801</v>
      </c>
      <c r="D270" s="15">
        <f>(B270-C270)/B270*100</f>
        <v>-10.885758943460516</v>
      </c>
      <c r="E270" s="14">
        <f>IF(Tabla1[[#This Row],[% Error1]]&gt;$E$1,Tabla1[[#This Row],[No]],IF(Tabla1[[#This Row],[% Error1]]&lt;-$E$1,Tabla1[[#This Row],[No]],""))</f>
        <v>180</v>
      </c>
      <c r="F270" s="14" t="str">
        <f>IF(Tabla1[[#This Row],[ID]]="","",VLOOKUP(Tabla1[[#This Row],[ID]],Tabla7[],2,FALSE))</f>
        <v>C(C)(=O)OC</v>
      </c>
      <c r="G270" s="14" t="str">
        <f>IF(Tabla1[[#This Row],[ID]]="","",VLOOKUP(Tabla1[[#This Row],[ID]],Tabla7[],36,FALSE))</f>
        <v>Training</v>
      </c>
      <c r="H270" s="14" t="str">
        <f>IF(Tabla1[[#This Row],[ID]]="","",VLOOKUP(Tabla1[[#This Row],[ID]],Tabla7[],4,FALSE))</f>
        <v>Ester: saturated</v>
      </c>
      <c r="I270" s="16">
        <f>IF(Tabla1[[#This Row],[ID]]="","",VLOOKUP(Tabla1[[#This Row],[ID]],Tabla1[],4,FALSE))</f>
        <v>-10.885758943460516</v>
      </c>
      <c r="J270" s="16">
        <f>Tabla1[[#This Row],[CN Literatura]]-Tabla1[[#This Row],[CN Predicted]]</f>
        <v>-2.1227229939748007</v>
      </c>
    </row>
    <row r="271" spans="1:10" x14ac:dyDescent="0.25">
      <c r="A271" s="1">
        <f>Desgloce!A270</f>
        <v>181</v>
      </c>
      <c r="B271" s="14">
        <f>VLOOKUP(Tabla1[[#This Row],[No]],Tabla7[],7,FALSE)</f>
        <v>19.5</v>
      </c>
      <c r="C271" s="24">
        <v>18.842121199793802</v>
      </c>
      <c r="D271" s="15">
        <f>(B271-C271)/B271*100</f>
        <v>3.3737374369548636</v>
      </c>
      <c r="E271" s="14" t="str">
        <f>IF(Tabla1[[#This Row],[% Error1]]&gt;$E$1,Tabla1[[#This Row],[No]],IF(Tabla1[[#This Row],[% Error1]]&lt;-$E$1,Tabla1[[#This Row],[No]],""))</f>
        <v/>
      </c>
      <c r="F271" s="14" t="str">
        <f>IF(Tabla1[[#This Row],[ID]]="","",VLOOKUP(Tabla1[[#This Row],[ID]],Tabla7[],2,FALSE))</f>
        <v/>
      </c>
      <c r="G271" s="14" t="str">
        <f>IF(Tabla1[[#This Row],[ID]]="","",VLOOKUP(Tabla1[[#This Row],[ID]],Tabla7[],36,FALSE))</f>
        <v/>
      </c>
      <c r="H271" s="14" t="str">
        <f>IF(Tabla1[[#This Row],[ID]]="","",VLOOKUP(Tabla1[[#This Row],[ID]],Tabla7[],4,FALSE))</f>
        <v/>
      </c>
      <c r="I271" s="16" t="str">
        <f>IF(Tabla1[[#This Row],[ID]]="","",VLOOKUP(Tabla1[[#This Row],[ID]],Tabla1[],4,FALSE))</f>
        <v/>
      </c>
      <c r="J271" s="16">
        <f>Tabla1[[#This Row],[CN Literatura]]-Tabla1[[#This Row],[CN Predicted]]</f>
        <v>0.65787880020619838</v>
      </c>
    </row>
    <row r="272" spans="1:10" x14ac:dyDescent="0.25">
      <c r="A272" s="1">
        <f>Desgloce!A271</f>
        <v>182</v>
      </c>
      <c r="B272" s="14">
        <f>VLOOKUP(Tabla1[[#This Row],[No]],Tabla7[],7,FALSE)</f>
        <v>19.600000000000001</v>
      </c>
      <c r="C272" s="24">
        <v>20.691947969511201</v>
      </c>
      <c r="D272" s="15">
        <f>(B272-C272)/B272*100</f>
        <v>-5.5711631097510175</v>
      </c>
      <c r="E272" s="14" t="str">
        <f>IF(Tabla1[[#This Row],[% Error1]]&gt;$E$1,Tabla1[[#This Row],[No]],IF(Tabla1[[#This Row],[% Error1]]&lt;-$E$1,Tabla1[[#This Row],[No]],""))</f>
        <v/>
      </c>
      <c r="F272" s="14" t="str">
        <f>IF(Tabla1[[#This Row],[ID]]="","",VLOOKUP(Tabla1[[#This Row],[ID]],Tabla7[],2,FALSE))</f>
        <v/>
      </c>
      <c r="G272" s="14" t="str">
        <f>IF(Tabla1[[#This Row],[ID]]="","",VLOOKUP(Tabla1[[#This Row],[ID]],Tabla7[],36,FALSE))</f>
        <v/>
      </c>
      <c r="H272" s="14" t="str">
        <f>IF(Tabla1[[#This Row],[ID]]="","",VLOOKUP(Tabla1[[#This Row],[ID]],Tabla7[],4,FALSE))</f>
        <v/>
      </c>
      <c r="I272" s="16" t="str">
        <f>IF(Tabla1[[#This Row],[ID]]="","",VLOOKUP(Tabla1[[#This Row],[ID]],Tabla1[],4,FALSE))</f>
        <v/>
      </c>
      <c r="J272" s="16">
        <f>Tabla1[[#This Row],[CN Literatura]]-Tabla1[[#This Row],[CN Predicted]]</f>
        <v>-1.0919479695111995</v>
      </c>
    </row>
    <row r="273" spans="1:10" x14ac:dyDescent="0.25">
      <c r="A273" s="1">
        <f>Desgloce!A272</f>
        <v>184</v>
      </c>
      <c r="B273" s="14">
        <f>VLOOKUP(Tabla1[[#This Row],[No]],Tabla7[],7,FALSE)</f>
        <v>19.899999999999999</v>
      </c>
      <c r="C273" s="24">
        <v>27.8217013449825</v>
      </c>
      <c r="D273" s="15">
        <f>(B273-C273)/B273*100</f>
        <v>-39.807544447148253</v>
      </c>
      <c r="E273" s="14">
        <f>IF(Tabla1[[#This Row],[% Error1]]&gt;$E$1,Tabla1[[#This Row],[No]],IF(Tabla1[[#This Row],[% Error1]]&lt;-$E$1,Tabla1[[#This Row],[No]],""))</f>
        <v>184</v>
      </c>
      <c r="F273" s="14" t="str">
        <f>IF(Tabla1[[#This Row],[ID]]="","",VLOOKUP(Tabla1[[#This Row],[ID]],Tabla7[],2,FALSE))</f>
        <v>CC(=CC=C(C)C)C</v>
      </c>
      <c r="G273" s="14" t="str">
        <f>IF(Tabla1[[#This Row],[ID]]="","",VLOOKUP(Tabla1[[#This Row],[ID]],Tabla7[],36,FALSE))</f>
        <v>Training</v>
      </c>
      <c r="H273" s="14" t="str">
        <f>IF(Tabla1[[#This Row],[ID]]="","",VLOOKUP(Tabla1[[#This Row],[ID]],Tabla7[],4,FALSE))</f>
        <v>Alkene</v>
      </c>
      <c r="I273" s="16">
        <f>IF(Tabla1[[#This Row],[ID]]="","",VLOOKUP(Tabla1[[#This Row],[ID]],Tabla1[],4,FALSE))</f>
        <v>-39.807544447148253</v>
      </c>
      <c r="J273" s="16">
        <f>Tabla1[[#This Row],[CN Literatura]]-Tabla1[[#This Row],[CN Predicted]]</f>
        <v>-7.9217013449825018</v>
      </c>
    </row>
    <row r="274" spans="1:10" x14ac:dyDescent="0.25">
      <c r="A274" s="1">
        <f>Desgloce!A273</f>
        <v>185</v>
      </c>
      <c r="B274" s="14">
        <f>VLOOKUP(Tabla1[[#This Row],[No]],Tabla7[],7,FALSE)</f>
        <v>20</v>
      </c>
      <c r="C274" s="24">
        <v>18.7091692072371</v>
      </c>
      <c r="D274" s="15">
        <f>(B274-C274)/B274*100</f>
        <v>6.4541539638145018</v>
      </c>
      <c r="E274" s="14" t="str">
        <f>IF(Tabla1[[#This Row],[% Error1]]&gt;$E$1,Tabla1[[#This Row],[No]],IF(Tabla1[[#This Row],[% Error1]]&lt;-$E$1,Tabla1[[#This Row],[No]],""))</f>
        <v/>
      </c>
      <c r="F274" s="14" t="str">
        <f>IF(Tabla1[[#This Row],[ID]]="","",VLOOKUP(Tabla1[[#This Row],[ID]],Tabla7[],2,FALSE))</f>
        <v/>
      </c>
      <c r="G274" s="14" t="str">
        <f>IF(Tabla1[[#This Row],[ID]]="","",VLOOKUP(Tabla1[[#This Row],[ID]],Tabla7[],36,FALSE))</f>
        <v/>
      </c>
      <c r="H274" s="14" t="str">
        <f>IF(Tabla1[[#This Row],[ID]]="","",VLOOKUP(Tabla1[[#This Row],[ID]],Tabla7[],4,FALSE))</f>
        <v/>
      </c>
      <c r="I274" s="16" t="str">
        <f>IF(Tabla1[[#This Row],[ID]]="","",VLOOKUP(Tabla1[[#This Row],[ID]],Tabla1[],4,FALSE))</f>
        <v/>
      </c>
      <c r="J274" s="16">
        <f>Tabla1[[#This Row],[CN Literatura]]-Tabla1[[#This Row],[CN Predicted]]</f>
        <v>1.2908307927629004</v>
      </c>
    </row>
    <row r="275" spans="1:10" x14ac:dyDescent="0.25">
      <c r="A275" s="1">
        <f>Desgloce!A274</f>
        <v>186</v>
      </c>
      <c r="B275" s="14">
        <f>VLOOKUP(Tabla1[[#This Row],[No]],Tabla7[],7,FALSE)</f>
        <v>20</v>
      </c>
      <c r="C275" s="24">
        <v>22.588455475609202</v>
      </c>
      <c r="D275" s="15">
        <f>(B275-C275)/B275*100</f>
        <v>-12.942277378046008</v>
      </c>
      <c r="E275" s="14">
        <f>IF(Tabla1[[#This Row],[% Error1]]&gt;$E$1,Tabla1[[#This Row],[No]],IF(Tabla1[[#This Row],[% Error1]]&lt;-$E$1,Tabla1[[#This Row],[No]],""))</f>
        <v>186</v>
      </c>
      <c r="F275" s="14" t="str">
        <f>IF(Tabla1[[#This Row],[ID]]="","",VLOOKUP(Tabla1[[#This Row],[ID]],Tabla7[],2,FALSE))</f>
        <v>C=CCCC</v>
      </c>
      <c r="G275" s="14" t="str">
        <f>IF(Tabla1[[#This Row],[ID]]="","",VLOOKUP(Tabla1[[#This Row],[ID]],Tabla7[],36,FALSE))</f>
        <v>Training</v>
      </c>
      <c r="H275" s="14" t="str">
        <f>IF(Tabla1[[#This Row],[ID]]="","",VLOOKUP(Tabla1[[#This Row],[ID]],Tabla7[],4,FALSE))</f>
        <v>Alkene</v>
      </c>
      <c r="I275" s="16">
        <f>IF(Tabla1[[#This Row],[ID]]="","",VLOOKUP(Tabla1[[#This Row],[ID]],Tabla1[],4,FALSE))</f>
        <v>-12.942277378046008</v>
      </c>
      <c r="J275" s="16">
        <f>Tabla1[[#This Row],[CN Literatura]]-Tabla1[[#This Row],[CN Predicted]]</f>
        <v>-2.5884554756092015</v>
      </c>
    </row>
    <row r="276" spans="1:10" x14ac:dyDescent="0.25">
      <c r="A276" s="1">
        <f>Desgloce!A275</f>
        <v>187</v>
      </c>
      <c r="B276" s="14">
        <f>VLOOKUP(Tabla1[[#This Row],[No]],Tabla7[],7,FALSE)</f>
        <v>20</v>
      </c>
      <c r="C276" s="24">
        <v>21.816841361739801</v>
      </c>
      <c r="D276" s="15">
        <f>(B276-C276)/B276*100</f>
        <v>-9.0842068086990047</v>
      </c>
      <c r="E276" s="14" t="str">
        <f>IF(Tabla1[[#This Row],[% Error1]]&gt;$E$1,Tabla1[[#This Row],[No]],IF(Tabla1[[#This Row],[% Error1]]&lt;-$E$1,Tabla1[[#This Row],[No]],""))</f>
        <v/>
      </c>
      <c r="F276" s="14" t="str">
        <f>IF(Tabla1[[#This Row],[ID]]="","",VLOOKUP(Tabla1[[#This Row],[ID]],Tabla7[],2,FALSE))</f>
        <v/>
      </c>
      <c r="G276" s="14" t="str">
        <f>IF(Tabla1[[#This Row],[ID]]="","",VLOOKUP(Tabla1[[#This Row],[ID]],Tabla7[],36,FALSE))</f>
        <v/>
      </c>
      <c r="H276" s="14" t="str">
        <f>IF(Tabla1[[#This Row],[ID]]="","",VLOOKUP(Tabla1[[#This Row],[ID]],Tabla7[],4,FALSE))</f>
        <v/>
      </c>
      <c r="I276" s="16" t="str">
        <f>IF(Tabla1[[#This Row],[ID]]="","",VLOOKUP(Tabla1[[#This Row],[ID]],Tabla1[],4,FALSE))</f>
        <v/>
      </c>
      <c r="J276" s="16">
        <f>Tabla1[[#This Row],[CN Literatura]]-Tabla1[[#This Row],[CN Predicted]]</f>
        <v>-1.8168413617398009</v>
      </c>
    </row>
    <row r="277" spans="1:10" x14ac:dyDescent="0.25">
      <c r="A277" s="1">
        <f>Desgloce!A276</f>
        <v>188</v>
      </c>
      <c r="B277" s="14">
        <f>VLOOKUP(Tabla1[[#This Row],[No]],Tabla7[],7,FALSE)</f>
        <v>20</v>
      </c>
      <c r="C277" s="24">
        <v>15.7685583860798</v>
      </c>
      <c r="D277" s="15">
        <f>(B277-C277)/B277*100</f>
        <v>21.157208069601001</v>
      </c>
      <c r="E277" s="14">
        <f>IF(Tabla1[[#This Row],[% Error1]]&gt;$E$1,Tabla1[[#This Row],[No]],IF(Tabla1[[#This Row],[% Error1]]&lt;-$E$1,Tabla1[[#This Row],[No]],""))</f>
        <v>188</v>
      </c>
      <c r="F277" s="14" t="str">
        <f>IF(Tabla1[[#This Row],[ID]]="","",VLOOKUP(Tabla1[[#This Row],[ID]],Tabla7[],2,FALSE))</f>
        <v>C1=CCCC1</v>
      </c>
      <c r="G277" s="14" t="str">
        <f>IF(Tabla1[[#This Row],[ID]]="","",VLOOKUP(Tabla1[[#This Row],[ID]],Tabla7[],36,FALSE))</f>
        <v>Training</v>
      </c>
      <c r="H277" s="14" t="str">
        <f>IF(Tabla1[[#This Row],[ID]]="","",VLOOKUP(Tabla1[[#This Row],[ID]],Tabla7[],4,FALSE))</f>
        <v>Alkene</v>
      </c>
      <c r="I277" s="16">
        <f>IF(Tabla1[[#This Row],[ID]]="","",VLOOKUP(Tabla1[[#This Row],[ID]],Tabla1[],4,FALSE))</f>
        <v>21.157208069601001</v>
      </c>
      <c r="J277" s="16">
        <f>Tabla1[[#This Row],[CN Literatura]]-Tabla1[[#This Row],[CN Predicted]]</f>
        <v>4.2314416139202002</v>
      </c>
    </row>
    <row r="278" spans="1:10" x14ac:dyDescent="0.25">
      <c r="A278" s="1">
        <f>Desgloce!A277</f>
        <v>189</v>
      </c>
      <c r="B278" s="14">
        <f>VLOOKUP(Tabla1[[#This Row],[No]],Tabla7[],7,FALSE)</f>
        <v>20</v>
      </c>
      <c r="C278" s="24">
        <v>22.189082444412598</v>
      </c>
      <c r="D278" s="15">
        <f>(B278-C278)/B278*100</f>
        <v>-10.945412222062991</v>
      </c>
      <c r="E278" s="14">
        <f>IF(Tabla1[[#This Row],[% Error1]]&gt;$E$1,Tabla1[[#This Row],[No]],IF(Tabla1[[#This Row],[% Error1]]&lt;-$E$1,Tabla1[[#This Row],[No]],""))</f>
        <v>189</v>
      </c>
      <c r="F278" s="14" t="str">
        <f>IF(Tabla1[[#This Row],[ID]]="","",VLOOKUP(Tabla1[[#This Row],[ID]],Tabla7[],2,FALSE))</f>
        <v>CCCCCCCCc1cccc(C)c1C</v>
      </c>
      <c r="G278" s="14" t="str">
        <f>IF(Tabla1[[#This Row],[ID]]="","",VLOOKUP(Tabla1[[#This Row],[ID]],Tabla7[],36,FALSE))</f>
        <v>Training</v>
      </c>
      <c r="H278" s="14" t="str">
        <f>IF(Tabla1[[#This Row],[ID]]="","",VLOOKUP(Tabla1[[#This Row],[ID]],Tabla7[],4,FALSE))</f>
        <v>Aromatic</v>
      </c>
      <c r="I278" s="24">
        <f>IF(Tabla1[[#This Row],[ID]]="","",VLOOKUP(Tabla1[[#This Row],[ID]],Tabla1[],4,FALSE))</f>
        <v>-10.945412222062991</v>
      </c>
      <c r="J278" s="16">
        <f>Tabla1[[#This Row],[CN Literatura]]-Tabla1[[#This Row],[CN Predicted]]</f>
        <v>-2.1890824444125982</v>
      </c>
    </row>
    <row r="279" spans="1:10" x14ac:dyDescent="0.25">
      <c r="A279" s="1">
        <f>Desgloce!A278</f>
        <v>191</v>
      </c>
      <c r="B279" s="14">
        <f>VLOOKUP(Tabla1[[#This Row],[No]],Tabla7[],7,FALSE)</f>
        <v>20</v>
      </c>
      <c r="C279" s="24">
        <v>34.322927256050598</v>
      </c>
      <c r="D279" s="15">
        <f>(B279-C279)/B279*100</f>
        <v>-71.614636280252981</v>
      </c>
      <c r="E279" s="14">
        <f>IF(Tabla1[[#This Row],[% Error1]]&gt;$E$1,Tabla1[[#This Row],[No]],IF(Tabla1[[#This Row],[% Error1]]&lt;-$E$1,Tabla1[[#This Row],[No]],""))</f>
        <v>191</v>
      </c>
      <c r="F279" s="14" t="str">
        <f>IF(Tabla1[[#This Row],[ID]]="","",VLOOKUP(Tabla1[[#This Row],[ID]],Tabla7[],2,FALSE))</f>
        <v>CCCC(CC)C(CC)CCC</v>
      </c>
      <c r="G279" s="14" t="str">
        <f>IF(Tabla1[[#This Row],[ID]]="","",VLOOKUP(Tabla1[[#This Row],[ID]],Tabla7[],36,FALSE))</f>
        <v>Training</v>
      </c>
      <c r="H279" s="14" t="str">
        <f>IF(Tabla1[[#This Row],[ID]]="","",VLOOKUP(Tabla1[[#This Row],[ID]],Tabla7[],4,FALSE))</f>
        <v>iso-alkane</v>
      </c>
      <c r="I279" s="16">
        <f>IF(Tabla1[[#This Row],[ID]]="","",VLOOKUP(Tabla1[[#This Row],[ID]],Tabla1[],4,FALSE))</f>
        <v>-71.614636280252981</v>
      </c>
      <c r="J279" s="16">
        <f>Tabla1[[#This Row],[CN Literatura]]-Tabla1[[#This Row],[CN Predicted]]</f>
        <v>-14.322927256050598</v>
      </c>
    </row>
    <row r="280" spans="1:10" x14ac:dyDescent="0.25">
      <c r="A280" s="1">
        <f>Desgloce!A279</f>
        <v>192</v>
      </c>
      <c r="B280" s="14">
        <f>VLOOKUP(Tabla1[[#This Row],[No]],Tabla7[],7,FALSE)</f>
        <v>20</v>
      </c>
      <c r="C280" s="24">
        <v>34.322927256050598</v>
      </c>
      <c r="D280" s="15">
        <f>(B280-C280)/B280*100</f>
        <v>-71.614636280252981</v>
      </c>
      <c r="E280" s="14">
        <f>IF(Tabla1[[#This Row],[% Error1]]&gt;$E$1,Tabla1[[#This Row],[No]],IF(Tabla1[[#This Row],[% Error1]]&lt;-$E$1,Tabla1[[#This Row],[No]],""))</f>
        <v>192</v>
      </c>
      <c r="F280" s="14" t="str">
        <f>IF(Tabla1[[#This Row],[ID]]="","",VLOOKUP(Tabla1[[#This Row],[ID]],Tabla7[],2,FALSE))</f>
        <v>CCC[C@@H](CC)[C@H](CC)CCC</v>
      </c>
      <c r="G280" s="14" t="str">
        <f>IF(Tabla1[[#This Row],[ID]]="","",VLOOKUP(Tabla1[[#This Row],[ID]],Tabla7[],36,FALSE))</f>
        <v>Training</v>
      </c>
      <c r="H280" s="14" t="str">
        <f>IF(Tabla1[[#This Row],[ID]]="","",VLOOKUP(Tabla1[[#This Row],[ID]],Tabla7[],4,FALSE))</f>
        <v>n-Alkane</v>
      </c>
      <c r="I280" s="16">
        <f>IF(Tabla1[[#This Row],[ID]]="","",VLOOKUP(Tabla1[[#This Row],[ID]],Tabla1[],4,FALSE))</f>
        <v>-71.614636280252981</v>
      </c>
      <c r="J280" s="16">
        <f>Tabla1[[#This Row],[CN Literatura]]-Tabla1[[#This Row],[CN Predicted]]</f>
        <v>-14.322927256050598</v>
      </c>
    </row>
    <row r="281" spans="1:10" x14ac:dyDescent="0.25">
      <c r="A281" s="1">
        <f>Desgloce!A280</f>
        <v>193</v>
      </c>
      <c r="B281" s="14">
        <f>VLOOKUP(Tabla1[[#This Row],[No]],Tabla7[],7,FALSE)</f>
        <v>20</v>
      </c>
      <c r="C281" s="24">
        <v>34.322927256050598</v>
      </c>
      <c r="D281" s="15">
        <f>(B281-C281)/B281*100</f>
        <v>-71.614636280252981</v>
      </c>
      <c r="E281" s="14">
        <f>IF(Tabla1[[#This Row],[% Error1]]&gt;$E$1,Tabla1[[#This Row],[No]],IF(Tabla1[[#This Row],[% Error1]]&lt;-$E$1,Tabla1[[#This Row],[No]],""))</f>
        <v>193</v>
      </c>
      <c r="F281" s="14" t="str">
        <f>IF(Tabla1[[#This Row],[ID]]="","",VLOOKUP(Tabla1[[#This Row],[ID]],Tabla7[],2,FALSE))</f>
        <v>CCC[C@@H](CC)[C@@H](CC)CCC</v>
      </c>
      <c r="G281" s="14" t="str">
        <f>IF(Tabla1[[#This Row],[ID]]="","",VLOOKUP(Tabla1[[#This Row],[ID]],Tabla7[],36,FALSE))</f>
        <v>Training</v>
      </c>
      <c r="H281" s="14" t="str">
        <f>IF(Tabla1[[#This Row],[ID]]="","",VLOOKUP(Tabla1[[#This Row],[ID]],Tabla7[],4,FALSE))</f>
        <v>n-Alkane</v>
      </c>
      <c r="I281" s="16">
        <f>IF(Tabla1[[#This Row],[ID]]="","",VLOOKUP(Tabla1[[#This Row],[ID]],Tabla1[],4,FALSE))</f>
        <v>-71.614636280252981</v>
      </c>
      <c r="J281" s="16">
        <f>Tabla1[[#This Row],[CN Literatura]]-Tabla1[[#This Row],[CN Predicted]]</f>
        <v>-14.322927256050598</v>
      </c>
    </row>
    <row r="282" spans="1:10" x14ac:dyDescent="0.25">
      <c r="A282" s="1">
        <f>Desgloce!A281</f>
        <v>194</v>
      </c>
      <c r="B282" s="14">
        <f>VLOOKUP(Tabla1[[#This Row],[No]],Tabla7[],7,FALSE)</f>
        <v>20</v>
      </c>
      <c r="C282" s="24">
        <v>34.322927256050598</v>
      </c>
      <c r="D282" s="15">
        <f>(B282-C282)/B282*100</f>
        <v>-71.614636280252981</v>
      </c>
      <c r="E282" s="14">
        <f>IF(Tabla1[[#This Row],[% Error1]]&gt;$E$1,Tabla1[[#This Row],[No]],IF(Tabla1[[#This Row],[% Error1]]&lt;-$E$1,Tabla1[[#This Row],[No]],""))</f>
        <v>194</v>
      </c>
      <c r="F282" s="14" t="str">
        <f>IF(Tabla1[[#This Row],[ID]]="","",VLOOKUP(Tabla1[[#This Row],[ID]],Tabla7[],2,FALSE))</f>
        <v>CCC[C@H](CC)[C@@H](CC)CCC</v>
      </c>
      <c r="G282" s="14" t="str">
        <f>IF(Tabla1[[#This Row],[ID]]="","",VLOOKUP(Tabla1[[#This Row],[ID]],Tabla7[],36,FALSE))</f>
        <v>Training</v>
      </c>
      <c r="H282" s="14" t="str">
        <f>IF(Tabla1[[#This Row],[ID]]="","",VLOOKUP(Tabla1[[#This Row],[ID]],Tabla7[],4,FALSE))</f>
        <v>n-Alkane</v>
      </c>
      <c r="I282" s="16">
        <f>IF(Tabla1[[#This Row],[ID]]="","",VLOOKUP(Tabla1[[#This Row],[ID]],Tabla1[],4,FALSE))</f>
        <v>-71.614636280252981</v>
      </c>
      <c r="J282" s="16">
        <f>Tabla1[[#This Row],[CN Literatura]]-Tabla1[[#This Row],[CN Predicted]]</f>
        <v>-14.322927256050598</v>
      </c>
    </row>
    <row r="283" spans="1:10" x14ac:dyDescent="0.25">
      <c r="A283" s="1">
        <f>Desgloce!A282</f>
        <v>198</v>
      </c>
      <c r="B283" s="14">
        <f>VLOOKUP(Tabla1[[#This Row],[No]],Tabla7[],7,FALSE)</f>
        <v>20.399999999999999</v>
      </c>
      <c r="C283" s="24">
        <v>27.270240083886101</v>
      </c>
      <c r="D283" s="15">
        <f>(B283-C283)/B283*100</f>
        <v>-33.677647470029918</v>
      </c>
      <c r="E283" s="14">
        <f>IF(Tabla1[[#This Row],[% Error1]]&gt;$E$1,Tabla1[[#This Row],[No]],IF(Tabla1[[#This Row],[% Error1]]&lt;-$E$1,Tabla1[[#This Row],[No]],""))</f>
        <v>198</v>
      </c>
      <c r="F283" s="14" t="str">
        <f>IF(Tabla1[[#This Row],[ID]]="","",VLOOKUP(Tabla1[[#This Row],[ID]],Tabla7[],2,FALSE))</f>
        <v>C1CC2C3CCC(C3)C2C1</v>
      </c>
      <c r="G283" s="14" t="str">
        <f>IF(Tabla1[[#This Row],[ID]]="","",VLOOKUP(Tabla1[[#This Row],[ID]],Tabla7[],36,FALSE))</f>
        <v>Training</v>
      </c>
      <c r="H283" s="14" t="str">
        <f>IF(Tabla1[[#This Row],[ID]]="","",VLOOKUP(Tabla1[[#This Row],[ID]],Tabla7[],4,FALSE))</f>
        <v>cyclo-alkane</v>
      </c>
      <c r="I283" s="16">
        <f>IF(Tabla1[[#This Row],[ID]]="","",VLOOKUP(Tabla1[[#This Row],[ID]],Tabla1[],4,FALSE))</f>
        <v>-33.677647470029918</v>
      </c>
      <c r="J283" s="16">
        <f>Tabla1[[#This Row],[CN Literatura]]-Tabla1[[#This Row],[CN Predicted]]</f>
        <v>-6.8702400838861024</v>
      </c>
    </row>
    <row r="284" spans="1:10" x14ac:dyDescent="0.25">
      <c r="A284" s="1">
        <f>Desgloce!A283</f>
        <v>200</v>
      </c>
      <c r="B284" s="14">
        <f>VLOOKUP(Tabla1[[#This Row],[No]],Tabla7[],7,FALSE)</f>
        <v>20.399999999999999</v>
      </c>
      <c r="C284" s="24">
        <v>18.353055193335202</v>
      </c>
      <c r="D284" s="15">
        <f>(B284-C284)/B284*100</f>
        <v>10.034043169925475</v>
      </c>
      <c r="E284" s="14">
        <f>IF(Tabla1[[#This Row],[% Error1]]&gt;$E$1,Tabla1[[#This Row],[No]],IF(Tabla1[[#This Row],[% Error1]]&lt;-$E$1,Tabla1[[#This Row],[No]],""))</f>
        <v>200</v>
      </c>
      <c r="F284" s="14" t="str">
        <f>IF(Tabla1[[#This Row],[ID]]="","",VLOOKUP(Tabla1[[#This Row],[ID]],Tabla7[],2,FALSE))</f>
        <v>CCC=CCC=CCC=CCCCCCCCC(=O)O</v>
      </c>
      <c r="G284" s="14" t="str">
        <f>IF(Tabla1[[#This Row],[ID]]="","",VLOOKUP(Tabla1[[#This Row],[ID]],Tabla7[],36,FALSE))</f>
        <v>Training</v>
      </c>
      <c r="H284" s="14" t="str">
        <f>IF(Tabla1[[#This Row],[ID]]="","",VLOOKUP(Tabla1[[#This Row],[ID]],Tabla7[],4,FALSE))</f>
        <v>Polyfunctional</v>
      </c>
      <c r="I284" s="16">
        <f>IF(Tabla1[[#This Row],[ID]]="","",VLOOKUP(Tabla1[[#This Row],[ID]],Tabla1[],4,FALSE))</f>
        <v>10.034043169925475</v>
      </c>
      <c r="J284" s="16">
        <f>Tabla1[[#This Row],[CN Literatura]]-Tabla1[[#This Row],[CN Predicted]]</f>
        <v>2.0469448066647971</v>
      </c>
    </row>
    <row r="285" spans="1:10" x14ac:dyDescent="0.25">
      <c r="A285" s="1">
        <f>Desgloce!A284</f>
        <v>201</v>
      </c>
      <c r="B285" s="14">
        <f>VLOOKUP(Tabla1[[#This Row],[No]],Tabla7[],7,FALSE)</f>
        <v>20.5</v>
      </c>
      <c r="C285" s="24">
        <v>18.230444865842099</v>
      </c>
      <c r="D285" s="15">
        <f>(B285-C285)/B285*100</f>
        <v>11.071000654428786</v>
      </c>
      <c r="E285" s="14">
        <f>IF(Tabla1[[#This Row],[% Error1]]&gt;$E$1,Tabla1[[#This Row],[No]],IF(Tabla1[[#This Row],[% Error1]]&lt;-$E$1,Tabla1[[#This Row],[No]],""))</f>
        <v>201</v>
      </c>
      <c r="F285" s="14" t="str">
        <f>IF(Tabla1[[#This Row],[ID]]="","",VLOOKUP(Tabla1[[#This Row],[ID]],Tabla7[],2,FALSE))</f>
        <v>CC1([C@H]2CCC(=C)[C@@H]1C2)C</v>
      </c>
      <c r="G285" s="14" t="str">
        <f>IF(Tabla1[[#This Row],[ID]]="","",VLOOKUP(Tabla1[[#This Row],[ID]],Tabla7[],36,FALSE))</f>
        <v>Training</v>
      </c>
      <c r="H285" s="14" t="str">
        <f>IF(Tabla1[[#This Row],[ID]]="","",VLOOKUP(Tabla1[[#This Row],[ID]],Tabla7[],4,FALSE))</f>
        <v>Alkene</v>
      </c>
      <c r="I285" s="16">
        <f>IF(Tabla1[[#This Row],[ID]]="","",VLOOKUP(Tabla1[[#This Row],[ID]],Tabla1[],4,FALSE))</f>
        <v>11.071000654428786</v>
      </c>
      <c r="J285" s="16">
        <f>Tabla1[[#This Row],[CN Literatura]]-Tabla1[[#This Row],[CN Predicted]]</f>
        <v>2.2695551341579012</v>
      </c>
    </row>
    <row r="286" spans="1:10" x14ac:dyDescent="0.25">
      <c r="A286" s="1">
        <f>Desgloce!A285</f>
        <v>202</v>
      </c>
      <c r="B286" s="14">
        <f>VLOOKUP(Tabla1[[#This Row],[No]],Tabla7[],7,FALSE)</f>
        <v>20.6</v>
      </c>
      <c r="C286" s="24">
        <v>25.303536504147299</v>
      </c>
      <c r="D286" s="15">
        <f>(B286-C286)/B286*100</f>
        <v>-22.832701476443194</v>
      </c>
      <c r="E286" s="14">
        <f>IF(Tabla1[[#This Row],[% Error1]]&gt;$E$1,Tabla1[[#This Row],[No]],IF(Tabla1[[#This Row],[% Error1]]&lt;-$E$1,Tabla1[[#This Row],[No]],""))</f>
        <v>202</v>
      </c>
      <c r="F286" s="14" t="str">
        <f>IF(Tabla1[[#This Row],[ID]]="","",VLOOKUP(Tabla1[[#This Row],[ID]],Tabla7[],2,FALSE))</f>
        <v>CC1(C2CCC1(C(=O)C2)C)C</v>
      </c>
      <c r="G286" s="14" t="str">
        <f>IF(Tabla1[[#This Row],[ID]]="","",VLOOKUP(Tabla1[[#This Row],[ID]],Tabla7[],36,FALSE))</f>
        <v>Training</v>
      </c>
      <c r="H286" s="14" t="str">
        <f>IF(Tabla1[[#This Row],[ID]]="","",VLOOKUP(Tabla1[[#This Row],[ID]],Tabla7[],4,FALSE))</f>
        <v>Cyclic Ketone</v>
      </c>
      <c r="I286" s="16">
        <f>IF(Tabla1[[#This Row],[ID]]="","",VLOOKUP(Tabla1[[#This Row],[ID]],Tabla1[],4,FALSE))</f>
        <v>-22.832701476443194</v>
      </c>
      <c r="J286" s="16">
        <f>Tabla1[[#This Row],[CN Literatura]]-Tabla1[[#This Row],[CN Predicted]]</f>
        <v>-4.7035365041472978</v>
      </c>
    </row>
    <row r="287" spans="1:10" x14ac:dyDescent="0.25">
      <c r="A287" s="1">
        <f>Desgloce!A286</f>
        <v>205</v>
      </c>
      <c r="B287" s="14">
        <f>VLOOKUP(Tabla1[[#This Row],[No]],Tabla7[],7,FALSE)</f>
        <v>20.7</v>
      </c>
      <c r="C287" s="24">
        <v>23.457174672586302</v>
      </c>
      <c r="D287" s="15">
        <f>(B287-C287)/B287*100</f>
        <v>-13.319684408629479</v>
      </c>
      <c r="E287" s="14">
        <f>IF(Tabla1[[#This Row],[% Error1]]&gt;$E$1,Tabla1[[#This Row],[No]],IF(Tabla1[[#This Row],[% Error1]]&lt;-$E$1,Tabla1[[#This Row],[No]],""))</f>
        <v>205</v>
      </c>
      <c r="F287" s="14" t="str">
        <f>IF(Tabla1[[#This Row],[ID]]="","",VLOOKUP(Tabla1[[#This Row],[ID]],Tabla7[],2,FALSE))</f>
        <v>C(CCCC)(=O)OCCC</v>
      </c>
      <c r="G287" s="14" t="str">
        <f>IF(Tabla1[[#This Row],[ID]]="","",VLOOKUP(Tabla1[[#This Row],[ID]],Tabla7[],36,FALSE))</f>
        <v>Training</v>
      </c>
      <c r="H287" s="14" t="str">
        <f>IF(Tabla1[[#This Row],[ID]]="","",VLOOKUP(Tabla1[[#This Row],[ID]],Tabla7[],4,FALSE))</f>
        <v>Ester: saturated</v>
      </c>
      <c r="I287" s="16">
        <f>IF(Tabla1[[#This Row],[ID]]="","",VLOOKUP(Tabla1[[#This Row],[ID]],Tabla1[],4,FALSE))</f>
        <v>-13.319684408629479</v>
      </c>
      <c r="J287" s="16">
        <f>Tabla1[[#This Row],[CN Literatura]]-Tabla1[[#This Row],[CN Predicted]]</f>
        <v>-2.7571746725863022</v>
      </c>
    </row>
    <row r="288" spans="1:10" x14ac:dyDescent="0.25">
      <c r="A288" s="1">
        <f>Desgloce!A287</f>
        <v>206</v>
      </c>
      <c r="B288" s="14">
        <f>VLOOKUP(Tabla1[[#This Row],[No]],Tabla7[],7,FALSE)</f>
        <v>21</v>
      </c>
      <c r="C288" s="24">
        <v>20.7817901937416</v>
      </c>
      <c r="D288" s="15">
        <f>(B288-C288)/B288*100</f>
        <v>1.039094315516192</v>
      </c>
      <c r="E288" s="14" t="str">
        <f>IF(Tabla1[[#This Row],[% Error1]]&gt;$E$1,Tabla1[[#This Row],[No]],IF(Tabla1[[#This Row],[% Error1]]&lt;-$E$1,Tabla1[[#This Row],[No]],""))</f>
        <v/>
      </c>
      <c r="F288" s="14" t="str">
        <f>IF(Tabla1[[#This Row],[ID]]="","",VLOOKUP(Tabla1[[#This Row],[ID]],Tabla7[],2,FALSE))</f>
        <v/>
      </c>
      <c r="G288" s="14" t="str">
        <f>IF(Tabla1[[#This Row],[ID]]="","",VLOOKUP(Tabla1[[#This Row],[ID]],Tabla7[],36,FALSE))</f>
        <v/>
      </c>
      <c r="H288" s="14" t="str">
        <f>IF(Tabla1[[#This Row],[ID]]="","",VLOOKUP(Tabla1[[#This Row],[ID]],Tabla7[],4,FALSE))</f>
        <v/>
      </c>
      <c r="I288" s="16" t="str">
        <f>IF(Tabla1[[#This Row],[ID]]="","",VLOOKUP(Tabla1[[#This Row],[ID]],Tabla1[],4,FALSE))</f>
        <v/>
      </c>
      <c r="J288" s="16">
        <f>Tabla1[[#This Row],[CN Literatura]]-Tabla1[[#This Row],[CN Predicted]]</f>
        <v>0.21820980625840036</v>
      </c>
    </row>
    <row r="289" spans="1:10" x14ac:dyDescent="0.25">
      <c r="A289" s="1">
        <f>Desgloce!A288</f>
        <v>207</v>
      </c>
      <c r="B289" s="14">
        <f>VLOOKUP(Tabla1[[#This Row],[No]],Tabla7[],7,FALSE)</f>
        <v>21</v>
      </c>
      <c r="C289" s="24">
        <v>11.5864429169727</v>
      </c>
      <c r="D289" s="15">
        <f>(B289-C289)/B289*100</f>
        <v>44.826462300129997</v>
      </c>
      <c r="E289" s="14">
        <f>IF(Tabla1[[#This Row],[% Error1]]&gt;$E$1,Tabla1[[#This Row],[No]],IF(Tabla1[[#This Row],[% Error1]]&lt;-$E$1,Tabla1[[#This Row],[No]],""))</f>
        <v>207</v>
      </c>
      <c r="F289" s="14" t="str">
        <f>IF(Tabla1[[#This Row],[ID]]="","",VLOOKUP(Tabla1[[#This Row],[ID]],Tabla7[],2,FALSE))</f>
        <v>c1ccc(cc1)c1ccccc1</v>
      </c>
      <c r="G289" s="14" t="str">
        <f>IF(Tabla1[[#This Row],[ID]]="","",VLOOKUP(Tabla1[[#This Row],[ID]],Tabla7[],36,FALSE))</f>
        <v>Training</v>
      </c>
      <c r="H289" s="14" t="str">
        <f>IF(Tabla1[[#This Row],[ID]]="","",VLOOKUP(Tabla1[[#This Row],[ID]],Tabla7[],4,FALSE))</f>
        <v>Aromatic</v>
      </c>
      <c r="I289" s="24">
        <f>IF(Tabla1[[#This Row],[ID]]="","",VLOOKUP(Tabla1[[#This Row],[ID]],Tabla1[],4,FALSE))</f>
        <v>44.826462300129997</v>
      </c>
      <c r="J289" s="16">
        <f>Tabla1[[#This Row],[CN Literatura]]-Tabla1[[#This Row],[CN Predicted]]</f>
        <v>9.4135570830272997</v>
      </c>
    </row>
    <row r="290" spans="1:10" x14ac:dyDescent="0.25">
      <c r="A290" s="1">
        <f>Desgloce!A289</f>
        <v>208</v>
      </c>
      <c r="B290" s="14">
        <f>VLOOKUP(Tabla1[[#This Row],[No]],Tabla7[],7,FALSE)</f>
        <v>21</v>
      </c>
      <c r="C290" s="24">
        <v>21.560191119364301</v>
      </c>
      <c r="D290" s="15">
        <f>(B290-C290)/B290*100</f>
        <v>-2.6675767588776251</v>
      </c>
      <c r="E290" s="14" t="str">
        <f>IF(Tabla1[[#This Row],[% Error1]]&gt;$E$1,Tabla1[[#This Row],[No]],IF(Tabla1[[#This Row],[% Error1]]&lt;-$E$1,Tabla1[[#This Row],[No]],""))</f>
        <v/>
      </c>
      <c r="F290" s="14" t="str">
        <f>IF(Tabla1[[#This Row],[ID]]="","",VLOOKUP(Tabla1[[#This Row],[ID]],Tabla7[],2,FALSE))</f>
        <v/>
      </c>
      <c r="G290" s="14" t="str">
        <f>IF(Tabla1[[#This Row],[ID]]="","",VLOOKUP(Tabla1[[#This Row],[ID]],Tabla7[],36,FALSE))</f>
        <v/>
      </c>
      <c r="H290" s="14" t="str">
        <f>IF(Tabla1[[#This Row],[ID]]="","",VLOOKUP(Tabla1[[#This Row],[ID]],Tabla7[],4,FALSE))</f>
        <v/>
      </c>
      <c r="I290" s="16" t="str">
        <f>IF(Tabla1[[#This Row],[ID]]="","",VLOOKUP(Tabla1[[#This Row],[ID]],Tabla1[],4,FALSE))</f>
        <v/>
      </c>
      <c r="J290" s="16">
        <f>Tabla1[[#This Row],[CN Literatura]]-Tabla1[[#This Row],[CN Predicted]]</f>
        <v>-0.56019111936430122</v>
      </c>
    </row>
    <row r="291" spans="1:10" x14ac:dyDescent="0.25">
      <c r="A291" s="1">
        <f>Desgloce!A290</f>
        <v>209</v>
      </c>
      <c r="B291" s="14">
        <f>VLOOKUP(Tabla1[[#This Row],[No]],Tabla7[],7,FALSE)</f>
        <v>21</v>
      </c>
      <c r="C291" s="24">
        <v>27.276514701929401</v>
      </c>
      <c r="D291" s="15">
        <f>(B291-C291)/B291*100</f>
        <v>-29.88816524728286</v>
      </c>
      <c r="E291" s="14">
        <f>IF(Tabla1[[#This Row],[% Error1]]&gt;$E$1,Tabla1[[#This Row],[No]],IF(Tabla1[[#This Row],[% Error1]]&lt;-$E$1,Tabla1[[#This Row],[No]],""))</f>
        <v>209</v>
      </c>
      <c r="F291" s="14" t="str">
        <f>IF(Tabla1[[#This Row],[ID]]="","",VLOOKUP(Tabla1[[#This Row],[ID]],Tabla7[],2,FALSE))</f>
        <v>CC1CCCCC1</v>
      </c>
      <c r="G291" s="14" t="str">
        <f>IF(Tabla1[[#This Row],[ID]]="","",VLOOKUP(Tabla1[[#This Row],[ID]],Tabla7[],36,FALSE))</f>
        <v>Training</v>
      </c>
      <c r="H291" s="14" t="str">
        <f>IF(Tabla1[[#This Row],[ID]]="","",VLOOKUP(Tabla1[[#This Row],[ID]],Tabla7[],4,FALSE))</f>
        <v>cyclo-alkane</v>
      </c>
      <c r="I291" s="16">
        <f>IF(Tabla1[[#This Row],[ID]]="","",VLOOKUP(Tabla1[[#This Row],[ID]],Tabla1[],4,FALSE))</f>
        <v>-29.88816524728286</v>
      </c>
      <c r="J291" s="16">
        <f>Tabla1[[#This Row],[CN Literatura]]-Tabla1[[#This Row],[CN Predicted]]</f>
        <v>-6.2765147019294005</v>
      </c>
    </row>
    <row r="292" spans="1:10" x14ac:dyDescent="0.25">
      <c r="A292" s="1">
        <f>Desgloce!A291</f>
        <v>210</v>
      </c>
      <c r="B292" s="14">
        <f>VLOOKUP(Tabla1[[#This Row],[No]],Tabla7[],7,FALSE)</f>
        <v>21</v>
      </c>
      <c r="C292" s="24">
        <v>17.3780060954048</v>
      </c>
      <c r="D292" s="15">
        <f>(B292-C292)/B292*100</f>
        <v>17.247590021881905</v>
      </c>
      <c r="E292" s="14">
        <f>IF(Tabla1[[#This Row],[% Error1]]&gt;$E$1,Tabla1[[#This Row],[No]],IF(Tabla1[[#This Row],[% Error1]]&lt;-$E$1,Tabla1[[#This Row],[No]],""))</f>
        <v>210</v>
      </c>
      <c r="F292" s="14" t="str">
        <f>IF(Tabla1[[#This Row],[ID]]="","",VLOOKUP(Tabla1[[#This Row],[ID]],Tabla7[],2,FALSE))</f>
        <v>CC1(CCCCC1)C</v>
      </c>
      <c r="G292" s="14" t="str">
        <f>IF(Tabla1[[#This Row],[ID]]="","",VLOOKUP(Tabla1[[#This Row],[ID]],Tabla7[],36,FALSE))</f>
        <v>Training</v>
      </c>
      <c r="H292" s="14" t="str">
        <f>IF(Tabla1[[#This Row],[ID]]="","",VLOOKUP(Tabla1[[#This Row],[ID]],Tabla7[],4,FALSE))</f>
        <v>cyclo-alkane</v>
      </c>
      <c r="I292" s="16">
        <f>IF(Tabla1[[#This Row],[ID]]="","",VLOOKUP(Tabla1[[#This Row],[ID]],Tabla1[],4,FALSE))</f>
        <v>17.247590021881905</v>
      </c>
      <c r="J292" s="16">
        <f>Tabla1[[#This Row],[CN Literatura]]-Tabla1[[#This Row],[CN Predicted]]</f>
        <v>3.6219939045952003</v>
      </c>
    </row>
    <row r="293" spans="1:10" x14ac:dyDescent="0.25">
      <c r="A293" s="1">
        <f>Desgloce!A292</f>
        <v>211</v>
      </c>
      <c r="B293" s="14">
        <f>VLOOKUP(Tabla1[[#This Row],[No]],Tabla7[],7,FALSE)</f>
        <v>21</v>
      </c>
      <c r="C293" s="24">
        <v>25.461872643457902</v>
      </c>
      <c r="D293" s="15">
        <f>(B293-C293)/B293*100</f>
        <v>-21.247012587894769</v>
      </c>
      <c r="E293" s="14">
        <f>IF(Tabla1[[#This Row],[% Error1]]&gt;$E$1,Tabla1[[#This Row],[No]],IF(Tabla1[[#This Row],[% Error1]]&lt;-$E$1,Tabla1[[#This Row],[No]],""))</f>
        <v>211</v>
      </c>
      <c r="F293" s="14" t="str">
        <f>IF(Tabla1[[#This Row],[ID]]="","",VLOOKUP(Tabla1[[#This Row],[ID]],Tabla7[],2,FALSE))</f>
        <v>CCCCCC(=O)OC</v>
      </c>
      <c r="G293" s="14" t="str">
        <f>IF(Tabla1[[#This Row],[ID]]="","",VLOOKUP(Tabla1[[#This Row],[ID]],Tabla7[],36,FALSE))</f>
        <v>Training</v>
      </c>
      <c r="H293" s="14" t="str">
        <f>IF(Tabla1[[#This Row],[ID]]="","",VLOOKUP(Tabla1[[#This Row],[ID]],Tabla7[],4,FALSE))</f>
        <v>Ester</v>
      </c>
      <c r="I293" s="16">
        <f>IF(Tabla1[[#This Row],[ID]]="","",VLOOKUP(Tabla1[[#This Row],[ID]],Tabla1[],4,FALSE))</f>
        <v>-21.247012587894769</v>
      </c>
      <c r="J293" s="16">
        <f>Tabla1[[#This Row],[CN Literatura]]-Tabla1[[#This Row],[CN Predicted]]</f>
        <v>-4.4618726434579017</v>
      </c>
    </row>
    <row r="294" spans="1:10" x14ac:dyDescent="0.25">
      <c r="A294" s="1">
        <f>Desgloce!A293</f>
        <v>212</v>
      </c>
      <c r="B294" s="14">
        <f>VLOOKUP(Tabla1[[#This Row],[No]],Tabla7[],7,FALSE)</f>
        <v>21</v>
      </c>
      <c r="C294" s="24">
        <v>33.348264011636999</v>
      </c>
      <c r="D294" s="15">
        <f>(B294-C294)/B294*100</f>
        <v>-58.801257198271429</v>
      </c>
      <c r="E294" s="14">
        <f>IF(Tabla1[[#This Row],[% Error1]]&gt;$E$1,Tabla1[[#This Row],[No]],IF(Tabla1[[#This Row],[% Error1]]&lt;-$E$1,Tabla1[[#This Row],[No]],""))</f>
        <v>212</v>
      </c>
      <c r="F294" s="14" t="str">
        <f>IF(Tabla1[[#This Row],[ID]]="","",VLOOKUP(Tabla1[[#This Row],[ID]],Tabla7[],2,FALSE))</f>
        <v>CCCCOC(=O)CCC(=O)OCCCC</v>
      </c>
      <c r="G294" s="14" t="str">
        <f>IF(Tabla1[[#This Row],[ID]]="","",VLOOKUP(Tabla1[[#This Row],[ID]],Tabla7[],36,FALSE))</f>
        <v>Training</v>
      </c>
      <c r="H294" s="14" t="str">
        <f>IF(Tabla1[[#This Row],[ID]]="","",VLOOKUP(Tabla1[[#This Row],[ID]],Tabla7[],4,FALSE))</f>
        <v>Ester</v>
      </c>
      <c r="I294" s="16">
        <f>IF(Tabla1[[#This Row],[ID]]="","",VLOOKUP(Tabla1[[#This Row],[ID]],Tabla1[],4,FALSE))</f>
        <v>-58.801257198271429</v>
      </c>
      <c r="J294" s="16">
        <f>Tabla1[[#This Row],[CN Literatura]]-Tabla1[[#This Row],[CN Predicted]]</f>
        <v>-12.348264011636999</v>
      </c>
    </row>
    <row r="295" spans="1:10" x14ac:dyDescent="0.25">
      <c r="A295" s="1">
        <f>Desgloce!A294</f>
        <v>213</v>
      </c>
      <c r="B295" s="14">
        <f>VLOOKUP(Tabla1[[#This Row],[No]],Tabla7[],7,FALSE)</f>
        <v>21</v>
      </c>
      <c r="C295" s="24">
        <v>28.008095837432599</v>
      </c>
      <c r="D295" s="15">
        <f>(B295-C295)/B295*100</f>
        <v>-33.371884940155233</v>
      </c>
      <c r="E295" s="14">
        <f>IF(Tabla1[[#This Row],[% Error1]]&gt;$E$1,Tabla1[[#This Row],[No]],IF(Tabla1[[#This Row],[% Error1]]&lt;-$E$1,Tabla1[[#This Row],[No]],""))</f>
        <v>213</v>
      </c>
      <c r="F295" s="14" t="str">
        <f>IF(Tabla1[[#This Row],[ID]]="","",VLOOKUP(Tabla1[[#This Row],[ID]],Tabla7[],2,FALSE))</f>
        <v>CCCCOC(=O)CC(=O)OCCCC</v>
      </c>
      <c r="G295" s="14" t="str">
        <f>IF(Tabla1[[#This Row],[ID]]="","",VLOOKUP(Tabla1[[#This Row],[ID]],Tabla7[],36,FALSE))</f>
        <v>Training</v>
      </c>
      <c r="H295" s="14" t="str">
        <f>IF(Tabla1[[#This Row],[ID]]="","",VLOOKUP(Tabla1[[#This Row],[ID]],Tabla7[],4,FALSE))</f>
        <v>Ester</v>
      </c>
      <c r="I295" s="16">
        <f>IF(Tabla1[[#This Row],[ID]]="","",VLOOKUP(Tabla1[[#This Row],[ID]],Tabla1[],4,FALSE))</f>
        <v>-33.371884940155233</v>
      </c>
      <c r="J295" s="16">
        <f>Tabla1[[#This Row],[CN Literatura]]-Tabla1[[#This Row],[CN Predicted]]</f>
        <v>-7.0080958374325988</v>
      </c>
    </row>
    <row r="296" spans="1:10" x14ac:dyDescent="0.25">
      <c r="A296" s="1">
        <f>Desgloce!A295</f>
        <v>214</v>
      </c>
      <c r="B296" s="14">
        <f>VLOOKUP(Tabla1[[#This Row],[No]],Tabla7[],7,FALSE)</f>
        <v>21</v>
      </c>
      <c r="C296" s="24">
        <v>15.0762332866028</v>
      </c>
      <c r="D296" s="15">
        <f>(B296-C296)/B296*100</f>
        <v>28.208412920939047</v>
      </c>
      <c r="E296" s="14">
        <f>IF(Tabla1[[#This Row],[% Error1]]&gt;$E$1,Tabla1[[#This Row],[No]],IF(Tabla1[[#This Row],[% Error1]]&lt;-$E$1,Tabla1[[#This Row],[No]],""))</f>
        <v>214</v>
      </c>
      <c r="F296" s="14" t="str">
        <f>IF(Tabla1[[#This Row],[ID]]="","",VLOOKUP(Tabla1[[#This Row],[ID]],Tabla7[],2,FALSE))</f>
        <v>CCOC(=O)CCC(=O)OCC</v>
      </c>
      <c r="G296" s="14" t="str">
        <f>IF(Tabla1[[#This Row],[ID]]="","",VLOOKUP(Tabla1[[#This Row],[ID]],Tabla7[],36,FALSE))</f>
        <v>Training</v>
      </c>
      <c r="H296" s="14" t="str">
        <f>IF(Tabla1[[#This Row],[ID]]="","",VLOOKUP(Tabla1[[#This Row],[ID]],Tabla7[],4,FALSE))</f>
        <v>Ester</v>
      </c>
      <c r="I296" s="16">
        <f>IF(Tabla1[[#This Row],[ID]]="","",VLOOKUP(Tabla1[[#This Row],[ID]],Tabla1[],4,FALSE))</f>
        <v>28.208412920939047</v>
      </c>
      <c r="J296" s="16">
        <f>Tabla1[[#This Row],[CN Literatura]]-Tabla1[[#This Row],[CN Predicted]]</f>
        <v>5.9237667133971996</v>
      </c>
    </row>
    <row r="297" spans="1:10" x14ac:dyDescent="0.25">
      <c r="A297" s="1">
        <f>Desgloce!A296</f>
        <v>215</v>
      </c>
      <c r="B297" s="14">
        <f>VLOOKUP(Tabla1[[#This Row],[No]],Tabla7[],7,FALSE)</f>
        <v>21</v>
      </c>
      <c r="C297" s="24">
        <v>12.4982348962294</v>
      </c>
      <c r="D297" s="15">
        <f>(B297-C297)/B297*100</f>
        <v>40.484595732240955</v>
      </c>
      <c r="E297" s="14">
        <f>IF(Tabla1[[#This Row],[% Error1]]&gt;$E$1,Tabla1[[#This Row],[No]],IF(Tabla1[[#This Row],[% Error1]]&lt;-$E$1,Tabla1[[#This Row],[No]],""))</f>
        <v>215</v>
      </c>
      <c r="F297" s="14" t="str">
        <f>IF(Tabla1[[#This Row],[ID]]="","",VLOOKUP(Tabla1[[#This Row],[ID]],Tabla7[],2,FALSE))</f>
        <v>C(C(=O)OCC)(=O)OCC</v>
      </c>
      <c r="G297" s="14" t="str">
        <f>IF(Tabla1[[#This Row],[ID]]="","",VLOOKUP(Tabla1[[#This Row],[ID]],Tabla7[],36,FALSE))</f>
        <v>Training</v>
      </c>
      <c r="H297" s="14" t="str">
        <f>IF(Tabla1[[#This Row],[ID]]="","",VLOOKUP(Tabla1[[#This Row],[ID]],Tabla7[],4,FALSE))</f>
        <v>Ester of Dicarboxylic Acids</v>
      </c>
      <c r="I297" s="16">
        <f>IF(Tabla1[[#This Row],[ID]]="","",VLOOKUP(Tabla1[[#This Row],[ID]],Tabla1[],4,FALSE))</f>
        <v>40.484595732240955</v>
      </c>
      <c r="J297" s="16">
        <f>Tabla1[[#This Row],[CN Literatura]]-Tabla1[[#This Row],[CN Predicted]]</f>
        <v>8.5017651037705999</v>
      </c>
    </row>
    <row r="298" spans="1:10" x14ac:dyDescent="0.25">
      <c r="A298" s="1">
        <f>Desgloce!A297</f>
        <v>216</v>
      </c>
      <c r="B298" s="14">
        <f>VLOOKUP(Tabla1[[#This Row],[No]],Tabla7[],7,FALSE)</f>
        <v>21</v>
      </c>
      <c r="C298" s="24">
        <v>14.5907799208589</v>
      </c>
      <c r="D298" s="15">
        <f>(B298-C298)/B298*100</f>
        <v>30.520095614957622</v>
      </c>
      <c r="E298" s="14">
        <f>IF(Tabla1[[#This Row],[% Error1]]&gt;$E$1,Tabla1[[#This Row],[No]],IF(Tabla1[[#This Row],[% Error1]]&lt;-$E$1,Tabla1[[#This Row],[No]],""))</f>
        <v>216</v>
      </c>
      <c r="F298" s="14" t="str">
        <f>IF(Tabla1[[#This Row],[ID]]="","",VLOOKUP(Tabla1[[#This Row],[ID]],Tabla7[],2,FALSE))</f>
        <v>C(CCC(=O)OCC)(=O)OCC</v>
      </c>
      <c r="G298" s="14" t="str">
        <f>IF(Tabla1[[#This Row],[ID]]="","",VLOOKUP(Tabla1[[#This Row],[ID]],Tabla7[],36,FALSE))</f>
        <v>Training</v>
      </c>
      <c r="H298" s="14" t="str">
        <f>IF(Tabla1[[#This Row],[ID]]="","",VLOOKUP(Tabla1[[#This Row],[ID]],Tabla7[],4,FALSE))</f>
        <v>Ester of Dicarboxylic Acids</v>
      </c>
      <c r="I298" s="16">
        <f>IF(Tabla1[[#This Row],[ID]]="","",VLOOKUP(Tabla1[[#This Row],[ID]],Tabla1[],4,FALSE))</f>
        <v>30.520095614957622</v>
      </c>
      <c r="J298" s="16">
        <f>Tabla1[[#This Row],[CN Literatura]]-Tabla1[[#This Row],[CN Predicted]]</f>
        <v>6.4092200791411003</v>
      </c>
    </row>
    <row r="299" spans="1:10" x14ac:dyDescent="0.25">
      <c r="A299" s="1">
        <f>Desgloce!A298</f>
        <v>217</v>
      </c>
      <c r="B299" s="14">
        <f>VLOOKUP(Tabla1[[#This Row],[No]],Tabla7[],7,FALSE)</f>
        <v>21</v>
      </c>
      <c r="C299" s="24">
        <v>23.777384671406299</v>
      </c>
      <c r="D299" s="15">
        <f>(B299-C299)/B299*100</f>
        <v>-13.225641292410947</v>
      </c>
      <c r="E299" s="14">
        <f>IF(Tabla1[[#This Row],[% Error1]]&gt;$E$1,Tabla1[[#This Row],[No]],IF(Tabla1[[#This Row],[% Error1]]&lt;-$E$1,Tabla1[[#This Row],[No]],""))</f>
        <v>217</v>
      </c>
      <c r="F299" s="14" t="str">
        <f>IF(Tabla1[[#This Row],[ID]]="","",VLOOKUP(Tabla1[[#This Row],[ID]],Tabla7[],2,FALSE))</f>
        <v>CC(C)CC(C)C</v>
      </c>
      <c r="G299" s="14" t="str">
        <f>IF(Tabla1[[#This Row],[ID]]="","",VLOOKUP(Tabla1[[#This Row],[ID]],Tabla7[],36,FALSE))</f>
        <v>Training</v>
      </c>
      <c r="H299" s="14" t="str">
        <f>IF(Tabla1[[#This Row],[ID]]="","",VLOOKUP(Tabla1[[#This Row],[ID]],Tabla7[],4,FALSE))</f>
        <v>iso-alkane</v>
      </c>
      <c r="I299" s="16">
        <f>IF(Tabla1[[#This Row],[ID]]="","",VLOOKUP(Tabla1[[#This Row],[ID]],Tabla1[],4,FALSE))</f>
        <v>-13.225641292410947</v>
      </c>
      <c r="J299" s="16">
        <f>Tabla1[[#This Row],[CN Literatura]]-Tabla1[[#This Row],[CN Predicted]]</f>
        <v>-2.7773846714062991</v>
      </c>
    </row>
    <row r="300" spans="1:10" x14ac:dyDescent="0.25">
      <c r="A300" s="1">
        <f>Desgloce!A299</f>
        <v>218</v>
      </c>
      <c r="B300" s="14">
        <f>VLOOKUP(Tabla1[[#This Row],[No]],Tabla7[],7,FALSE)</f>
        <v>21</v>
      </c>
      <c r="C300" s="24">
        <v>24.488719020351699</v>
      </c>
      <c r="D300" s="15">
        <f>(B300-C300)/B300*100</f>
        <v>-16.61294771596047</v>
      </c>
      <c r="E300" s="14">
        <f>IF(Tabla1[[#This Row],[% Error1]]&gt;$E$1,Tabla1[[#This Row],[No]],IF(Tabla1[[#This Row],[% Error1]]&lt;-$E$1,Tabla1[[#This Row],[No]],""))</f>
        <v>218</v>
      </c>
      <c r="F300" s="14" t="str">
        <f>IF(Tabla1[[#This Row],[ID]]="","",VLOOKUP(Tabla1[[#This Row],[ID]],Tabla7[],2,FALSE))</f>
        <v>CC[C@@H](C)C(C)C</v>
      </c>
      <c r="G300" s="14" t="str">
        <f>IF(Tabla1[[#This Row],[ID]]="","",VLOOKUP(Tabla1[[#This Row],[ID]],Tabla7[],36,FALSE))</f>
        <v>Training</v>
      </c>
      <c r="H300" s="14" t="str">
        <f>IF(Tabla1[[#This Row],[ID]]="","",VLOOKUP(Tabla1[[#This Row],[ID]],Tabla7[],4,FALSE))</f>
        <v>n-Alkane</v>
      </c>
      <c r="I300" s="16">
        <f>IF(Tabla1[[#This Row],[ID]]="","",VLOOKUP(Tabla1[[#This Row],[ID]],Tabla1[],4,FALSE))</f>
        <v>-16.61294771596047</v>
      </c>
      <c r="J300" s="16">
        <f>Tabla1[[#This Row],[CN Literatura]]-Tabla1[[#This Row],[CN Predicted]]</f>
        <v>-3.4887190203516987</v>
      </c>
    </row>
    <row r="301" spans="1:10" x14ac:dyDescent="0.25">
      <c r="A301" s="1">
        <f>Desgloce!A300</f>
        <v>219</v>
      </c>
      <c r="B301" s="14">
        <f>VLOOKUP(Tabla1[[#This Row],[No]],Tabla7[],7,FALSE)</f>
        <v>21</v>
      </c>
      <c r="C301" s="24">
        <v>24.488719020351699</v>
      </c>
      <c r="D301" s="15">
        <f>(B301-C301)/B301*100</f>
        <v>-16.61294771596047</v>
      </c>
      <c r="E301" s="14">
        <f>IF(Tabla1[[#This Row],[% Error1]]&gt;$E$1,Tabla1[[#This Row],[No]],IF(Tabla1[[#This Row],[% Error1]]&lt;-$E$1,Tabla1[[#This Row],[No]],""))</f>
        <v>219</v>
      </c>
      <c r="F301" s="14" t="str">
        <f>IF(Tabla1[[#This Row],[ID]]="","",VLOOKUP(Tabla1[[#This Row],[ID]],Tabla7[],2,FALSE))</f>
        <v>CC[C@H](C)C(C)C</v>
      </c>
      <c r="G301" s="14" t="str">
        <f>IF(Tabla1[[#This Row],[ID]]="","",VLOOKUP(Tabla1[[#This Row],[ID]],Tabla7[],36,FALSE))</f>
        <v>Training</v>
      </c>
      <c r="H301" s="14" t="str">
        <f>IF(Tabla1[[#This Row],[ID]]="","",VLOOKUP(Tabla1[[#This Row],[ID]],Tabla7[],4,FALSE))</f>
        <v>n-Alkane</v>
      </c>
      <c r="I301" s="16">
        <f>IF(Tabla1[[#This Row],[ID]]="","",VLOOKUP(Tabla1[[#This Row],[ID]],Tabla1[],4,FALSE))</f>
        <v>-16.61294771596047</v>
      </c>
      <c r="J301" s="16">
        <f>Tabla1[[#This Row],[CN Literatura]]-Tabla1[[#This Row],[CN Predicted]]</f>
        <v>-3.4887190203516987</v>
      </c>
    </row>
    <row r="302" spans="1:10" x14ac:dyDescent="0.25">
      <c r="A302" s="1">
        <f>Desgloce!A301</f>
        <v>220</v>
      </c>
      <c r="B302" s="14">
        <f>VLOOKUP(Tabla1[[#This Row],[No]],Tabla7[],7,FALSE)</f>
        <v>21.1</v>
      </c>
      <c r="C302" s="24">
        <v>21.275111021831702</v>
      </c>
      <c r="D302" s="15">
        <f>(B302-C302)/B302*100</f>
        <v>-0.82991005607440871</v>
      </c>
      <c r="E302" s="14" t="str">
        <f>IF(Tabla1[[#This Row],[% Error1]]&gt;$E$1,Tabla1[[#This Row],[No]],IF(Tabla1[[#This Row],[% Error1]]&lt;-$E$1,Tabla1[[#This Row],[No]],""))</f>
        <v/>
      </c>
      <c r="F302" s="14" t="str">
        <f>IF(Tabla1[[#This Row],[ID]]="","",VLOOKUP(Tabla1[[#This Row],[ID]],Tabla7[],2,FALSE))</f>
        <v/>
      </c>
      <c r="G302" s="14" t="str">
        <f>IF(Tabla1[[#This Row],[ID]]="","",VLOOKUP(Tabla1[[#This Row],[ID]],Tabla7[],36,FALSE))</f>
        <v/>
      </c>
      <c r="H302" s="14" t="str">
        <f>IF(Tabla1[[#This Row],[ID]]="","",VLOOKUP(Tabla1[[#This Row],[ID]],Tabla7[],4,FALSE))</f>
        <v/>
      </c>
      <c r="I302" s="16" t="str">
        <f>IF(Tabla1[[#This Row],[ID]]="","",VLOOKUP(Tabla1[[#This Row],[ID]],Tabla1[],4,FALSE))</f>
        <v/>
      </c>
      <c r="J302" s="16">
        <f>Tabla1[[#This Row],[CN Literatura]]-Tabla1[[#This Row],[CN Predicted]]</f>
        <v>-0.17511102183170024</v>
      </c>
    </row>
    <row r="303" spans="1:10" x14ac:dyDescent="0.25">
      <c r="A303" s="1">
        <f>Desgloce!A302</f>
        <v>222</v>
      </c>
      <c r="B303" s="14">
        <f>VLOOKUP(Tabla1[[#This Row],[No]],Tabla7[],7,FALSE)</f>
        <v>21.3</v>
      </c>
      <c r="C303" s="24">
        <v>20.0165947142767</v>
      </c>
      <c r="D303" s="15">
        <f>(B303-C303)/B303*100</f>
        <v>6.0253769282784084</v>
      </c>
      <c r="E303" s="14" t="str">
        <f>IF(Tabla1[[#This Row],[% Error1]]&gt;$E$1,Tabla1[[#This Row],[No]],IF(Tabla1[[#This Row],[% Error1]]&lt;-$E$1,Tabla1[[#This Row],[No]],""))</f>
        <v/>
      </c>
      <c r="F303" s="14" t="str">
        <f>IF(Tabla1[[#This Row],[ID]]="","",VLOOKUP(Tabla1[[#This Row],[ID]],Tabla7[],2,FALSE))</f>
        <v/>
      </c>
      <c r="G303" s="14" t="str">
        <f>IF(Tabla1[[#This Row],[ID]]="","",VLOOKUP(Tabla1[[#This Row],[ID]],Tabla7[],36,FALSE))</f>
        <v/>
      </c>
      <c r="H303" s="14" t="str">
        <f>IF(Tabla1[[#This Row],[ID]]="","",VLOOKUP(Tabla1[[#This Row],[ID]],Tabla7[],4,FALSE))</f>
        <v/>
      </c>
      <c r="I303" s="16" t="str">
        <f>IF(Tabla1[[#This Row],[ID]]="","",VLOOKUP(Tabla1[[#This Row],[ID]],Tabla1[],4,FALSE))</f>
        <v/>
      </c>
      <c r="J303" s="16">
        <f>Tabla1[[#This Row],[CN Literatura]]-Tabla1[[#This Row],[CN Predicted]]</f>
        <v>1.2834052857233011</v>
      </c>
    </row>
    <row r="304" spans="1:10" x14ac:dyDescent="0.25">
      <c r="A304" s="1">
        <f>Desgloce!A303</f>
        <v>223</v>
      </c>
      <c r="B304" s="14">
        <f>VLOOKUP(Tabla1[[#This Row],[No]],Tabla7[],7,FALSE)</f>
        <v>21.3</v>
      </c>
      <c r="C304" s="24">
        <v>20.0165947142767</v>
      </c>
      <c r="D304" s="15">
        <f>(B304-C304)/B304*100</f>
        <v>6.0253769282784084</v>
      </c>
      <c r="E304" s="14" t="str">
        <f>IF(Tabla1[[#This Row],[% Error1]]&gt;$E$1,Tabla1[[#This Row],[No]],IF(Tabla1[[#This Row],[% Error1]]&lt;-$E$1,Tabla1[[#This Row],[No]],""))</f>
        <v/>
      </c>
      <c r="F304" s="14" t="str">
        <f>IF(Tabla1[[#This Row],[ID]]="","",VLOOKUP(Tabla1[[#This Row],[ID]],Tabla7[],2,FALSE))</f>
        <v/>
      </c>
      <c r="G304" s="14" t="str">
        <f>IF(Tabla1[[#This Row],[ID]]="","",VLOOKUP(Tabla1[[#This Row],[ID]],Tabla7[],36,FALSE))</f>
        <v/>
      </c>
      <c r="H304" s="14" t="str">
        <f>IF(Tabla1[[#This Row],[ID]]="","",VLOOKUP(Tabla1[[#This Row],[ID]],Tabla7[],4,FALSE))</f>
        <v/>
      </c>
      <c r="I304" s="16" t="str">
        <f>IF(Tabla1[[#This Row],[ID]]="","",VLOOKUP(Tabla1[[#This Row],[ID]],Tabla1[],4,FALSE))</f>
        <v/>
      </c>
      <c r="J304" s="16">
        <f>Tabla1[[#This Row],[CN Literatura]]-Tabla1[[#This Row],[CN Predicted]]</f>
        <v>1.2834052857233011</v>
      </c>
    </row>
    <row r="305" spans="1:10" x14ac:dyDescent="0.25">
      <c r="A305" s="1">
        <f>Desgloce!A304</f>
        <v>224</v>
      </c>
      <c r="B305" s="14">
        <f>VLOOKUP(Tabla1[[#This Row],[No]],Tabla7[],7,FALSE)</f>
        <v>21.7</v>
      </c>
      <c r="C305" s="24">
        <v>22.035686382547802</v>
      </c>
      <c r="D305" s="15">
        <f>(B305-C305)/B305*100</f>
        <v>-1.5469418550589966</v>
      </c>
      <c r="E305" s="14" t="str">
        <f>IF(Tabla1[[#This Row],[% Error1]]&gt;$E$1,Tabla1[[#This Row],[No]],IF(Tabla1[[#This Row],[% Error1]]&lt;-$E$1,Tabla1[[#This Row],[No]],""))</f>
        <v/>
      </c>
      <c r="F305" s="14" t="str">
        <f>IF(Tabla1[[#This Row],[ID]]="","",VLOOKUP(Tabla1[[#This Row],[ID]],Tabla7[],2,FALSE))</f>
        <v/>
      </c>
      <c r="G305" s="14" t="str">
        <f>IF(Tabla1[[#This Row],[ID]]="","",VLOOKUP(Tabla1[[#This Row],[ID]],Tabla7[],36,FALSE))</f>
        <v/>
      </c>
      <c r="H305" s="14" t="str">
        <f>IF(Tabla1[[#This Row],[ID]]="","",VLOOKUP(Tabla1[[#This Row],[ID]],Tabla7[],4,FALSE))</f>
        <v/>
      </c>
      <c r="I305" s="16" t="str">
        <f>IF(Tabla1[[#This Row],[ID]]="","",VLOOKUP(Tabla1[[#This Row],[ID]],Tabla1[],4,FALSE))</f>
        <v/>
      </c>
      <c r="J305" s="16">
        <f>Tabla1[[#This Row],[CN Literatura]]-Tabla1[[#This Row],[CN Predicted]]</f>
        <v>-0.33568638254780225</v>
      </c>
    </row>
    <row r="306" spans="1:10" x14ac:dyDescent="0.25">
      <c r="A306" s="1">
        <f>Desgloce!A305</f>
        <v>225</v>
      </c>
      <c r="B306" s="14">
        <f>VLOOKUP(Tabla1[[#This Row],[No]],Tabla7[],7,FALSE)</f>
        <v>21.9</v>
      </c>
      <c r="C306" s="24">
        <v>23.0582002667288</v>
      </c>
      <c r="D306" s="15">
        <f>(B306-C306)/B306*100</f>
        <v>-5.2885856928255786</v>
      </c>
      <c r="E306" s="14" t="str">
        <f>IF(Tabla1[[#This Row],[% Error1]]&gt;$E$1,Tabla1[[#This Row],[No]],IF(Tabla1[[#This Row],[% Error1]]&lt;-$E$1,Tabla1[[#This Row],[No]],""))</f>
        <v/>
      </c>
      <c r="F306" s="14" t="str">
        <f>IF(Tabla1[[#This Row],[ID]]="","",VLOOKUP(Tabla1[[#This Row],[ID]],Tabla7[],2,FALSE))</f>
        <v/>
      </c>
      <c r="G306" s="14" t="str">
        <f>IF(Tabla1[[#This Row],[ID]]="","",VLOOKUP(Tabla1[[#This Row],[ID]],Tabla7[],36,FALSE))</f>
        <v/>
      </c>
      <c r="H306" s="14" t="str">
        <f>IF(Tabla1[[#This Row],[ID]]="","",VLOOKUP(Tabla1[[#This Row],[ID]],Tabla7[],4,FALSE))</f>
        <v/>
      </c>
      <c r="I306" s="16" t="str">
        <f>IF(Tabla1[[#This Row],[ID]]="","",VLOOKUP(Tabla1[[#This Row],[ID]],Tabla1[],4,FALSE))</f>
        <v/>
      </c>
      <c r="J306" s="16">
        <f>Tabla1[[#This Row],[CN Literatura]]-Tabla1[[#This Row],[CN Predicted]]</f>
        <v>-1.1582002667288016</v>
      </c>
    </row>
    <row r="307" spans="1:10" x14ac:dyDescent="0.25">
      <c r="A307" s="1">
        <f>Desgloce!A306</f>
        <v>226</v>
      </c>
      <c r="B307" s="14">
        <f>VLOOKUP(Tabla1[[#This Row],[No]],Tabla7[],7,FALSE)</f>
        <v>21.9</v>
      </c>
      <c r="C307" s="24">
        <v>29.406016175619602</v>
      </c>
      <c r="D307" s="15">
        <f>(B307-C307)/B307*100</f>
        <v>-34.274046464016457</v>
      </c>
      <c r="E307" s="14">
        <f>IF(Tabla1[[#This Row],[% Error1]]&gt;$E$1,Tabla1[[#This Row],[No]],IF(Tabla1[[#This Row],[% Error1]]&lt;-$E$1,Tabla1[[#This Row],[No]],""))</f>
        <v>226</v>
      </c>
      <c r="F307" s="14" t="str">
        <f>IF(Tabla1[[#This Row],[ID]]="","",VLOOKUP(Tabla1[[#This Row],[ID]],Tabla7[],2,FALSE))</f>
        <v>C(C)C1CC(CC1)C</v>
      </c>
      <c r="G307" s="14" t="str">
        <f>IF(Tabla1[[#This Row],[ID]]="","",VLOOKUP(Tabla1[[#This Row],[ID]],Tabla7[],36,FALSE))</f>
        <v>Training</v>
      </c>
      <c r="H307" s="14" t="str">
        <f>IF(Tabla1[[#This Row],[ID]]="","",VLOOKUP(Tabla1[[#This Row],[ID]],Tabla7[],4,FALSE))</f>
        <v>cyclo-alkane</v>
      </c>
      <c r="I307" s="16">
        <f>IF(Tabla1[[#This Row],[ID]]="","",VLOOKUP(Tabla1[[#This Row],[ID]],Tabla1[],4,FALSE))</f>
        <v>-34.274046464016457</v>
      </c>
      <c r="J307" s="16">
        <f>Tabla1[[#This Row],[CN Literatura]]-Tabla1[[#This Row],[CN Predicted]]</f>
        <v>-7.5060161756196031</v>
      </c>
    </row>
    <row r="308" spans="1:10" x14ac:dyDescent="0.25">
      <c r="A308" s="1">
        <f>Desgloce!A307</f>
        <v>227</v>
      </c>
      <c r="B308" s="14">
        <f>VLOOKUP(Tabla1[[#This Row],[No]],Tabla7[],7,FALSE)</f>
        <v>22</v>
      </c>
      <c r="C308" s="24">
        <v>33.706436795358599</v>
      </c>
      <c r="D308" s="15">
        <f>(B308-C308)/B308*100</f>
        <v>-53.211076342539087</v>
      </c>
      <c r="E308" s="14">
        <f>IF(Tabla1[[#This Row],[% Error1]]&gt;$E$1,Tabla1[[#This Row],[No]],IF(Tabla1[[#This Row],[% Error1]]&lt;-$E$1,Tabla1[[#This Row],[No]],""))</f>
        <v>227</v>
      </c>
      <c r="F308" s="14" t="str">
        <f>IF(Tabla1[[#This Row],[ID]]="","",VLOOKUP(Tabla1[[#This Row],[ID]],Tabla7[],2,FALSE))</f>
        <v>CCCCCC#C</v>
      </c>
      <c r="G308" s="14" t="str">
        <f>IF(Tabla1[[#This Row],[ID]]="","",VLOOKUP(Tabla1[[#This Row],[ID]],Tabla7[],36,FALSE))</f>
        <v>Training</v>
      </c>
      <c r="H308" s="14" t="str">
        <f>IF(Tabla1[[#This Row],[ID]]="","",VLOOKUP(Tabla1[[#This Row],[ID]],Tabla7[],4,FALSE))</f>
        <v>Alkene</v>
      </c>
      <c r="I308" s="16">
        <f>IF(Tabla1[[#This Row],[ID]]="","",VLOOKUP(Tabla1[[#This Row],[ID]],Tabla1[],4,FALSE))</f>
        <v>-53.211076342539087</v>
      </c>
      <c r="J308" s="16">
        <f>Tabla1[[#This Row],[CN Literatura]]-Tabla1[[#This Row],[CN Predicted]]</f>
        <v>-11.706436795358599</v>
      </c>
    </row>
    <row r="309" spans="1:10" x14ac:dyDescent="0.25">
      <c r="A309" s="1">
        <f>Desgloce!A308</f>
        <v>229</v>
      </c>
      <c r="B309" s="14">
        <f>VLOOKUP(Tabla1[[#This Row],[No]],Tabla7[],7,FALSE)</f>
        <v>22</v>
      </c>
      <c r="C309" s="24">
        <v>17.366276745075201</v>
      </c>
      <c r="D309" s="15">
        <f>(B309-C309)/B309*100</f>
        <v>21.062378431476361</v>
      </c>
      <c r="E309" s="14">
        <f>IF(Tabla1[[#This Row],[% Error1]]&gt;$E$1,Tabla1[[#This Row],[No]],IF(Tabla1[[#This Row],[% Error1]]&lt;-$E$1,Tabla1[[#This Row],[No]],""))</f>
        <v>229</v>
      </c>
      <c r="F309" s="14" t="str">
        <f>IF(Tabla1[[#This Row],[ID]]="","",VLOOKUP(Tabla1[[#This Row],[ID]],Tabla7[],2,FALSE))</f>
        <v>C1=CC=CC2=CC=CC=C12</v>
      </c>
      <c r="G309" s="14" t="str">
        <f>IF(Tabla1[[#This Row],[ID]]="","",VLOOKUP(Tabla1[[#This Row],[ID]],Tabla7[],36,FALSE))</f>
        <v>Training</v>
      </c>
      <c r="H309" s="14" t="str">
        <f>IF(Tabla1[[#This Row],[ID]]="","",VLOOKUP(Tabla1[[#This Row],[ID]],Tabla7[],4,FALSE))</f>
        <v>Aromatic</v>
      </c>
      <c r="I309" s="24">
        <f>IF(Tabla1[[#This Row],[ID]]="","",VLOOKUP(Tabla1[[#This Row],[ID]],Tabla1[],4,FALSE))</f>
        <v>21.062378431476361</v>
      </c>
      <c r="J309" s="16">
        <f>Tabla1[[#This Row],[CN Literatura]]-Tabla1[[#This Row],[CN Predicted]]</f>
        <v>4.6337232549247993</v>
      </c>
    </row>
    <row r="310" spans="1:10" x14ac:dyDescent="0.25">
      <c r="A310" s="1">
        <f>Desgloce!A309</f>
        <v>232</v>
      </c>
      <c r="B310" s="14">
        <f>VLOOKUP(Tabla1[[#This Row],[No]],Tabla7[],7,FALSE)</f>
        <v>22.7</v>
      </c>
      <c r="C310" s="24">
        <v>27.671243528116801</v>
      </c>
      <c r="D310" s="15">
        <f>(B310-C310)/B310*100</f>
        <v>-21.899751225184147</v>
      </c>
      <c r="E310" s="14">
        <f>IF(Tabla1[[#This Row],[% Error1]]&gt;$E$1,Tabla1[[#This Row],[No]],IF(Tabla1[[#This Row],[% Error1]]&lt;-$E$1,Tabla1[[#This Row],[No]],""))</f>
        <v>232</v>
      </c>
      <c r="F310" s="14" t="str">
        <f>IF(Tabla1[[#This Row],[ID]]="","",VLOOKUP(Tabla1[[#This Row],[ID]],Tabla7[],2,FALSE))</f>
        <v>CC/C=C\C/C=C\C/C=C\CCCCCCCC(=O)OC</v>
      </c>
      <c r="G310" s="14" t="str">
        <f>IF(Tabla1[[#This Row],[ID]]="","",VLOOKUP(Tabla1[[#This Row],[ID]],Tabla7[],36,FALSE))</f>
        <v>Training</v>
      </c>
      <c r="H310" s="14" t="str">
        <f>IF(Tabla1[[#This Row],[ID]]="","",VLOOKUP(Tabla1[[#This Row],[ID]],Tabla7[],4,FALSE))</f>
        <v>Ester</v>
      </c>
      <c r="I310" s="16">
        <f>IF(Tabla1[[#This Row],[ID]]="","",VLOOKUP(Tabla1[[#This Row],[ID]],Tabla1[],4,FALSE))</f>
        <v>-21.899751225184147</v>
      </c>
      <c r="J310" s="16">
        <f>Tabla1[[#This Row],[CN Literatura]]-Tabla1[[#This Row],[CN Predicted]]</f>
        <v>-4.9712435281168013</v>
      </c>
    </row>
    <row r="311" spans="1:10" x14ac:dyDescent="0.25">
      <c r="A311" s="1">
        <f>Desgloce!A310</f>
        <v>234</v>
      </c>
      <c r="B311" s="14">
        <f>VLOOKUP(Tabla1[[#This Row],[No]],Tabla7[],7,FALSE)</f>
        <v>23</v>
      </c>
      <c r="C311" s="24">
        <v>27.4549911376963</v>
      </c>
      <c r="D311" s="15">
        <f>(B311-C311)/B311*100</f>
        <v>-19.369526685636089</v>
      </c>
      <c r="E311" s="14">
        <f>IF(Tabla1[[#This Row],[% Error1]]&gt;$E$1,Tabla1[[#This Row],[No]],IF(Tabla1[[#This Row],[% Error1]]&lt;-$E$1,Tabla1[[#This Row],[No]],""))</f>
        <v>234</v>
      </c>
      <c r="F311" s="14" t="str">
        <f>IF(Tabla1[[#This Row],[ID]]="","",VLOOKUP(Tabla1[[#This Row],[ID]],Tabla7[],2,FALSE))</f>
        <v>CCCCC(CC)CO</v>
      </c>
      <c r="G311" s="14" t="str">
        <f>IF(Tabla1[[#This Row],[ID]]="","",VLOOKUP(Tabla1[[#This Row],[ID]],Tabla7[],36,FALSE))</f>
        <v>Training</v>
      </c>
      <c r="H311" s="14" t="str">
        <f>IF(Tabla1[[#This Row],[ID]]="","",VLOOKUP(Tabla1[[#This Row],[ID]],Tabla7[],4,FALSE))</f>
        <v>Alcohol</v>
      </c>
      <c r="I311" s="16">
        <f>IF(Tabla1[[#This Row],[ID]]="","",VLOOKUP(Tabla1[[#This Row],[ID]],Tabla1[],4,FALSE))</f>
        <v>-19.369526685636089</v>
      </c>
      <c r="J311" s="16">
        <f>Tabla1[[#This Row],[CN Literatura]]-Tabla1[[#This Row],[CN Predicted]]</f>
        <v>-4.4549911376963003</v>
      </c>
    </row>
    <row r="312" spans="1:10" x14ac:dyDescent="0.25">
      <c r="A312" s="1">
        <f>Desgloce!A311</f>
        <v>235</v>
      </c>
      <c r="B312" s="14">
        <f>VLOOKUP(Tabla1[[#This Row],[No]],Tabla7[],7,FALSE)</f>
        <v>23</v>
      </c>
      <c r="C312" s="24">
        <v>24.886786588859199</v>
      </c>
      <c r="D312" s="15">
        <f>(B312-C312)/B312*100</f>
        <v>-8.2034199515617328</v>
      </c>
      <c r="E312" s="14" t="str">
        <f>IF(Tabla1[[#This Row],[% Error1]]&gt;$E$1,Tabla1[[#This Row],[No]],IF(Tabla1[[#This Row],[% Error1]]&lt;-$E$1,Tabla1[[#This Row],[No]],""))</f>
        <v/>
      </c>
      <c r="F312" s="14" t="str">
        <f>IF(Tabla1[[#This Row],[ID]]="","",VLOOKUP(Tabla1[[#This Row],[ID]],Tabla7[],2,FALSE))</f>
        <v/>
      </c>
      <c r="G312" s="14" t="str">
        <f>IF(Tabla1[[#This Row],[ID]]="","",VLOOKUP(Tabla1[[#This Row],[ID]],Tabla7[],36,FALSE))</f>
        <v/>
      </c>
      <c r="H312" s="14" t="str">
        <f>IF(Tabla1[[#This Row],[ID]]="","",VLOOKUP(Tabla1[[#This Row],[ID]],Tabla7[],4,FALSE))</f>
        <v/>
      </c>
      <c r="I312" s="16" t="str">
        <f>IF(Tabla1[[#This Row],[ID]]="","",VLOOKUP(Tabla1[[#This Row],[ID]],Tabla1[],4,FALSE))</f>
        <v/>
      </c>
      <c r="J312" s="16">
        <f>Tabla1[[#This Row],[CN Literatura]]-Tabla1[[#This Row],[CN Predicted]]</f>
        <v>-1.8867865888591986</v>
      </c>
    </row>
    <row r="313" spans="1:10" x14ac:dyDescent="0.25">
      <c r="A313" s="1">
        <f>Desgloce!A312</f>
        <v>237</v>
      </c>
      <c r="B313" s="14">
        <f>VLOOKUP(Tabla1[[#This Row],[No]],Tabla7[],7,FALSE)</f>
        <v>23</v>
      </c>
      <c r="C313" s="24">
        <v>16.227016498180198</v>
      </c>
      <c r="D313" s="15">
        <f>(B313-C313)/B313*100</f>
        <v>29.447754355738269</v>
      </c>
      <c r="E313" s="14">
        <f>IF(Tabla1[[#This Row],[% Error1]]&gt;$E$1,Tabla1[[#This Row],[No]],IF(Tabla1[[#This Row],[% Error1]]&lt;-$E$1,Tabla1[[#This Row],[No]],""))</f>
        <v>237</v>
      </c>
      <c r="F313" s="14" t="str">
        <f>IF(Tabla1[[#This Row],[ID]]="","",VLOOKUP(Tabla1[[#This Row],[ID]],Tabla7[],2,FALSE))</f>
        <v>CCCCCCCC/C=C(\C)/c1ccccc1</v>
      </c>
      <c r="G313" s="14" t="str">
        <f>IF(Tabla1[[#This Row],[ID]]="","",VLOOKUP(Tabla1[[#This Row],[ID]],Tabla7[],36,FALSE))</f>
        <v>Training</v>
      </c>
      <c r="H313" s="14" t="str">
        <f>IF(Tabla1[[#This Row],[ID]]="","",VLOOKUP(Tabla1[[#This Row],[ID]],Tabla7[],4,FALSE))</f>
        <v>Aromatic</v>
      </c>
      <c r="I313" s="24">
        <f>IF(Tabla1[[#This Row],[ID]]="","",VLOOKUP(Tabla1[[#This Row],[ID]],Tabla1[],4,FALSE))</f>
        <v>29.447754355738269</v>
      </c>
      <c r="J313" s="16">
        <f>Tabla1[[#This Row],[CN Literatura]]-Tabla1[[#This Row],[CN Predicted]]</f>
        <v>6.7729835018198017</v>
      </c>
    </row>
    <row r="314" spans="1:10" x14ac:dyDescent="0.25">
      <c r="A314" s="1">
        <f>Desgloce!A313</f>
        <v>239</v>
      </c>
      <c r="B314" s="14">
        <f>VLOOKUP(Tabla1[[#This Row],[No]],Tabla7[],7,FALSE)</f>
        <v>23</v>
      </c>
      <c r="C314" s="24">
        <v>22.979932914043101</v>
      </c>
      <c r="D314" s="15">
        <f>(B314-C314)/B314*100</f>
        <v>8.7248199812606231E-2</v>
      </c>
      <c r="E314" s="14" t="str">
        <f>IF(Tabla1[[#This Row],[% Error1]]&gt;$E$1,Tabla1[[#This Row],[No]],IF(Tabla1[[#This Row],[% Error1]]&lt;-$E$1,Tabla1[[#This Row],[No]],""))</f>
        <v/>
      </c>
      <c r="F314" s="14" t="str">
        <f>IF(Tabla1[[#This Row],[ID]]="","",VLOOKUP(Tabla1[[#This Row],[ID]],Tabla7[],2,FALSE))</f>
        <v/>
      </c>
      <c r="G314" s="14" t="str">
        <f>IF(Tabla1[[#This Row],[ID]]="","",VLOOKUP(Tabla1[[#This Row],[ID]],Tabla7[],36,FALSE))</f>
        <v/>
      </c>
      <c r="H314" s="14" t="str">
        <f>IF(Tabla1[[#This Row],[ID]]="","",VLOOKUP(Tabla1[[#This Row],[ID]],Tabla7[],4,FALSE))</f>
        <v/>
      </c>
      <c r="I314" s="16" t="str">
        <f>IF(Tabla1[[#This Row],[ID]]="","",VLOOKUP(Tabla1[[#This Row],[ID]],Tabla1[],4,FALSE))</f>
        <v/>
      </c>
      <c r="J314" s="16">
        <f>Tabla1[[#This Row],[CN Literatura]]-Tabla1[[#This Row],[CN Predicted]]</f>
        <v>2.0067085956899433E-2</v>
      </c>
    </row>
    <row r="315" spans="1:10" x14ac:dyDescent="0.25">
      <c r="A315" s="1">
        <f>Desgloce!A314</f>
        <v>240</v>
      </c>
      <c r="B315" s="14">
        <f>VLOOKUP(Tabla1[[#This Row],[No]],Tabla7[],7,FALSE)</f>
        <v>23.3</v>
      </c>
      <c r="C315" s="24">
        <v>24.0663092716633</v>
      </c>
      <c r="D315" s="15">
        <f>(B315-C315)/B315*100</f>
        <v>-3.2888809942630881</v>
      </c>
      <c r="E315" s="14" t="str">
        <f>IF(Tabla1[[#This Row],[% Error1]]&gt;$E$1,Tabla1[[#This Row],[No]],IF(Tabla1[[#This Row],[% Error1]]&lt;-$E$1,Tabla1[[#This Row],[No]],""))</f>
        <v/>
      </c>
      <c r="F315" s="14" t="str">
        <f>IF(Tabla1[[#This Row],[ID]]="","",VLOOKUP(Tabla1[[#This Row],[ID]],Tabla7[],2,FALSE))</f>
        <v/>
      </c>
      <c r="G315" s="14" t="str">
        <f>IF(Tabla1[[#This Row],[ID]]="","",VLOOKUP(Tabla1[[#This Row],[ID]],Tabla7[],36,FALSE))</f>
        <v/>
      </c>
      <c r="H315" s="14" t="str">
        <f>IF(Tabla1[[#This Row],[ID]]="","",VLOOKUP(Tabla1[[#This Row],[ID]],Tabla7[],4,FALSE))</f>
        <v/>
      </c>
      <c r="I315" s="16" t="str">
        <f>IF(Tabla1[[#This Row],[ID]]="","",VLOOKUP(Tabla1[[#This Row],[ID]],Tabla1[],4,FALSE))</f>
        <v/>
      </c>
      <c r="J315" s="16">
        <f>Tabla1[[#This Row],[CN Literatura]]-Tabla1[[#This Row],[CN Predicted]]</f>
        <v>-0.76630927166329954</v>
      </c>
    </row>
    <row r="316" spans="1:10" x14ac:dyDescent="0.25">
      <c r="A316" s="1">
        <f>Desgloce!A315</f>
        <v>248</v>
      </c>
      <c r="B316" s="14">
        <f>VLOOKUP(Tabla1[[#This Row],[No]],Tabla7[],7,FALSE)</f>
        <v>23.8</v>
      </c>
      <c r="C316" s="24">
        <v>30.3082129024639</v>
      </c>
      <c r="D316" s="15">
        <f>(B316-C316)/B316*100</f>
        <v>-27.345432363293693</v>
      </c>
      <c r="E316" s="14">
        <f>IF(Tabla1[[#This Row],[% Error1]]&gt;$E$1,Tabla1[[#This Row],[No]],IF(Tabla1[[#This Row],[% Error1]]&lt;-$E$1,Tabla1[[#This Row],[No]],""))</f>
        <v>248</v>
      </c>
      <c r="F316" s="14" t="str">
        <f>IF(Tabla1[[#This Row],[ID]]="","",VLOOKUP(Tabla1[[#This Row],[ID]],Tabla7[],2,FALSE))</f>
        <v>CC(C)=CCC</v>
      </c>
      <c r="G316" s="14" t="str">
        <f>IF(Tabla1[[#This Row],[ID]]="","",VLOOKUP(Tabla1[[#This Row],[ID]],Tabla7[],36,FALSE))</f>
        <v>Training</v>
      </c>
      <c r="H316" s="14" t="str">
        <f>IF(Tabla1[[#This Row],[ID]]="","",VLOOKUP(Tabla1[[#This Row],[ID]],Tabla7[],4,FALSE))</f>
        <v>Alkene</v>
      </c>
      <c r="I316" s="16">
        <f>IF(Tabla1[[#This Row],[ID]]="","",VLOOKUP(Tabla1[[#This Row],[ID]],Tabla1[],4,FALSE))</f>
        <v>-27.345432363293693</v>
      </c>
      <c r="J316" s="16">
        <f>Tabla1[[#This Row],[CN Literatura]]-Tabla1[[#This Row],[CN Predicted]]</f>
        <v>-6.5082129024638995</v>
      </c>
    </row>
    <row r="317" spans="1:10" x14ac:dyDescent="0.25">
      <c r="A317" s="1">
        <f>Desgloce!A316</f>
        <v>249</v>
      </c>
      <c r="B317" s="14">
        <f>VLOOKUP(Tabla1[[#This Row],[No]],Tabla7[],7,FALSE)</f>
        <v>23.9</v>
      </c>
      <c r="C317" s="24">
        <v>25.488792102322801</v>
      </c>
      <c r="D317" s="15">
        <f>(B317-C317)/B317*100</f>
        <v>-6.6476657000954082</v>
      </c>
      <c r="E317" s="14" t="str">
        <f>IF(Tabla1[[#This Row],[% Error1]]&gt;$E$1,Tabla1[[#This Row],[No]],IF(Tabla1[[#This Row],[% Error1]]&lt;-$E$1,Tabla1[[#This Row],[No]],""))</f>
        <v/>
      </c>
      <c r="F317" s="14" t="str">
        <f>IF(Tabla1[[#This Row],[ID]]="","",VLOOKUP(Tabla1[[#This Row],[ID]],Tabla7[],2,FALSE))</f>
        <v/>
      </c>
      <c r="G317" s="14" t="str">
        <f>IF(Tabla1[[#This Row],[ID]]="","",VLOOKUP(Tabla1[[#This Row],[ID]],Tabla7[],36,FALSE))</f>
        <v/>
      </c>
      <c r="H317" s="14" t="str">
        <f>IF(Tabla1[[#This Row],[ID]]="","",VLOOKUP(Tabla1[[#This Row],[ID]],Tabla7[],4,FALSE))</f>
        <v/>
      </c>
      <c r="I317" s="16" t="str">
        <f>IF(Tabla1[[#This Row],[ID]]="","",VLOOKUP(Tabla1[[#This Row],[ID]],Tabla1[],4,FALSE))</f>
        <v/>
      </c>
      <c r="J317" s="16">
        <f>Tabla1[[#This Row],[CN Literatura]]-Tabla1[[#This Row],[CN Predicted]]</f>
        <v>-1.5887921023228024</v>
      </c>
    </row>
    <row r="318" spans="1:10" x14ac:dyDescent="0.25">
      <c r="A318" s="1">
        <f>Desgloce!A317</f>
        <v>250</v>
      </c>
      <c r="B318" s="14">
        <f>VLOOKUP(Tabla1[[#This Row],[No]],Tabla7[],7,FALSE)</f>
        <v>24</v>
      </c>
      <c r="C318" s="24">
        <v>19.515916087792899</v>
      </c>
      <c r="D318" s="15">
        <f>(B318-C318)/B318*100</f>
        <v>18.683682967529588</v>
      </c>
      <c r="E318" s="14">
        <f>IF(Tabla1[[#This Row],[% Error1]]&gt;$E$1,Tabla1[[#This Row],[No]],IF(Tabla1[[#This Row],[% Error1]]&lt;-$E$1,Tabla1[[#This Row],[No]],""))</f>
        <v>250</v>
      </c>
      <c r="F318" s="14" t="str">
        <f>IF(Tabla1[[#This Row],[ID]]="","",VLOOKUP(Tabla1[[#This Row],[ID]],Tabla7[],2,FALSE))</f>
        <v>OCC=C(C)CCC=C(C)CCC=C(C)C</v>
      </c>
      <c r="G318" s="14" t="str">
        <f>IF(Tabla1[[#This Row],[ID]]="","",VLOOKUP(Tabla1[[#This Row],[ID]],Tabla7[],36,FALSE))</f>
        <v>Training</v>
      </c>
      <c r="H318" s="14" t="str">
        <f>IF(Tabla1[[#This Row],[ID]]="","",VLOOKUP(Tabla1[[#This Row],[ID]],Tabla7[],4,FALSE))</f>
        <v>Alcohol</v>
      </c>
      <c r="I318" s="16">
        <f>IF(Tabla1[[#This Row],[ID]]="","",VLOOKUP(Tabla1[[#This Row],[ID]],Tabla1[],4,FALSE))</f>
        <v>18.683682967529588</v>
      </c>
      <c r="J318" s="16">
        <f>Tabla1[[#This Row],[CN Literatura]]-Tabla1[[#This Row],[CN Predicted]]</f>
        <v>4.484083912207101</v>
      </c>
    </row>
    <row r="319" spans="1:10" x14ac:dyDescent="0.25">
      <c r="A319" s="1">
        <f>Desgloce!A318</f>
        <v>252</v>
      </c>
      <c r="B319" s="14">
        <f>VLOOKUP(Tabla1[[#This Row],[No]],Tabla7[],7,FALSE)</f>
        <v>24</v>
      </c>
      <c r="C319" s="24">
        <v>24.062569021538</v>
      </c>
      <c r="D319" s="15">
        <f>(B319-C319)/B319*100</f>
        <v>-0.26070425640833206</v>
      </c>
      <c r="E319" s="14" t="str">
        <f>IF(Tabla1[[#This Row],[% Error1]]&gt;$E$1,Tabla1[[#This Row],[No]],IF(Tabla1[[#This Row],[% Error1]]&lt;-$E$1,Tabla1[[#This Row],[No]],""))</f>
        <v/>
      </c>
      <c r="F319" s="14" t="str">
        <f>IF(Tabla1[[#This Row],[ID]]="","",VLOOKUP(Tabla1[[#This Row],[ID]],Tabla7[],2,FALSE))</f>
        <v/>
      </c>
      <c r="G319" s="14" t="str">
        <f>IF(Tabla1[[#This Row],[ID]]="","",VLOOKUP(Tabla1[[#This Row],[ID]],Tabla7[],36,FALSE))</f>
        <v/>
      </c>
      <c r="H319" s="14" t="str">
        <f>IF(Tabla1[[#This Row],[ID]]="","",VLOOKUP(Tabla1[[#This Row],[ID]],Tabla7[],4,FALSE))</f>
        <v/>
      </c>
      <c r="I319" s="16" t="str">
        <f>IF(Tabla1[[#This Row],[ID]]="","",VLOOKUP(Tabla1[[#This Row],[ID]],Tabla1[],4,FALSE))</f>
        <v/>
      </c>
      <c r="J319" s="16">
        <f>Tabla1[[#This Row],[CN Literatura]]-Tabla1[[#This Row],[CN Predicted]]</f>
        <v>-6.2569021537999703E-2</v>
      </c>
    </row>
    <row r="320" spans="1:10" x14ac:dyDescent="0.25">
      <c r="A320" s="1">
        <f>Desgloce!A319</f>
        <v>254</v>
      </c>
      <c r="B320" s="14">
        <f>VLOOKUP(Tabla1[[#This Row],[No]],Tabla7[],7,FALSE)</f>
        <v>24</v>
      </c>
      <c r="C320" s="24">
        <v>24.907794344711299</v>
      </c>
      <c r="D320" s="15">
        <f>(B320-C320)/B320*100</f>
        <v>-3.7824764362970775</v>
      </c>
      <c r="E320" s="14" t="str">
        <f>IF(Tabla1[[#This Row],[% Error1]]&gt;$E$1,Tabla1[[#This Row],[No]],IF(Tabla1[[#This Row],[% Error1]]&lt;-$E$1,Tabla1[[#This Row],[No]],""))</f>
        <v/>
      </c>
      <c r="F320" s="14" t="str">
        <f>IF(Tabla1[[#This Row],[ID]]="","",VLOOKUP(Tabla1[[#This Row],[ID]],Tabla7[],2,FALSE))</f>
        <v/>
      </c>
      <c r="G320" s="14" t="str">
        <f>IF(Tabla1[[#This Row],[ID]]="","",VLOOKUP(Tabla1[[#This Row],[ID]],Tabla7[],36,FALSE))</f>
        <v/>
      </c>
      <c r="H320" s="14" t="str">
        <f>IF(Tabla1[[#This Row],[ID]]="","",VLOOKUP(Tabla1[[#This Row],[ID]],Tabla7[],4,FALSE))</f>
        <v/>
      </c>
      <c r="I320" s="16" t="str">
        <f>IF(Tabla1[[#This Row],[ID]]="","",VLOOKUP(Tabla1[[#This Row],[ID]],Tabla1[],4,FALSE))</f>
        <v/>
      </c>
      <c r="J320" s="16">
        <f>Tabla1[[#This Row],[CN Literatura]]-Tabla1[[#This Row],[CN Predicted]]</f>
        <v>-0.90779434471129861</v>
      </c>
    </row>
    <row r="321" spans="1:10" x14ac:dyDescent="0.25">
      <c r="A321" s="1">
        <f>Desgloce!A320</f>
        <v>255</v>
      </c>
      <c r="B321" s="14">
        <f>VLOOKUP(Tabla1[[#This Row],[No]],Tabla7[],7,FALSE)</f>
        <v>24</v>
      </c>
      <c r="C321" s="24">
        <v>23.7989328505722</v>
      </c>
      <c r="D321" s="15">
        <f>(B321-C321)/B321*100</f>
        <v>0.83777978928250008</v>
      </c>
      <c r="E321" s="14" t="str">
        <f>IF(Tabla1[[#This Row],[% Error1]]&gt;$E$1,Tabla1[[#This Row],[No]],IF(Tabla1[[#This Row],[% Error1]]&lt;-$E$1,Tabla1[[#This Row],[No]],""))</f>
        <v/>
      </c>
      <c r="F321" s="14" t="str">
        <f>IF(Tabla1[[#This Row],[ID]]="","",VLOOKUP(Tabla1[[#This Row],[ID]],Tabla7[],2,FALSE))</f>
        <v/>
      </c>
      <c r="G321" s="14" t="str">
        <f>IF(Tabla1[[#This Row],[ID]]="","",VLOOKUP(Tabla1[[#This Row],[ID]],Tabla7[],36,FALSE))</f>
        <v/>
      </c>
      <c r="H321" s="14" t="str">
        <f>IF(Tabla1[[#This Row],[ID]]="","",VLOOKUP(Tabla1[[#This Row],[ID]],Tabla7[],4,FALSE))</f>
        <v/>
      </c>
      <c r="I321" s="16" t="str">
        <f>IF(Tabla1[[#This Row],[ID]]="","",VLOOKUP(Tabla1[[#This Row],[ID]],Tabla1[],4,FALSE))</f>
        <v/>
      </c>
      <c r="J321" s="16">
        <f>Tabla1[[#This Row],[CN Literatura]]-Tabla1[[#This Row],[CN Predicted]]</f>
        <v>0.20106714942780002</v>
      </c>
    </row>
    <row r="322" spans="1:10" x14ac:dyDescent="0.25">
      <c r="A322" s="1">
        <f>Desgloce!A321</f>
        <v>256</v>
      </c>
      <c r="B322" s="14">
        <f>VLOOKUP(Tabla1[[#This Row],[No]],Tabla7[],7,FALSE)</f>
        <v>24</v>
      </c>
      <c r="C322" s="24">
        <v>29.727326145399999</v>
      </c>
      <c r="D322" s="15">
        <f>(B322-C322)/B322*100</f>
        <v>-23.863858939166661</v>
      </c>
      <c r="E322" s="14">
        <f>IF(Tabla1[[#This Row],[% Error1]]&gt;$E$1,Tabla1[[#This Row],[No]],IF(Tabla1[[#This Row],[% Error1]]&lt;-$E$1,Tabla1[[#This Row],[No]],""))</f>
        <v>256</v>
      </c>
      <c r="F322" s="14" t="str">
        <f>IF(Tabla1[[#This Row],[ID]]="","",VLOOKUP(Tabla1[[#This Row],[ID]],Tabla7[],2,FALSE))</f>
        <v>CC1C(CCCC1)C</v>
      </c>
      <c r="G322" s="14" t="str">
        <f>IF(Tabla1[[#This Row],[ID]]="","",VLOOKUP(Tabla1[[#This Row],[ID]],Tabla7[],36,FALSE))</f>
        <v>Training</v>
      </c>
      <c r="H322" s="14" t="str">
        <f>IF(Tabla1[[#This Row],[ID]]="","",VLOOKUP(Tabla1[[#This Row],[ID]],Tabla7[],4,FALSE))</f>
        <v>cyclo-alkane</v>
      </c>
      <c r="I322" s="16">
        <f>IF(Tabla1[[#This Row],[ID]]="","",VLOOKUP(Tabla1[[#This Row],[ID]],Tabla1[],4,FALSE))</f>
        <v>-23.863858939166661</v>
      </c>
      <c r="J322" s="16">
        <f>Tabla1[[#This Row],[CN Literatura]]-Tabla1[[#This Row],[CN Predicted]]</f>
        <v>-5.7273261453999993</v>
      </c>
    </row>
    <row r="323" spans="1:10" x14ac:dyDescent="0.25">
      <c r="A323" s="1">
        <f>Desgloce!A322</f>
        <v>257</v>
      </c>
      <c r="B323" s="14">
        <f>VLOOKUP(Tabla1[[#This Row],[No]],Tabla7[],7,FALSE)</f>
        <v>24</v>
      </c>
      <c r="C323" s="24">
        <v>28.206082061943601</v>
      </c>
      <c r="D323" s="15">
        <f>(B323-C323)/B323*100</f>
        <v>-17.525341924765002</v>
      </c>
      <c r="E323" s="14">
        <f>IF(Tabla1[[#This Row],[% Error1]]&gt;$E$1,Tabla1[[#This Row],[No]],IF(Tabla1[[#This Row],[% Error1]]&lt;-$E$1,Tabla1[[#This Row],[No]],""))</f>
        <v>257</v>
      </c>
      <c r="F323" s="14" t="str">
        <f>IF(Tabla1[[#This Row],[ID]]="","",VLOOKUP(Tabla1[[#This Row],[ID]],Tabla7[],2,FALSE))</f>
        <v>C(CCCCCCCC(=O)OC)(=O)OC</v>
      </c>
      <c r="G323" s="14" t="str">
        <f>IF(Tabla1[[#This Row],[ID]]="","",VLOOKUP(Tabla1[[#This Row],[ID]],Tabla7[],36,FALSE))</f>
        <v>Training</v>
      </c>
      <c r="H323" s="14" t="str">
        <f>IF(Tabla1[[#This Row],[ID]]="","",VLOOKUP(Tabla1[[#This Row],[ID]],Tabla7[],4,FALSE))</f>
        <v>Ester of Dicarboxylic Acids</v>
      </c>
      <c r="I323" s="16">
        <f>IF(Tabla1[[#This Row],[ID]]="","",VLOOKUP(Tabla1[[#This Row],[ID]],Tabla1[],4,FALSE))</f>
        <v>-17.525341924765002</v>
      </c>
      <c r="J323" s="16">
        <f>Tabla1[[#This Row],[CN Literatura]]-Tabla1[[#This Row],[CN Predicted]]</f>
        <v>-4.2060820619436008</v>
      </c>
    </row>
    <row r="324" spans="1:10" x14ac:dyDescent="0.25">
      <c r="A324" s="1">
        <f>Desgloce!A323</f>
        <v>258</v>
      </c>
      <c r="B324" s="14">
        <f>VLOOKUP(Tabla1[[#This Row],[No]],Tabla7[],7,FALSE)</f>
        <v>24</v>
      </c>
      <c r="C324" s="24">
        <v>24.986251637195299</v>
      </c>
      <c r="D324" s="15">
        <f>(B324-C324)/B324*100</f>
        <v>-4.1093818216470765</v>
      </c>
      <c r="E324" s="14" t="str">
        <f>IF(Tabla1[[#This Row],[% Error1]]&gt;$E$1,Tabla1[[#This Row],[No]],IF(Tabla1[[#This Row],[% Error1]]&lt;-$E$1,Tabla1[[#This Row],[No]],""))</f>
        <v/>
      </c>
      <c r="F324" s="14" t="str">
        <f>IF(Tabla1[[#This Row],[ID]]="","",VLOOKUP(Tabla1[[#This Row],[ID]],Tabla7[],2,FALSE))</f>
        <v/>
      </c>
      <c r="G324" s="14" t="str">
        <f>IF(Tabla1[[#This Row],[ID]]="","",VLOOKUP(Tabla1[[#This Row],[ID]],Tabla7[],36,FALSE))</f>
        <v/>
      </c>
      <c r="H324" s="14" t="str">
        <f>IF(Tabla1[[#This Row],[ID]]="","",VLOOKUP(Tabla1[[#This Row],[ID]],Tabla7[],4,FALSE))</f>
        <v/>
      </c>
      <c r="I324" s="16" t="str">
        <f>IF(Tabla1[[#This Row],[ID]]="","",VLOOKUP(Tabla1[[#This Row],[ID]],Tabla1[],4,FALSE))</f>
        <v/>
      </c>
      <c r="J324" s="16">
        <f>Tabla1[[#This Row],[CN Literatura]]-Tabla1[[#This Row],[CN Predicted]]</f>
        <v>-0.98625163719529851</v>
      </c>
    </row>
    <row r="325" spans="1:10" x14ac:dyDescent="0.25">
      <c r="A325" s="1">
        <f>Desgloce!A324</f>
        <v>260</v>
      </c>
      <c r="B325" s="14">
        <f>VLOOKUP(Tabla1[[#This Row],[No]],Tabla7[],7,FALSE)</f>
        <v>24</v>
      </c>
      <c r="C325" s="24">
        <v>21.904961660618302</v>
      </c>
      <c r="D325" s="15">
        <f>(B325-C325)/B325*100</f>
        <v>8.7293264140904103</v>
      </c>
      <c r="E325" s="14" t="str">
        <f>IF(Tabla1[[#This Row],[% Error1]]&gt;$E$1,Tabla1[[#This Row],[No]],IF(Tabla1[[#This Row],[% Error1]]&lt;-$E$1,Tabla1[[#This Row],[No]],""))</f>
        <v/>
      </c>
      <c r="F325" s="14" t="str">
        <f>IF(Tabla1[[#This Row],[ID]]="","",VLOOKUP(Tabla1[[#This Row],[ID]],Tabla7[],2,FALSE))</f>
        <v/>
      </c>
      <c r="G325" s="14" t="str">
        <f>IF(Tabla1[[#This Row],[ID]]="","",VLOOKUP(Tabla1[[#This Row],[ID]],Tabla7[],36,FALSE))</f>
        <v/>
      </c>
      <c r="H325" s="14" t="str">
        <f>IF(Tabla1[[#This Row],[ID]]="","",VLOOKUP(Tabla1[[#This Row],[ID]],Tabla7[],4,FALSE))</f>
        <v/>
      </c>
      <c r="I325" s="16" t="str">
        <f>IF(Tabla1[[#This Row],[ID]]="","",VLOOKUP(Tabla1[[#This Row],[ID]],Tabla1[],4,FALSE))</f>
        <v/>
      </c>
      <c r="J325" s="16">
        <f>Tabla1[[#This Row],[CN Literatura]]-Tabla1[[#This Row],[CN Predicted]]</f>
        <v>2.0950383393816985</v>
      </c>
    </row>
    <row r="326" spans="1:10" x14ac:dyDescent="0.25">
      <c r="A326" s="1">
        <f>Desgloce!A325</f>
        <v>262</v>
      </c>
      <c r="B326" s="14">
        <f>VLOOKUP(Tabla1[[#This Row],[No]],Tabla7[],7,FALSE)</f>
        <v>24</v>
      </c>
      <c r="C326" s="24">
        <v>18.5567615225814</v>
      </c>
      <c r="D326" s="15">
        <f>(B326-C326)/B326*100</f>
        <v>22.6801603225775</v>
      </c>
      <c r="E326" s="14">
        <f>IF(Tabla1[[#This Row],[% Error1]]&gt;$E$1,Tabla1[[#This Row],[No]],IF(Tabla1[[#This Row],[% Error1]]&lt;-$E$1,Tabla1[[#This Row],[No]],""))</f>
        <v>262</v>
      </c>
      <c r="F326" s="14" t="str">
        <f>IF(Tabla1[[#This Row],[ID]]="","",VLOOKUP(Tabla1[[#This Row],[ID]],Tabla7[],2,FALSE))</f>
        <v>CCC(C)(C)C</v>
      </c>
      <c r="G326" s="14" t="str">
        <f>IF(Tabla1[[#This Row],[ID]]="","",VLOOKUP(Tabla1[[#This Row],[ID]],Tabla7[],36,FALSE))</f>
        <v>Training</v>
      </c>
      <c r="H326" s="14" t="str">
        <f>IF(Tabla1[[#This Row],[ID]]="","",VLOOKUP(Tabla1[[#This Row],[ID]],Tabla7[],4,FALSE))</f>
        <v>iso-alkane</v>
      </c>
      <c r="I326" s="16">
        <f>IF(Tabla1[[#This Row],[ID]]="","",VLOOKUP(Tabla1[[#This Row],[ID]],Tabla1[],4,FALSE))</f>
        <v>22.6801603225775</v>
      </c>
      <c r="J326" s="16">
        <f>Tabla1[[#This Row],[CN Literatura]]-Tabla1[[#This Row],[CN Predicted]]</f>
        <v>5.4432384774185998</v>
      </c>
    </row>
    <row r="327" spans="1:10" x14ac:dyDescent="0.25">
      <c r="A327" s="1">
        <f>Desgloce!A326</f>
        <v>263</v>
      </c>
      <c r="B327" s="14">
        <f>VLOOKUP(Tabla1[[#This Row],[No]],Tabla7[],7,FALSE)</f>
        <v>24</v>
      </c>
      <c r="C327" s="24">
        <v>21.904961660618302</v>
      </c>
      <c r="D327" s="15">
        <f>(B327-C327)/B327*100</f>
        <v>8.7293264140904103</v>
      </c>
      <c r="E327" s="14" t="str">
        <f>IF(Tabla1[[#This Row],[% Error1]]&gt;$E$1,Tabla1[[#This Row],[No]],IF(Tabla1[[#This Row],[% Error1]]&lt;-$E$1,Tabla1[[#This Row],[No]],""))</f>
        <v/>
      </c>
      <c r="F327" s="14" t="str">
        <f>IF(Tabla1[[#This Row],[ID]]="","",VLOOKUP(Tabla1[[#This Row],[ID]],Tabla7[],2,FALSE))</f>
        <v/>
      </c>
      <c r="G327" s="14" t="str">
        <f>IF(Tabla1[[#This Row],[ID]]="","",VLOOKUP(Tabla1[[#This Row],[ID]],Tabla7[],36,FALSE))</f>
        <v/>
      </c>
      <c r="H327" s="14" t="str">
        <f>IF(Tabla1[[#This Row],[ID]]="","",VLOOKUP(Tabla1[[#This Row],[ID]],Tabla7[],4,FALSE))</f>
        <v/>
      </c>
      <c r="I327" s="16" t="str">
        <f>IF(Tabla1[[#This Row],[ID]]="","",VLOOKUP(Tabla1[[#This Row],[ID]],Tabla1[],4,FALSE))</f>
        <v/>
      </c>
      <c r="J327" s="16">
        <f>Tabla1[[#This Row],[CN Literatura]]-Tabla1[[#This Row],[CN Predicted]]</f>
        <v>2.0950383393816985</v>
      </c>
    </row>
    <row r="328" spans="1:10" x14ac:dyDescent="0.25">
      <c r="A328" s="1">
        <f>Desgloce!A327</f>
        <v>264</v>
      </c>
      <c r="B328" s="14">
        <f>VLOOKUP(Tabla1[[#This Row],[No]],Tabla7[],7,FALSE)</f>
        <v>24</v>
      </c>
      <c r="C328" s="24">
        <v>24.986251637195299</v>
      </c>
      <c r="D328" s="15">
        <f>(B328-C328)/B328*100</f>
        <v>-4.1093818216470765</v>
      </c>
      <c r="E328" s="14" t="str">
        <f>IF(Tabla1[[#This Row],[% Error1]]&gt;$E$1,Tabla1[[#This Row],[No]],IF(Tabla1[[#This Row],[% Error1]]&lt;-$E$1,Tabla1[[#This Row],[No]],""))</f>
        <v/>
      </c>
      <c r="F328" s="14" t="str">
        <f>IF(Tabla1[[#This Row],[ID]]="","",VLOOKUP(Tabla1[[#This Row],[ID]],Tabla7[],2,FALSE))</f>
        <v/>
      </c>
      <c r="G328" s="14" t="str">
        <f>IF(Tabla1[[#This Row],[ID]]="","",VLOOKUP(Tabla1[[#This Row],[ID]],Tabla7[],36,FALSE))</f>
        <v/>
      </c>
      <c r="H328" s="14" t="str">
        <f>IF(Tabla1[[#This Row],[ID]]="","",VLOOKUP(Tabla1[[#This Row],[ID]],Tabla7[],4,FALSE))</f>
        <v/>
      </c>
      <c r="I328" s="16" t="str">
        <f>IF(Tabla1[[#This Row],[ID]]="","",VLOOKUP(Tabla1[[#This Row],[ID]],Tabla1[],4,FALSE))</f>
        <v/>
      </c>
      <c r="J328" s="16">
        <f>Tabla1[[#This Row],[CN Literatura]]-Tabla1[[#This Row],[CN Predicted]]</f>
        <v>-0.98625163719529851</v>
      </c>
    </row>
    <row r="329" spans="1:10" x14ac:dyDescent="0.25">
      <c r="A329" s="1">
        <f>Desgloce!A328</f>
        <v>266</v>
      </c>
      <c r="B329" s="14">
        <f>VLOOKUP(Tabla1[[#This Row],[No]],Tabla7[],7,FALSE)</f>
        <v>24.4</v>
      </c>
      <c r="C329" s="24">
        <v>28.221114949795499</v>
      </c>
      <c r="D329" s="15">
        <f>(B329-C329)/B329*100</f>
        <v>-15.660307171293036</v>
      </c>
      <c r="E329" s="14">
        <f>IF(Tabla1[[#This Row],[% Error1]]&gt;$E$1,Tabla1[[#This Row],[No]],IF(Tabla1[[#This Row],[% Error1]]&lt;-$E$1,Tabla1[[#This Row],[No]],""))</f>
        <v>266</v>
      </c>
      <c r="F329" s="14" t="str">
        <f>IF(Tabla1[[#This Row],[ID]]="","",VLOOKUP(Tabla1[[#This Row],[ID]],Tabla7[],2,FALSE))</f>
        <v>CC1CCC(C(C1)C)C</v>
      </c>
      <c r="G329" s="14" t="str">
        <f>IF(Tabla1[[#This Row],[ID]]="","",VLOOKUP(Tabla1[[#This Row],[ID]],Tabla7[],36,FALSE))</f>
        <v>Training</v>
      </c>
      <c r="H329" s="14" t="str">
        <f>IF(Tabla1[[#This Row],[ID]]="","",VLOOKUP(Tabla1[[#This Row],[ID]],Tabla7[],4,FALSE))</f>
        <v>cyclo-alkane</v>
      </c>
      <c r="I329" s="16">
        <f>IF(Tabla1[[#This Row],[ID]]="","",VLOOKUP(Tabla1[[#This Row],[ID]],Tabla1[],4,FALSE))</f>
        <v>-15.660307171293036</v>
      </c>
      <c r="J329" s="16">
        <f>Tabla1[[#This Row],[CN Literatura]]-Tabla1[[#This Row],[CN Predicted]]</f>
        <v>-3.8211149497955006</v>
      </c>
    </row>
    <row r="330" spans="1:10" x14ac:dyDescent="0.25">
      <c r="A330" s="1">
        <f>Desgloce!A329</f>
        <v>267</v>
      </c>
      <c r="B330" s="14">
        <f>VLOOKUP(Tabla1[[#This Row],[No]],Tabla7[],7,FALSE)</f>
        <v>24.4</v>
      </c>
      <c r="C330" s="24">
        <v>27.889702681947401</v>
      </c>
      <c r="D330" s="15">
        <f>(B330-C330)/B330*100</f>
        <v>-14.302060171915587</v>
      </c>
      <c r="E330" s="14">
        <f>IF(Tabla1[[#This Row],[% Error1]]&gt;$E$1,Tabla1[[#This Row],[No]],IF(Tabla1[[#This Row],[% Error1]]&lt;-$E$1,Tabla1[[#This Row],[No]],""))</f>
        <v>267</v>
      </c>
      <c r="F330" s="14" t="str">
        <f>IF(Tabla1[[#This Row],[ID]]="","",VLOOKUP(Tabla1[[#This Row],[ID]],Tabla7[],2,FALSE))</f>
        <v>CCC=CCC=CCC=CCC=CCC=CCC=CCCC(=O)OC</v>
      </c>
      <c r="G330" s="14" t="str">
        <f>IF(Tabla1[[#This Row],[ID]]="","",VLOOKUP(Tabla1[[#This Row],[ID]],Tabla7[],36,FALSE))</f>
        <v>Training</v>
      </c>
      <c r="H330" s="14" t="str">
        <f>IF(Tabla1[[#This Row],[ID]]="","",VLOOKUP(Tabla1[[#This Row],[ID]],Tabla7[],4,FALSE))</f>
        <v>Polyfunctional</v>
      </c>
      <c r="I330" s="16">
        <f>IF(Tabla1[[#This Row],[ID]]="","",VLOOKUP(Tabla1[[#This Row],[ID]],Tabla1[],4,FALSE))</f>
        <v>-14.302060171915587</v>
      </c>
      <c r="J330" s="16">
        <f>Tabla1[[#This Row],[CN Literatura]]-Tabla1[[#This Row],[CN Predicted]]</f>
        <v>-3.4897026819474029</v>
      </c>
    </row>
    <row r="331" spans="1:10" x14ac:dyDescent="0.25">
      <c r="A331" s="1">
        <f>Desgloce!A330</f>
        <v>269</v>
      </c>
      <c r="B331" s="14">
        <f>VLOOKUP(Tabla1[[#This Row],[No]],Tabla7[],7,FALSE)</f>
        <v>25.1</v>
      </c>
      <c r="C331" s="24">
        <v>26.663986427510402</v>
      </c>
      <c r="D331" s="15">
        <f>(B331-C331)/B331*100</f>
        <v>-6.2310216235474112</v>
      </c>
      <c r="E331" s="14" t="str">
        <f>IF(Tabla1[[#This Row],[% Error1]]&gt;$E$1,Tabla1[[#This Row],[No]],IF(Tabla1[[#This Row],[% Error1]]&lt;-$E$1,Tabla1[[#This Row],[No]],""))</f>
        <v/>
      </c>
      <c r="F331" s="14" t="str">
        <f>IF(Tabla1[[#This Row],[ID]]="","",VLOOKUP(Tabla1[[#This Row],[ID]],Tabla7[],2,FALSE))</f>
        <v/>
      </c>
      <c r="G331" s="14" t="str">
        <f>IF(Tabla1[[#This Row],[ID]]="","",VLOOKUP(Tabla1[[#This Row],[ID]],Tabla7[],36,FALSE))</f>
        <v/>
      </c>
      <c r="H331" s="14" t="str">
        <f>IF(Tabla1[[#This Row],[ID]]="","",VLOOKUP(Tabla1[[#This Row],[ID]],Tabla7[],4,FALSE))</f>
        <v/>
      </c>
      <c r="I331" s="16" t="str">
        <f>IF(Tabla1[[#This Row],[ID]]="","",VLOOKUP(Tabla1[[#This Row],[ID]],Tabla1[],4,FALSE))</f>
        <v/>
      </c>
      <c r="J331" s="16">
        <f>Tabla1[[#This Row],[CN Literatura]]-Tabla1[[#This Row],[CN Predicted]]</f>
        <v>-1.5639864275104003</v>
      </c>
    </row>
    <row r="332" spans="1:10" x14ac:dyDescent="0.25">
      <c r="A332" s="1">
        <f>Desgloce!A331</f>
        <v>270</v>
      </c>
      <c r="B332" s="14">
        <f>VLOOKUP(Tabla1[[#This Row],[No]],Tabla7[],7,FALSE)</f>
        <v>25.1</v>
      </c>
      <c r="C332" s="24">
        <v>26.663986427510402</v>
      </c>
      <c r="D332" s="15">
        <f>(B332-C332)/B332*100</f>
        <v>-6.2310216235474112</v>
      </c>
      <c r="E332" s="14" t="str">
        <f>IF(Tabla1[[#This Row],[% Error1]]&gt;$E$1,Tabla1[[#This Row],[No]],IF(Tabla1[[#This Row],[% Error1]]&lt;-$E$1,Tabla1[[#This Row],[No]],""))</f>
        <v/>
      </c>
      <c r="F332" s="14" t="str">
        <f>IF(Tabla1[[#This Row],[ID]]="","",VLOOKUP(Tabla1[[#This Row],[ID]],Tabla7[],2,FALSE))</f>
        <v/>
      </c>
      <c r="G332" s="14" t="str">
        <f>IF(Tabla1[[#This Row],[ID]]="","",VLOOKUP(Tabla1[[#This Row],[ID]],Tabla7[],36,FALSE))</f>
        <v/>
      </c>
      <c r="H332" s="14" t="str">
        <f>IF(Tabla1[[#This Row],[ID]]="","",VLOOKUP(Tabla1[[#This Row],[ID]],Tabla7[],4,FALSE))</f>
        <v/>
      </c>
      <c r="I332" s="16" t="str">
        <f>IF(Tabla1[[#This Row],[ID]]="","",VLOOKUP(Tabla1[[#This Row],[ID]],Tabla1[],4,FALSE))</f>
        <v/>
      </c>
      <c r="J332" s="16">
        <f>Tabla1[[#This Row],[CN Literatura]]-Tabla1[[#This Row],[CN Predicted]]</f>
        <v>-1.5639864275104003</v>
      </c>
    </row>
    <row r="333" spans="1:10" x14ac:dyDescent="0.25">
      <c r="A333" s="1">
        <f>Desgloce!A332</f>
        <v>272</v>
      </c>
      <c r="B333" s="14">
        <f>VLOOKUP(Tabla1[[#This Row],[No]],Tabla7[],7,FALSE)</f>
        <v>25.3</v>
      </c>
      <c r="C333" s="24">
        <v>26.771529783365001</v>
      </c>
      <c r="D333" s="15">
        <f>(B333-C333)/B333*100</f>
        <v>-5.8163232544071137</v>
      </c>
      <c r="E333" s="14" t="str">
        <f>IF(Tabla1[[#This Row],[% Error1]]&gt;$E$1,Tabla1[[#This Row],[No]],IF(Tabla1[[#This Row],[% Error1]]&lt;-$E$1,Tabla1[[#This Row],[No]],""))</f>
        <v/>
      </c>
      <c r="F333" s="14" t="str">
        <f>IF(Tabla1[[#This Row],[ID]]="","",VLOOKUP(Tabla1[[#This Row],[ID]],Tabla7[],2,FALSE))</f>
        <v/>
      </c>
      <c r="G333" s="14" t="str">
        <f>IF(Tabla1[[#This Row],[ID]]="","",VLOOKUP(Tabla1[[#This Row],[ID]],Tabla7[],36,FALSE))</f>
        <v/>
      </c>
      <c r="H333" s="14" t="str">
        <f>IF(Tabla1[[#This Row],[ID]]="","",VLOOKUP(Tabla1[[#This Row],[ID]],Tabla7[],4,FALSE))</f>
        <v/>
      </c>
      <c r="I333" s="16" t="str">
        <f>IF(Tabla1[[#This Row],[ID]]="","",VLOOKUP(Tabla1[[#This Row],[ID]],Tabla1[],4,FALSE))</f>
        <v/>
      </c>
      <c r="J333" s="16">
        <f>Tabla1[[#This Row],[CN Literatura]]-Tabla1[[#This Row],[CN Predicted]]</f>
        <v>-1.4715297833649998</v>
      </c>
    </row>
    <row r="334" spans="1:10" x14ac:dyDescent="0.25">
      <c r="A334" s="1">
        <f>Desgloce!A333</f>
        <v>273</v>
      </c>
      <c r="B334" s="14">
        <f>VLOOKUP(Tabla1[[#This Row],[No]],Tabla7[],7,FALSE)</f>
        <v>25.6</v>
      </c>
      <c r="C334" s="24">
        <v>26.9613878623604</v>
      </c>
      <c r="D334" s="15">
        <f>(B334-C334)/B334*100</f>
        <v>-5.3179213373453074</v>
      </c>
      <c r="E334" s="14" t="str">
        <f>IF(Tabla1[[#This Row],[% Error1]]&gt;$E$1,Tabla1[[#This Row],[No]],IF(Tabla1[[#This Row],[% Error1]]&lt;-$E$1,Tabla1[[#This Row],[No]],""))</f>
        <v/>
      </c>
      <c r="F334" s="14" t="str">
        <f>IF(Tabla1[[#This Row],[ID]]="","",VLOOKUP(Tabla1[[#This Row],[ID]],Tabla7[],2,FALSE))</f>
        <v/>
      </c>
      <c r="G334" s="14" t="str">
        <f>IF(Tabla1[[#This Row],[ID]]="","",VLOOKUP(Tabla1[[#This Row],[ID]],Tabla7[],36,FALSE))</f>
        <v/>
      </c>
      <c r="H334" s="14" t="str">
        <f>IF(Tabla1[[#This Row],[ID]]="","",VLOOKUP(Tabla1[[#This Row],[ID]],Tabla7[],4,FALSE))</f>
        <v/>
      </c>
      <c r="I334" s="16" t="str">
        <f>IF(Tabla1[[#This Row],[ID]]="","",VLOOKUP(Tabla1[[#This Row],[ID]],Tabla1[],4,FALSE))</f>
        <v/>
      </c>
      <c r="J334" s="16">
        <f>Tabla1[[#This Row],[CN Literatura]]-Tabla1[[#This Row],[CN Predicted]]</f>
        <v>-1.3613878623603988</v>
      </c>
    </row>
    <row r="335" spans="1:10" x14ac:dyDescent="0.25">
      <c r="A335" s="1">
        <f>Desgloce!A334</f>
        <v>274</v>
      </c>
      <c r="B335" s="14">
        <f>VLOOKUP(Tabla1[[#This Row],[No]],Tabla7[],7,FALSE)</f>
        <v>25.6</v>
      </c>
      <c r="C335" s="24">
        <v>27.135885165068402</v>
      </c>
      <c r="D335" s="15">
        <f>(B335-C335)/B335*100</f>
        <v>-5.9995514260484386</v>
      </c>
      <c r="E335" s="14" t="str">
        <f>IF(Tabla1[[#This Row],[% Error1]]&gt;$E$1,Tabla1[[#This Row],[No]],IF(Tabla1[[#This Row],[% Error1]]&lt;-$E$1,Tabla1[[#This Row],[No]],""))</f>
        <v/>
      </c>
      <c r="F335" s="14" t="str">
        <f>IF(Tabla1[[#This Row],[ID]]="","",VLOOKUP(Tabla1[[#This Row],[ID]],Tabla7[],2,FALSE))</f>
        <v/>
      </c>
      <c r="G335" s="14" t="str">
        <f>IF(Tabla1[[#This Row],[ID]]="","",VLOOKUP(Tabla1[[#This Row],[ID]],Tabla7[],36,FALSE))</f>
        <v/>
      </c>
      <c r="H335" s="14" t="str">
        <f>IF(Tabla1[[#This Row],[ID]]="","",VLOOKUP(Tabla1[[#This Row],[ID]],Tabla7[],4,FALSE))</f>
        <v/>
      </c>
      <c r="I335" s="16" t="str">
        <f>IF(Tabla1[[#This Row],[ID]]="","",VLOOKUP(Tabla1[[#This Row],[ID]],Tabla1[],4,FALSE))</f>
        <v/>
      </c>
      <c r="J335" s="16">
        <f>Tabla1[[#This Row],[CN Literatura]]-Tabla1[[#This Row],[CN Predicted]]</f>
        <v>-1.5358851650684002</v>
      </c>
    </row>
    <row r="336" spans="1:10" x14ac:dyDescent="0.25">
      <c r="A336" s="1">
        <f>Desgloce!A335</f>
        <v>276</v>
      </c>
      <c r="B336" s="14">
        <f>VLOOKUP(Tabla1[[#This Row],[No]],Tabla7[],7,FALSE)</f>
        <v>25.7</v>
      </c>
      <c r="C336" s="24">
        <v>26.5986267483155</v>
      </c>
      <c r="D336" s="15">
        <f>(B336-C336)/B336*100</f>
        <v>-3.4966021335233481</v>
      </c>
      <c r="E336" s="14" t="str">
        <f>IF(Tabla1[[#This Row],[% Error1]]&gt;$E$1,Tabla1[[#This Row],[No]],IF(Tabla1[[#This Row],[% Error1]]&lt;-$E$1,Tabla1[[#This Row],[No]],""))</f>
        <v/>
      </c>
      <c r="F336" s="14" t="str">
        <f>IF(Tabla1[[#This Row],[ID]]="","",VLOOKUP(Tabla1[[#This Row],[ID]],Tabla7[],2,FALSE))</f>
        <v/>
      </c>
      <c r="G336" s="14" t="str">
        <f>IF(Tabla1[[#This Row],[ID]]="","",VLOOKUP(Tabla1[[#This Row],[ID]],Tabla7[],36,FALSE))</f>
        <v/>
      </c>
      <c r="H336" s="14" t="str">
        <f>IF(Tabla1[[#This Row],[ID]]="","",VLOOKUP(Tabla1[[#This Row],[ID]],Tabla7[],4,FALSE))</f>
        <v/>
      </c>
      <c r="I336" s="16" t="str">
        <f>IF(Tabla1[[#This Row],[ID]]="","",VLOOKUP(Tabla1[[#This Row],[ID]],Tabla1[],4,FALSE))</f>
        <v/>
      </c>
      <c r="J336" s="16">
        <f>Tabla1[[#This Row],[CN Literatura]]-Tabla1[[#This Row],[CN Predicted]]</f>
        <v>-0.89862674831550038</v>
      </c>
    </row>
    <row r="337" spans="1:10" x14ac:dyDescent="0.25">
      <c r="A337" s="1">
        <f>Desgloce!A336</f>
        <v>277</v>
      </c>
      <c r="B337" s="14">
        <f>VLOOKUP(Tabla1[[#This Row],[No]],Tabla7[],7,FALSE)</f>
        <v>25.8</v>
      </c>
      <c r="C337" s="24">
        <v>26.275846192639399</v>
      </c>
      <c r="D337" s="15">
        <f>(B337-C337)/B337*100</f>
        <v>-1.8443650877496061</v>
      </c>
      <c r="E337" s="14" t="str">
        <f>IF(Tabla1[[#This Row],[% Error1]]&gt;$E$1,Tabla1[[#This Row],[No]],IF(Tabla1[[#This Row],[% Error1]]&lt;-$E$1,Tabla1[[#This Row],[No]],""))</f>
        <v/>
      </c>
      <c r="F337" s="14" t="str">
        <f>IF(Tabla1[[#This Row],[ID]]="","",VLOOKUP(Tabla1[[#This Row],[ID]],Tabla7[],2,FALSE))</f>
        <v/>
      </c>
      <c r="G337" s="14" t="str">
        <f>IF(Tabla1[[#This Row],[ID]]="","",VLOOKUP(Tabla1[[#This Row],[ID]],Tabla7[],36,FALSE))</f>
        <v/>
      </c>
      <c r="H337" s="14" t="str">
        <f>IF(Tabla1[[#This Row],[ID]]="","",VLOOKUP(Tabla1[[#This Row],[ID]],Tabla7[],4,FALSE))</f>
        <v/>
      </c>
      <c r="I337" s="16" t="str">
        <f>IF(Tabla1[[#This Row],[ID]]="","",VLOOKUP(Tabla1[[#This Row],[ID]],Tabla1[],4,FALSE))</f>
        <v/>
      </c>
      <c r="J337" s="16">
        <f>Tabla1[[#This Row],[CN Literatura]]-Tabla1[[#This Row],[CN Predicted]]</f>
        <v>-0.47584619263939842</v>
      </c>
    </row>
    <row r="338" spans="1:10" x14ac:dyDescent="0.25">
      <c r="A338" s="1">
        <f>Desgloce!A337</f>
        <v>278</v>
      </c>
      <c r="B338" s="14">
        <f>VLOOKUP(Tabla1[[#This Row],[No]],Tabla7[],7,FALSE)</f>
        <v>25.8</v>
      </c>
      <c r="C338" s="24">
        <v>25.712351351244099</v>
      </c>
      <c r="D338" s="15">
        <f>(B338-C338)/B338*100</f>
        <v>0.33972344479031807</v>
      </c>
      <c r="E338" s="14" t="str">
        <f>IF(Tabla1[[#This Row],[% Error1]]&gt;$E$1,Tabla1[[#This Row],[No]],IF(Tabla1[[#This Row],[% Error1]]&lt;-$E$1,Tabla1[[#This Row],[No]],""))</f>
        <v/>
      </c>
      <c r="F338" s="14" t="str">
        <f>IF(Tabla1[[#This Row],[ID]]="","",VLOOKUP(Tabla1[[#This Row],[ID]],Tabla7[],2,FALSE))</f>
        <v/>
      </c>
      <c r="G338" s="14" t="str">
        <f>IF(Tabla1[[#This Row],[ID]]="","",VLOOKUP(Tabla1[[#This Row],[ID]],Tabla7[],36,FALSE))</f>
        <v/>
      </c>
      <c r="H338" s="14" t="str">
        <f>IF(Tabla1[[#This Row],[ID]]="","",VLOOKUP(Tabla1[[#This Row],[ID]],Tabla7[],4,FALSE))</f>
        <v/>
      </c>
      <c r="I338" s="16" t="str">
        <f>IF(Tabla1[[#This Row],[ID]]="","",VLOOKUP(Tabla1[[#This Row],[ID]],Tabla1[],4,FALSE))</f>
        <v/>
      </c>
      <c r="J338" s="16">
        <f>Tabla1[[#This Row],[CN Literatura]]-Tabla1[[#This Row],[CN Predicted]]</f>
        <v>8.7648648755902059E-2</v>
      </c>
    </row>
    <row r="339" spans="1:10" x14ac:dyDescent="0.25">
      <c r="A339" s="1">
        <f>Desgloce!A338</f>
        <v>279</v>
      </c>
      <c r="B339" s="14">
        <f>VLOOKUP(Tabla1[[#This Row],[No]],Tabla7[],7,FALSE)</f>
        <v>26</v>
      </c>
      <c r="C339" s="24">
        <v>30.079451098487802</v>
      </c>
      <c r="D339" s="15">
        <f>(B339-C339)/B339*100</f>
        <v>-15.690196532645389</v>
      </c>
      <c r="E339" s="14">
        <f>IF(Tabla1[[#This Row],[% Error1]]&gt;$E$1,Tabla1[[#This Row],[No]],IF(Tabla1[[#This Row],[% Error1]]&lt;-$E$1,Tabla1[[#This Row],[No]],""))</f>
        <v>279</v>
      </c>
      <c r="F339" s="14" t="str">
        <f>IF(Tabla1[[#This Row],[ID]]="","",VLOOKUP(Tabla1[[#This Row],[ID]],Tabla7[],2,FALSE))</f>
        <v>CCC(=CCCCCCCC=C(CC)CC)CC</v>
      </c>
      <c r="G339" s="14" t="str">
        <f>IF(Tabla1[[#This Row],[ID]]="","",VLOOKUP(Tabla1[[#This Row],[ID]],Tabla7[],36,FALSE))</f>
        <v>Training</v>
      </c>
      <c r="H339" s="14" t="str">
        <f>IF(Tabla1[[#This Row],[ID]]="","",VLOOKUP(Tabla1[[#This Row],[ID]],Tabla7[],4,FALSE))</f>
        <v>Alkene</v>
      </c>
      <c r="I339" s="16">
        <f>IF(Tabla1[[#This Row],[ID]]="","",VLOOKUP(Tabla1[[#This Row],[ID]],Tabla1[],4,FALSE))</f>
        <v>-15.690196532645389</v>
      </c>
      <c r="J339" s="16">
        <f>Tabla1[[#This Row],[CN Literatura]]-Tabla1[[#This Row],[CN Predicted]]</f>
        <v>-4.0794510984878016</v>
      </c>
    </row>
    <row r="340" spans="1:10" x14ac:dyDescent="0.25">
      <c r="A340" s="1">
        <f>Desgloce!A339</f>
        <v>281</v>
      </c>
      <c r="B340" s="14">
        <f>VLOOKUP(Tabla1[[#This Row],[No]],Tabla7[],7,FALSE)</f>
        <v>26</v>
      </c>
      <c r="C340" s="24">
        <v>24.2406093983593</v>
      </c>
      <c r="D340" s="15">
        <f>(B340-C340)/B340*100</f>
        <v>6.7668869293873071</v>
      </c>
      <c r="E340" s="14" t="str">
        <f>IF(Tabla1[[#This Row],[% Error1]]&gt;$E$1,Tabla1[[#This Row],[No]],IF(Tabla1[[#This Row],[% Error1]]&lt;-$E$1,Tabla1[[#This Row],[No]],""))</f>
        <v/>
      </c>
      <c r="F340" s="14" t="str">
        <f>IF(Tabla1[[#This Row],[ID]]="","",VLOOKUP(Tabla1[[#This Row],[ID]],Tabla7[],2,FALSE))</f>
        <v/>
      </c>
      <c r="G340" s="14" t="str">
        <f>IF(Tabla1[[#This Row],[ID]]="","",VLOOKUP(Tabla1[[#This Row],[ID]],Tabla7[],36,FALSE))</f>
        <v/>
      </c>
      <c r="H340" s="14" t="str">
        <f>IF(Tabla1[[#This Row],[ID]]="","",VLOOKUP(Tabla1[[#This Row],[ID]],Tabla7[],4,FALSE))</f>
        <v/>
      </c>
      <c r="I340" s="16" t="str">
        <f>IF(Tabla1[[#This Row],[ID]]="","",VLOOKUP(Tabla1[[#This Row],[ID]],Tabla1[],4,FALSE))</f>
        <v/>
      </c>
      <c r="J340" s="16">
        <f>Tabla1[[#This Row],[CN Literatura]]-Tabla1[[#This Row],[CN Predicted]]</f>
        <v>1.7593906016406997</v>
      </c>
    </row>
    <row r="341" spans="1:10" x14ac:dyDescent="0.25">
      <c r="A341" s="1">
        <f>Desgloce!A340</f>
        <v>282</v>
      </c>
      <c r="B341" s="14">
        <f>VLOOKUP(Tabla1[[#This Row],[No]],Tabla7[],7,FALSE)</f>
        <v>26</v>
      </c>
      <c r="C341" s="24">
        <v>24.164272015044698</v>
      </c>
      <c r="D341" s="15">
        <f>(B341-C341)/B341*100</f>
        <v>7.0604922498280835</v>
      </c>
      <c r="E341" s="14" t="str">
        <f>IF(Tabla1[[#This Row],[% Error1]]&gt;$E$1,Tabla1[[#This Row],[No]],IF(Tabla1[[#This Row],[% Error1]]&lt;-$E$1,Tabla1[[#This Row],[No]],""))</f>
        <v/>
      </c>
      <c r="F341" s="14" t="str">
        <f>IF(Tabla1[[#This Row],[ID]]="","",VLOOKUP(Tabla1[[#This Row],[ID]],Tabla7[],2,FALSE))</f>
        <v/>
      </c>
      <c r="G341" s="14" t="str">
        <f>IF(Tabla1[[#This Row],[ID]]="","",VLOOKUP(Tabla1[[#This Row],[ID]],Tabla7[],36,FALSE))</f>
        <v/>
      </c>
      <c r="H341" s="14" t="str">
        <f>IF(Tabla1[[#This Row],[ID]]="","",VLOOKUP(Tabla1[[#This Row],[ID]],Tabla7[],4,FALSE))</f>
        <v/>
      </c>
      <c r="I341" s="16" t="str">
        <f>IF(Tabla1[[#This Row],[ID]]="","",VLOOKUP(Tabla1[[#This Row],[ID]],Tabla1[],4,FALSE))</f>
        <v/>
      </c>
      <c r="J341" s="16">
        <f>Tabla1[[#This Row],[CN Literatura]]-Tabla1[[#This Row],[CN Predicted]]</f>
        <v>1.8357279849553017</v>
      </c>
    </row>
    <row r="342" spans="1:10" x14ac:dyDescent="0.25">
      <c r="A342" s="1">
        <f>Desgloce!A341</f>
        <v>284</v>
      </c>
      <c r="B342" s="14">
        <f>VLOOKUP(Tabla1[[#This Row],[No]],Tabla7[],7,FALSE)</f>
        <v>26.7</v>
      </c>
      <c r="C342" s="24">
        <v>29.306354035899599</v>
      </c>
      <c r="D342" s="15">
        <f>(B342-C342)/B342*100</f>
        <v>-9.7616256026202226</v>
      </c>
      <c r="E342" s="14" t="str">
        <f>IF(Tabla1[[#This Row],[% Error1]]&gt;$E$1,Tabla1[[#This Row],[No]],IF(Tabla1[[#This Row],[% Error1]]&lt;-$E$1,Tabla1[[#This Row],[No]],""))</f>
        <v/>
      </c>
      <c r="F342" s="14" t="str">
        <f>IF(Tabla1[[#This Row],[ID]]="","",VLOOKUP(Tabla1[[#This Row],[ID]],Tabla7[],2,FALSE))</f>
        <v/>
      </c>
      <c r="G342" s="14" t="str">
        <f>IF(Tabla1[[#This Row],[ID]]="","",VLOOKUP(Tabla1[[#This Row],[ID]],Tabla7[],36,FALSE))</f>
        <v/>
      </c>
      <c r="H342" s="14" t="str">
        <f>IF(Tabla1[[#This Row],[ID]]="","",VLOOKUP(Tabla1[[#This Row],[ID]],Tabla7[],4,FALSE))</f>
        <v/>
      </c>
      <c r="I342" s="16" t="str">
        <f>IF(Tabla1[[#This Row],[ID]]="","",VLOOKUP(Tabla1[[#This Row],[ID]],Tabla1[],4,FALSE))</f>
        <v/>
      </c>
      <c r="J342" s="16">
        <f>Tabla1[[#This Row],[CN Literatura]]-Tabla1[[#This Row],[CN Predicted]]</f>
        <v>-2.6063540358995994</v>
      </c>
    </row>
    <row r="343" spans="1:10" x14ac:dyDescent="0.25">
      <c r="A343" s="1">
        <f>Desgloce!A342</f>
        <v>286</v>
      </c>
      <c r="B343" s="14">
        <f>VLOOKUP(Tabla1[[#This Row],[No]],Tabla7[],7,FALSE)</f>
        <v>26.8</v>
      </c>
      <c r="C343" s="24">
        <v>28.5096724994849</v>
      </c>
      <c r="D343" s="15">
        <f>(B343-C343)/B343*100</f>
        <v>-6.3793749980779815</v>
      </c>
      <c r="E343" s="14" t="str">
        <f>IF(Tabla1[[#This Row],[% Error1]]&gt;$E$1,Tabla1[[#This Row],[No]],IF(Tabla1[[#This Row],[% Error1]]&lt;-$E$1,Tabla1[[#This Row],[No]],""))</f>
        <v/>
      </c>
      <c r="F343" s="14" t="str">
        <f>IF(Tabla1[[#This Row],[ID]]="","",VLOOKUP(Tabla1[[#This Row],[ID]],Tabla7[],2,FALSE))</f>
        <v/>
      </c>
      <c r="G343" s="14" t="str">
        <f>IF(Tabla1[[#This Row],[ID]]="","",VLOOKUP(Tabla1[[#This Row],[ID]],Tabla7[],36,FALSE))</f>
        <v/>
      </c>
      <c r="H343" s="14" t="str">
        <f>IF(Tabla1[[#This Row],[ID]]="","",VLOOKUP(Tabla1[[#This Row],[ID]],Tabla7[],4,FALSE))</f>
        <v/>
      </c>
      <c r="I343" s="16" t="str">
        <f>IF(Tabla1[[#This Row],[ID]]="","",VLOOKUP(Tabla1[[#This Row],[ID]],Tabla1[],4,FALSE))</f>
        <v/>
      </c>
      <c r="J343" s="16">
        <f>Tabla1[[#This Row],[CN Literatura]]-Tabla1[[#This Row],[CN Predicted]]</f>
        <v>-1.7096724994848991</v>
      </c>
    </row>
    <row r="344" spans="1:10" x14ac:dyDescent="0.25">
      <c r="A344" s="1">
        <f>Desgloce!A343</f>
        <v>287</v>
      </c>
      <c r="B344" s="14">
        <f>VLOOKUP(Tabla1[[#This Row],[No]],Tabla7[],7,FALSE)</f>
        <v>26.9</v>
      </c>
      <c r="C344" s="24">
        <v>41.521888960570003</v>
      </c>
      <c r="D344" s="15">
        <f>(B344-C344)/B344*100</f>
        <v>-54.356464537434967</v>
      </c>
      <c r="E344" s="14">
        <f>IF(Tabla1[[#This Row],[% Error1]]&gt;$E$1,Tabla1[[#This Row],[No]],IF(Tabla1[[#This Row],[% Error1]]&lt;-$E$1,Tabla1[[#This Row],[No]],""))</f>
        <v>287</v>
      </c>
      <c r="F344" s="14" t="str">
        <f>IF(Tabla1[[#This Row],[ID]]="","",VLOOKUP(Tabla1[[#This Row],[ID]],Tabla7[],2,FALSE))</f>
        <v>CC(CCC)CCC</v>
      </c>
      <c r="G344" s="14" t="str">
        <f>IF(Tabla1[[#This Row],[ID]]="","",VLOOKUP(Tabla1[[#This Row],[ID]],Tabla7[],36,FALSE))</f>
        <v>Training</v>
      </c>
      <c r="H344" s="14" t="str">
        <f>IF(Tabla1[[#This Row],[ID]]="","",VLOOKUP(Tabla1[[#This Row],[ID]],Tabla7[],4,FALSE))</f>
        <v>iso-alkane</v>
      </c>
      <c r="I344" s="16">
        <f>IF(Tabla1[[#This Row],[ID]]="","",VLOOKUP(Tabla1[[#This Row],[ID]],Tabla1[],4,FALSE))</f>
        <v>-54.356464537434967</v>
      </c>
      <c r="J344" s="16">
        <f>Tabla1[[#This Row],[CN Literatura]]-Tabla1[[#This Row],[CN Predicted]]</f>
        <v>-14.621888960570004</v>
      </c>
    </row>
    <row r="345" spans="1:10" x14ac:dyDescent="0.25">
      <c r="A345" s="1">
        <f>Desgloce!A344</f>
        <v>288</v>
      </c>
      <c r="B345" s="14">
        <f>VLOOKUP(Tabla1[[#This Row],[No]],Tabla7[],7,FALSE)</f>
        <v>27</v>
      </c>
      <c r="C345" s="24">
        <v>19.386739342899102</v>
      </c>
      <c r="D345" s="15">
        <f>(B345-C345)/B345*100</f>
        <v>28.19726169296629</v>
      </c>
      <c r="E345" s="16">
        <f>IF(Tabla1[[#This Row],[% Error1]]&gt;$E$1,Tabla1[[#This Row],[No]],IF(Tabla1[[#This Row],[% Error1]]&lt;-$E$1,Tabla1[[#This Row],[No]],""))</f>
        <v>288</v>
      </c>
      <c r="F345" s="16" t="str">
        <f>IF(Tabla1[[#This Row],[ID]]="","",VLOOKUP(Tabla1[[#This Row],[ID]],Tabla7[],2,FALSE))</f>
        <v>CCCCC=C</v>
      </c>
      <c r="G345" s="14" t="str">
        <f>IF(Tabla1[[#This Row],[ID]]="","",VLOOKUP(Tabla1[[#This Row],[ID]],Tabla7[],36,FALSE))</f>
        <v>Training</v>
      </c>
      <c r="H345" s="16" t="str">
        <f>IF(Tabla1[[#This Row],[ID]]="","",VLOOKUP(Tabla1[[#This Row],[ID]],Tabla7[],4,FALSE))</f>
        <v>Alkene</v>
      </c>
      <c r="I345" s="16">
        <f>IF(Tabla1[[#This Row],[ID]]="","",VLOOKUP(Tabla1[[#This Row],[ID]],Tabla1[],4,FALSE))</f>
        <v>28.19726169296629</v>
      </c>
      <c r="J345" s="16">
        <f>Tabla1[[#This Row],[CN Literatura]]-Tabla1[[#This Row],[CN Predicted]]</f>
        <v>7.6132606571008985</v>
      </c>
    </row>
    <row r="346" spans="1:10" x14ac:dyDescent="0.25">
      <c r="A346" s="1">
        <f>Desgloce!A345</f>
        <v>289</v>
      </c>
      <c r="B346" s="14">
        <f>VLOOKUP(Tabla1[[#This Row],[No]],Tabla7[],7,FALSE)</f>
        <v>27</v>
      </c>
      <c r="C346" s="24">
        <v>27.404879236879299</v>
      </c>
      <c r="D346" s="15">
        <f>(B346-C346)/B346*100</f>
        <v>-1.4995527291825907</v>
      </c>
      <c r="E346" s="16" t="str">
        <f>IF(Tabla1[[#This Row],[% Error1]]&gt;$E$1,Tabla1[[#This Row],[No]],IF(Tabla1[[#This Row],[% Error1]]&lt;-$E$1,Tabla1[[#This Row],[No]],""))</f>
        <v/>
      </c>
      <c r="F346" s="16" t="str">
        <f>IF(Tabla1[[#This Row],[ID]]="","",VLOOKUP(Tabla1[[#This Row],[ID]],Tabla7[],2,FALSE))</f>
        <v/>
      </c>
      <c r="G346" s="14" t="str">
        <f>IF(Tabla1[[#This Row],[ID]]="","",VLOOKUP(Tabla1[[#This Row],[ID]],Tabla7[],36,FALSE))</f>
        <v/>
      </c>
      <c r="H346" s="16" t="str">
        <f>IF(Tabla1[[#This Row],[ID]]="","",VLOOKUP(Tabla1[[#This Row],[ID]],Tabla7[],4,FALSE))</f>
        <v/>
      </c>
      <c r="I346" s="16" t="str">
        <f>IF(Tabla1[[#This Row],[ID]]="","",VLOOKUP(Tabla1[[#This Row],[ID]],Tabla1[],4,FALSE))</f>
        <v/>
      </c>
      <c r="J346" s="16">
        <f>Tabla1[[#This Row],[CN Literatura]]-Tabla1[[#This Row],[CN Predicted]]</f>
        <v>-0.4048792368792995</v>
      </c>
    </row>
    <row r="347" spans="1:10" x14ac:dyDescent="0.25">
      <c r="A347" s="1">
        <f>Desgloce!A346</f>
        <v>290</v>
      </c>
      <c r="B347" s="14">
        <f>VLOOKUP(Tabla1[[#This Row],[No]],Tabla7[],7,FALSE)</f>
        <v>27</v>
      </c>
      <c r="C347" s="24">
        <v>28.555586138601299</v>
      </c>
      <c r="D347" s="15">
        <f>(B347-C347)/B347*100</f>
        <v>-5.7614301429677752</v>
      </c>
      <c r="E347" s="16" t="str">
        <f>IF(Tabla1[[#This Row],[% Error1]]&gt;$E$1,Tabla1[[#This Row],[No]],IF(Tabla1[[#This Row],[% Error1]]&lt;-$E$1,Tabla1[[#This Row],[No]],""))</f>
        <v/>
      </c>
      <c r="F347" s="16" t="str">
        <f>IF(Tabla1[[#This Row],[ID]]="","",VLOOKUP(Tabla1[[#This Row],[ID]],Tabla7[],2,FALSE))</f>
        <v/>
      </c>
      <c r="G347" s="14" t="str">
        <f>IF(Tabla1[[#This Row],[ID]]="","",VLOOKUP(Tabla1[[#This Row],[ID]],Tabla7[],36,FALSE))</f>
        <v/>
      </c>
      <c r="H347" s="16" t="str">
        <f>IF(Tabla1[[#This Row],[ID]]="","",VLOOKUP(Tabla1[[#This Row],[ID]],Tabla7[],4,FALSE))</f>
        <v/>
      </c>
      <c r="I347" s="16" t="str">
        <f>IF(Tabla1[[#This Row],[ID]]="","",VLOOKUP(Tabla1[[#This Row],[ID]],Tabla1[],4,FALSE))</f>
        <v/>
      </c>
      <c r="J347" s="16">
        <f>Tabla1[[#This Row],[CN Literatura]]-Tabla1[[#This Row],[CN Predicted]]</f>
        <v>-1.5555861386012992</v>
      </c>
    </row>
    <row r="348" spans="1:10" x14ac:dyDescent="0.25">
      <c r="A348" s="1">
        <f>Desgloce!A347</f>
        <v>292</v>
      </c>
      <c r="B348" s="14">
        <f>VLOOKUP(Tabla1[[#This Row],[No]],Tabla7[],7,FALSE)</f>
        <v>27</v>
      </c>
      <c r="C348" s="24">
        <v>30.020745762222401</v>
      </c>
      <c r="D348" s="15">
        <f>(B348-C348)/B348*100</f>
        <v>-11.187947267490372</v>
      </c>
      <c r="E348" s="16">
        <f>IF(Tabla1[[#This Row],[% Error1]]&gt;$E$1,Tabla1[[#This Row],[No]],IF(Tabla1[[#This Row],[% Error1]]&lt;-$E$1,Tabla1[[#This Row],[No]],""))</f>
        <v>292</v>
      </c>
      <c r="F348" s="16" t="str">
        <f>IF(Tabla1[[#This Row],[ID]]="","",VLOOKUP(Tabla1[[#This Row],[ID]],Tabla7[],2,FALSE))</f>
        <v>CCCOC(=O)CCCCCCC/C=C\C/C=C\C/C=C\CC</v>
      </c>
      <c r="G348" s="14" t="str">
        <f>IF(Tabla1[[#This Row],[ID]]="","",VLOOKUP(Tabla1[[#This Row],[ID]],Tabla7[],36,FALSE))</f>
        <v>Training</v>
      </c>
      <c r="H348" s="16" t="str">
        <f>IF(Tabla1[[#This Row],[ID]]="","",VLOOKUP(Tabla1[[#This Row],[ID]],Tabla7[],4,FALSE))</f>
        <v>Ester: Unsaturated</v>
      </c>
      <c r="I348" s="16">
        <f>IF(Tabla1[[#This Row],[ID]]="","",VLOOKUP(Tabla1[[#This Row],[ID]],Tabla1[],4,FALSE))</f>
        <v>-11.187947267490372</v>
      </c>
      <c r="J348" s="16">
        <f>Tabla1[[#This Row],[CN Literatura]]-Tabla1[[#This Row],[CN Predicted]]</f>
        <v>-3.0207457622224005</v>
      </c>
    </row>
    <row r="349" spans="1:10" x14ac:dyDescent="0.25">
      <c r="A349" s="1">
        <f>Desgloce!A348</f>
        <v>293</v>
      </c>
      <c r="B349" s="14">
        <f>VLOOKUP(Tabla1[[#This Row],[No]],Tabla7[],7,FALSE)</f>
        <v>27.2</v>
      </c>
      <c r="C349" s="24">
        <v>25.7707799917196</v>
      </c>
      <c r="D349" s="15">
        <f>(B349-C349)/B349*100</f>
        <v>5.2544853245602923</v>
      </c>
      <c r="E349" s="16" t="str">
        <f>IF(Tabla1[[#This Row],[% Error1]]&gt;$E$1,Tabla1[[#This Row],[No]],IF(Tabla1[[#This Row],[% Error1]]&lt;-$E$1,Tabla1[[#This Row],[No]],""))</f>
        <v/>
      </c>
      <c r="F349" s="16" t="str">
        <f>IF(Tabla1[[#This Row],[ID]]="","",VLOOKUP(Tabla1[[#This Row],[ID]],Tabla7[],2,FALSE))</f>
        <v/>
      </c>
      <c r="G349" s="14" t="str">
        <f>IF(Tabla1[[#This Row],[ID]]="","",VLOOKUP(Tabla1[[#This Row],[ID]],Tabla7[],36,FALSE))</f>
        <v/>
      </c>
      <c r="H349" s="16" t="str">
        <f>IF(Tabla1[[#This Row],[ID]]="","",VLOOKUP(Tabla1[[#This Row],[ID]],Tabla7[],4,FALSE))</f>
        <v/>
      </c>
      <c r="I349" s="16" t="str">
        <f>IF(Tabla1[[#This Row],[ID]]="","",VLOOKUP(Tabla1[[#This Row],[ID]],Tabla1[],4,FALSE))</f>
        <v/>
      </c>
      <c r="J349" s="16">
        <f>Tabla1[[#This Row],[CN Literatura]]-Tabla1[[#This Row],[CN Predicted]]</f>
        <v>1.4292200082803994</v>
      </c>
    </row>
    <row r="350" spans="1:10" x14ac:dyDescent="0.25">
      <c r="A350" s="1">
        <f>Desgloce!A349</f>
        <v>295</v>
      </c>
      <c r="B350" s="14">
        <f>VLOOKUP(Tabla1[[#This Row],[No]],Tabla7[],7,FALSE)</f>
        <v>27.5</v>
      </c>
      <c r="C350" s="24">
        <v>25.344571450232898</v>
      </c>
      <c r="D350" s="15">
        <f>(B350-C350)/B350*100</f>
        <v>7.8379219991530968</v>
      </c>
      <c r="E350" s="16" t="str">
        <f>IF(Tabla1[[#This Row],[% Error1]]&gt;$E$1,Tabla1[[#This Row],[No]],IF(Tabla1[[#This Row],[% Error1]]&lt;-$E$1,Tabla1[[#This Row],[No]],""))</f>
        <v/>
      </c>
      <c r="F350" s="16" t="str">
        <f>IF(Tabla1[[#This Row],[ID]]="","",VLOOKUP(Tabla1[[#This Row],[ID]],Tabla7[],2,FALSE))</f>
        <v/>
      </c>
      <c r="G350" s="14" t="str">
        <f>IF(Tabla1[[#This Row],[ID]]="","",VLOOKUP(Tabla1[[#This Row],[ID]],Tabla7[],36,FALSE))</f>
        <v/>
      </c>
      <c r="H350" s="16" t="str">
        <f>IF(Tabla1[[#This Row],[ID]]="","",VLOOKUP(Tabla1[[#This Row],[ID]],Tabla7[],4,FALSE))</f>
        <v/>
      </c>
      <c r="I350" s="16" t="str">
        <f>IF(Tabla1[[#This Row],[ID]]="","",VLOOKUP(Tabla1[[#This Row],[ID]],Tabla1[],4,FALSE))</f>
        <v/>
      </c>
      <c r="J350" s="16">
        <f>Tabla1[[#This Row],[CN Literatura]]-Tabla1[[#This Row],[CN Predicted]]</f>
        <v>2.1554285497671017</v>
      </c>
    </row>
    <row r="351" spans="1:10" x14ac:dyDescent="0.25">
      <c r="A351" s="1">
        <f>Desgloce!A350</f>
        <v>297</v>
      </c>
      <c r="B351" s="14">
        <f>VLOOKUP(Tabla1[[#This Row],[No]],Tabla7[],7,FALSE)</f>
        <v>27.8</v>
      </c>
      <c r="C351" s="24">
        <v>31.155674451837399</v>
      </c>
      <c r="D351" s="15">
        <f>(B351-C351)/B351*100</f>
        <v>-12.070771409487044</v>
      </c>
      <c r="E351" s="16">
        <f>IF(Tabla1[[#This Row],[% Error1]]&gt;$E$1,Tabla1[[#This Row],[No]],IF(Tabla1[[#This Row],[% Error1]]&lt;-$E$1,Tabla1[[#This Row],[No]],""))</f>
        <v>297</v>
      </c>
      <c r="F351" s="16" t="str">
        <f>IF(Tabla1[[#This Row],[ID]]="","",VLOOKUP(Tabla1[[#This Row],[ID]],Tabla7[],2,FALSE))</f>
        <v>CC(C)OCCO</v>
      </c>
      <c r="G351" s="14" t="str">
        <f>IF(Tabla1[[#This Row],[ID]]="","",VLOOKUP(Tabla1[[#This Row],[ID]],Tabla7[],36,FALSE))</f>
        <v>Training</v>
      </c>
      <c r="H351" s="16" t="str">
        <f>IF(Tabla1[[#This Row],[ID]]="","",VLOOKUP(Tabla1[[#This Row],[ID]],Tabla7[],4,FALSE))</f>
        <v>Polyfunctional</v>
      </c>
      <c r="I351" s="16">
        <f>IF(Tabla1[[#This Row],[ID]]="","",VLOOKUP(Tabla1[[#This Row],[ID]],Tabla1[],4,FALSE))</f>
        <v>-12.070771409487044</v>
      </c>
      <c r="J351" s="16">
        <f>Tabla1[[#This Row],[CN Literatura]]-Tabla1[[#This Row],[CN Predicted]]</f>
        <v>-3.3556744518373982</v>
      </c>
    </row>
    <row r="352" spans="1:10" x14ac:dyDescent="0.25">
      <c r="A352" s="1">
        <f>Desgloce!A351</f>
        <v>298</v>
      </c>
      <c r="B352" s="14">
        <f>VLOOKUP(Tabla1[[#This Row],[No]],Tabla7[],7,FALSE)</f>
        <v>28</v>
      </c>
      <c r="C352" s="24">
        <v>20.572401503938298</v>
      </c>
      <c r="D352" s="15">
        <f>(B352-C352)/B352*100</f>
        <v>26.527137485934649</v>
      </c>
      <c r="E352" s="16">
        <f>IF(Tabla1[[#This Row],[% Error1]]&gt;$E$1,Tabla1[[#This Row],[No]],IF(Tabla1[[#This Row],[% Error1]]&lt;-$E$1,Tabla1[[#This Row],[No]],""))</f>
        <v>298</v>
      </c>
      <c r="F352" s="16" t="str">
        <f>IF(Tabla1[[#This Row],[ID]]="","",VLOOKUP(Tabla1[[#This Row],[ID]],Tabla7[],2,FALSE))</f>
        <v>CCCC(CCCCC)O</v>
      </c>
      <c r="G352" s="14" t="str">
        <f>IF(Tabla1[[#This Row],[ID]]="","",VLOOKUP(Tabla1[[#This Row],[ID]],Tabla7[],36,FALSE))</f>
        <v>Training</v>
      </c>
      <c r="H352" s="16" t="str">
        <f>IF(Tabla1[[#This Row],[ID]]="","",VLOOKUP(Tabla1[[#This Row],[ID]],Tabla7[],4,FALSE))</f>
        <v>Alcohol</v>
      </c>
      <c r="I352" s="16">
        <f>IF(Tabla1[[#This Row],[ID]]="","",VLOOKUP(Tabla1[[#This Row],[ID]],Tabla1[],4,FALSE))</f>
        <v>26.527137485934649</v>
      </c>
      <c r="J352" s="16">
        <f>Tabla1[[#This Row],[CN Literatura]]-Tabla1[[#This Row],[CN Predicted]]</f>
        <v>7.4275984960617016</v>
      </c>
    </row>
    <row r="353" spans="1:10" x14ac:dyDescent="0.25">
      <c r="A353" s="1">
        <f>Desgloce!A352</f>
        <v>299</v>
      </c>
      <c r="B353" s="14">
        <f>VLOOKUP(Tabla1[[#This Row],[No]],Tabla7[],7,FALSE)</f>
        <v>28</v>
      </c>
      <c r="C353" s="24">
        <v>34.050436995814202</v>
      </c>
      <c r="D353" s="15">
        <f>(B353-C353)/B353*100</f>
        <v>-21.608703556479295</v>
      </c>
      <c r="E353" s="16">
        <f>IF(Tabla1[[#This Row],[% Error1]]&gt;$E$1,Tabla1[[#This Row],[No]],IF(Tabla1[[#This Row],[% Error1]]&lt;-$E$1,Tabla1[[#This Row],[No]],""))</f>
        <v>299</v>
      </c>
      <c r="F353" s="16" t="str">
        <f>IF(Tabla1[[#This Row],[ID]]="","",VLOOKUP(Tabla1[[#This Row],[ID]],Tabla7[],2,FALSE))</f>
        <v>CC1CC=CCC1</v>
      </c>
      <c r="G353" s="14" t="str">
        <f>IF(Tabla1[[#This Row],[ID]]="","",VLOOKUP(Tabla1[[#This Row],[ID]],Tabla7[],36,FALSE))</f>
        <v>Training</v>
      </c>
      <c r="H353" s="16" t="str">
        <f>IF(Tabla1[[#This Row],[ID]]="","",VLOOKUP(Tabla1[[#This Row],[ID]],Tabla7[],4,FALSE))</f>
        <v>Alkene</v>
      </c>
      <c r="I353" s="16">
        <f>IF(Tabla1[[#This Row],[ID]]="","",VLOOKUP(Tabla1[[#This Row],[ID]],Tabla1[],4,FALSE))</f>
        <v>-21.608703556479295</v>
      </c>
      <c r="J353" s="16">
        <f>Tabla1[[#This Row],[CN Literatura]]-Tabla1[[#This Row],[CN Predicted]]</f>
        <v>-6.0504369958142021</v>
      </c>
    </row>
    <row r="354" spans="1:10" x14ac:dyDescent="0.25">
      <c r="A354" s="1">
        <f>Desgloce!A353</f>
        <v>300</v>
      </c>
      <c r="B354" s="14">
        <f>VLOOKUP(Tabla1[[#This Row],[No]],Tabla7[],7,FALSE)</f>
        <v>28</v>
      </c>
      <c r="C354" s="24">
        <v>23.5633924230521</v>
      </c>
      <c r="D354" s="15">
        <f>(B354-C354)/B354*100</f>
        <v>15.845027060528214</v>
      </c>
      <c r="E354" s="16">
        <f>IF(Tabla1[[#This Row],[% Error1]]&gt;$E$1,Tabla1[[#This Row],[No]],IF(Tabla1[[#This Row],[% Error1]]&lt;-$E$1,Tabla1[[#This Row],[No]],""))</f>
        <v>300</v>
      </c>
      <c r="F354" s="16" t="str">
        <f>IF(Tabla1[[#This Row],[ID]]="","",VLOOKUP(Tabla1[[#This Row],[ID]],Tabla7[],2,FALSE))</f>
        <v>CC(=CC/C=C(\C)/C=C)C</v>
      </c>
      <c r="G354" s="14" t="str">
        <f>IF(Tabla1[[#This Row],[ID]]="","",VLOOKUP(Tabla1[[#This Row],[ID]],Tabla7[],36,FALSE))</f>
        <v>Training</v>
      </c>
      <c r="H354" s="16" t="str">
        <f>IF(Tabla1[[#This Row],[ID]]="","",VLOOKUP(Tabla1[[#This Row],[ID]],Tabla7[],4,FALSE))</f>
        <v>Alkene</v>
      </c>
      <c r="I354" s="16">
        <f>IF(Tabla1[[#This Row],[ID]]="","",VLOOKUP(Tabla1[[#This Row],[ID]],Tabla1[],4,FALSE))</f>
        <v>15.845027060528214</v>
      </c>
      <c r="J354" s="16">
        <f>Tabla1[[#This Row],[CN Literatura]]-Tabla1[[#This Row],[CN Predicted]]</f>
        <v>4.4366075769478996</v>
      </c>
    </row>
    <row r="355" spans="1:10" x14ac:dyDescent="0.25">
      <c r="A355" s="1">
        <f>Desgloce!A354</f>
        <v>301</v>
      </c>
      <c r="B355" s="14">
        <f>VLOOKUP(Tabla1[[#This Row],[No]],Tabla7[],7,FALSE)</f>
        <v>28</v>
      </c>
      <c r="C355" s="24">
        <v>23.5633924230521</v>
      </c>
      <c r="D355" s="15">
        <f>(B355-C355)/B355*100</f>
        <v>15.845027060528214</v>
      </c>
      <c r="E355" s="16">
        <f>IF(Tabla1[[#This Row],[% Error1]]&gt;$E$1,Tabla1[[#This Row],[No]],IF(Tabla1[[#This Row],[% Error1]]&lt;-$E$1,Tabla1[[#This Row],[No]],""))</f>
        <v>301</v>
      </c>
      <c r="F355" s="16" t="str">
        <f>IF(Tabla1[[#This Row],[ID]]="","",VLOOKUP(Tabla1[[#This Row],[ID]],Tabla7[],2,FALSE))</f>
        <v>CCCCOC(=O)/C=C\C(=O)OCCCC</v>
      </c>
      <c r="G355" s="14" t="str">
        <f>IF(Tabla1[[#This Row],[ID]]="","",VLOOKUP(Tabla1[[#This Row],[ID]],Tabla7[],36,FALSE))</f>
        <v>Training</v>
      </c>
      <c r="H355" s="16" t="str">
        <f>IF(Tabla1[[#This Row],[ID]]="","",VLOOKUP(Tabla1[[#This Row],[ID]],Tabla7[],4,FALSE))</f>
        <v>Ester</v>
      </c>
      <c r="I355" s="16">
        <f>IF(Tabla1[[#This Row],[ID]]="","",VLOOKUP(Tabla1[[#This Row],[ID]],Tabla1[],4,FALSE))</f>
        <v>15.845027060528214</v>
      </c>
      <c r="J355" s="16">
        <f>Tabla1[[#This Row],[CN Literatura]]-Tabla1[[#This Row],[CN Predicted]]</f>
        <v>4.4366075769478996</v>
      </c>
    </row>
    <row r="356" spans="1:10" x14ac:dyDescent="0.25">
      <c r="A356" s="1">
        <f>Desgloce!A355</f>
        <v>302</v>
      </c>
      <c r="B356" s="14">
        <f>VLOOKUP(Tabla1[[#This Row],[No]],Tabla7[],7,FALSE)</f>
        <v>28</v>
      </c>
      <c r="C356" s="24">
        <v>29.180772416136001</v>
      </c>
      <c r="D356" s="15">
        <f>(B356-C356)/B356*100</f>
        <v>-4.2170443433428622</v>
      </c>
      <c r="E356" s="16" t="str">
        <f>IF(Tabla1[[#This Row],[% Error1]]&gt;$E$1,Tabla1[[#This Row],[No]],IF(Tabla1[[#This Row],[% Error1]]&lt;-$E$1,Tabla1[[#This Row],[No]],""))</f>
        <v/>
      </c>
      <c r="F356" s="16" t="str">
        <f>IF(Tabla1[[#This Row],[ID]]="","",VLOOKUP(Tabla1[[#This Row],[ID]],Tabla7[],2,FALSE))</f>
        <v/>
      </c>
      <c r="G356" s="14" t="str">
        <f>IF(Tabla1[[#This Row],[ID]]="","",VLOOKUP(Tabla1[[#This Row],[ID]],Tabla7[],36,FALSE))</f>
        <v/>
      </c>
      <c r="H356" s="16" t="str">
        <f>IF(Tabla1[[#This Row],[ID]]="","",VLOOKUP(Tabla1[[#This Row],[ID]],Tabla7[],4,FALSE))</f>
        <v/>
      </c>
      <c r="I356" s="16" t="str">
        <f>IF(Tabla1[[#This Row],[ID]]="","",VLOOKUP(Tabla1[[#This Row],[ID]],Tabla1[],4,FALSE))</f>
        <v/>
      </c>
      <c r="J356" s="16">
        <f>Tabla1[[#This Row],[CN Literatura]]-Tabla1[[#This Row],[CN Predicted]]</f>
        <v>-1.1807724161360014</v>
      </c>
    </row>
    <row r="357" spans="1:10" x14ac:dyDescent="0.25">
      <c r="A357" s="1">
        <f>Desgloce!A356</f>
        <v>303</v>
      </c>
      <c r="B357" s="14">
        <f>VLOOKUP(Tabla1[[#This Row],[No]],Tabla7[],7,FALSE)</f>
        <v>28.1</v>
      </c>
      <c r="C357" s="24">
        <v>35.572354429750398</v>
      </c>
      <c r="D357" s="15">
        <f>(B357-C357)/B357*100</f>
        <v>-26.592008646798561</v>
      </c>
      <c r="E357" s="16">
        <f>IF(Tabla1[[#This Row],[% Error1]]&gt;$E$1,Tabla1[[#This Row],[No]],IF(Tabla1[[#This Row],[% Error1]]&lt;-$E$1,Tabla1[[#This Row],[No]],""))</f>
        <v>303</v>
      </c>
      <c r="F357" s="16" t="str">
        <f>IF(Tabla1[[#This Row],[ID]]="","",VLOOKUP(Tabla1[[#This Row],[ID]],Tabla7[],2,FALSE))</f>
        <v>CCC1CCCO1</v>
      </c>
      <c r="G357" s="14" t="str">
        <f>IF(Tabla1[[#This Row],[ID]]="","",VLOOKUP(Tabla1[[#This Row],[ID]],Tabla7[],36,FALSE))</f>
        <v>Training</v>
      </c>
      <c r="H357" s="16" t="str">
        <f>IF(Tabla1[[#This Row],[ID]]="","",VLOOKUP(Tabla1[[#This Row],[ID]],Tabla7[],4,FALSE))</f>
        <v>Cyclic Ether</v>
      </c>
      <c r="I357" s="16">
        <f>IF(Tabla1[[#This Row],[ID]]="","",VLOOKUP(Tabla1[[#This Row],[ID]],Tabla1[],4,FALSE))</f>
        <v>-26.592008646798561</v>
      </c>
      <c r="J357" s="16">
        <f>Tabla1[[#This Row],[CN Literatura]]-Tabla1[[#This Row],[CN Predicted]]</f>
        <v>-7.4723544297503963</v>
      </c>
    </row>
    <row r="358" spans="1:10" x14ac:dyDescent="0.25">
      <c r="A358" s="1">
        <f>Desgloce!A357</f>
        <v>305</v>
      </c>
      <c r="B358" s="14">
        <f>VLOOKUP(Tabla1[[#This Row],[No]],Tabla7[],7,FALSE)</f>
        <v>28.2</v>
      </c>
      <c r="C358" s="24">
        <v>29.464781766560701</v>
      </c>
      <c r="D358" s="15">
        <f>(B358-C358)/B358*100</f>
        <v>-4.485041725392561</v>
      </c>
      <c r="E358" s="16" t="str">
        <f>IF(Tabla1[[#This Row],[% Error1]]&gt;$E$1,Tabla1[[#This Row],[No]],IF(Tabla1[[#This Row],[% Error1]]&lt;-$E$1,Tabla1[[#This Row],[No]],""))</f>
        <v/>
      </c>
      <c r="F358" s="16" t="str">
        <f>IF(Tabla1[[#This Row],[ID]]="","",VLOOKUP(Tabla1[[#This Row],[ID]],Tabla7[],2,FALSE))</f>
        <v/>
      </c>
      <c r="G358" s="14" t="str">
        <f>IF(Tabla1[[#This Row],[ID]]="","",VLOOKUP(Tabla1[[#This Row],[ID]],Tabla7[],36,FALSE))</f>
        <v/>
      </c>
      <c r="H358" s="16" t="str">
        <f>IF(Tabla1[[#This Row],[ID]]="","",VLOOKUP(Tabla1[[#This Row],[ID]],Tabla7[],4,FALSE))</f>
        <v/>
      </c>
      <c r="I358" s="16" t="str">
        <f>IF(Tabla1[[#This Row],[ID]]="","",VLOOKUP(Tabla1[[#This Row],[ID]],Tabla1[],4,FALSE))</f>
        <v/>
      </c>
      <c r="J358" s="16">
        <f>Tabla1[[#This Row],[CN Literatura]]-Tabla1[[#This Row],[CN Predicted]]</f>
        <v>-1.2647817665607022</v>
      </c>
    </row>
    <row r="359" spans="1:10" x14ac:dyDescent="0.25">
      <c r="A359" s="1">
        <f>Desgloce!A358</f>
        <v>306</v>
      </c>
      <c r="B359" s="14">
        <f>VLOOKUP(Tabla1[[#This Row],[No]],Tabla7[],7,FALSE)</f>
        <v>28.6</v>
      </c>
      <c r="C359" s="24">
        <v>31.6611040224888</v>
      </c>
      <c r="D359" s="15">
        <f>(B359-C359)/B359*100</f>
        <v>-10.703160917793001</v>
      </c>
      <c r="E359" s="16">
        <f>IF(Tabla1[[#This Row],[% Error1]]&gt;$E$1,Tabla1[[#This Row],[No]],IF(Tabla1[[#This Row],[% Error1]]&lt;-$E$1,Tabla1[[#This Row],[No]],""))</f>
        <v>306</v>
      </c>
      <c r="F359" s="16" t="str">
        <f>IF(Tabla1[[#This Row],[ID]]="","",VLOOKUP(Tabla1[[#This Row],[ID]],Tabla7[],2,FALSE))</f>
        <v>CCCCOC(=O)CCCCCCC/C=C\C/C=C\C/C=C\CC</v>
      </c>
      <c r="G359" s="14" t="str">
        <f>IF(Tabla1[[#This Row],[ID]]="","",VLOOKUP(Tabla1[[#This Row],[ID]],Tabla7[],36,FALSE))</f>
        <v>Training</v>
      </c>
      <c r="H359" s="16" t="str">
        <f>IF(Tabla1[[#This Row],[ID]]="","",VLOOKUP(Tabla1[[#This Row],[ID]],Tabla7[],4,FALSE))</f>
        <v>Ester</v>
      </c>
      <c r="I359" s="16">
        <f>IF(Tabla1[[#This Row],[ID]]="","",VLOOKUP(Tabla1[[#This Row],[ID]],Tabla1[],4,FALSE))</f>
        <v>-10.703160917793001</v>
      </c>
      <c r="J359" s="16">
        <f>Tabla1[[#This Row],[CN Literatura]]-Tabla1[[#This Row],[CN Predicted]]</f>
        <v>-3.0611040224887986</v>
      </c>
    </row>
    <row r="360" spans="1:10" x14ac:dyDescent="0.25">
      <c r="A360" s="1">
        <f>Desgloce!A359</f>
        <v>307</v>
      </c>
      <c r="B360" s="14">
        <f>VLOOKUP(Tabla1[[#This Row],[No]],Tabla7[],7,FALSE)</f>
        <v>28.6</v>
      </c>
      <c r="C360" s="24">
        <v>35.572354429750398</v>
      </c>
      <c r="D360" s="15">
        <f>(B360-C360)/B360*100</f>
        <v>-24.378861642483901</v>
      </c>
      <c r="E360" s="16">
        <f>IF(Tabla1[[#This Row],[% Error1]]&gt;$E$1,Tabla1[[#This Row],[No]],IF(Tabla1[[#This Row],[% Error1]]&lt;-$E$1,Tabla1[[#This Row],[No]],""))</f>
        <v>307</v>
      </c>
      <c r="F360" s="16" t="str">
        <f>IF(Tabla1[[#This Row],[ID]]="","",VLOOKUP(Tabla1[[#This Row],[ID]],Tabla7[],2,FALSE))</f>
        <v>C(CCCCCCCC=CCC=CCC=CCC)(=O)OCCCC</v>
      </c>
      <c r="G360" s="14" t="str">
        <f>IF(Tabla1[[#This Row],[ID]]="","",VLOOKUP(Tabla1[[#This Row],[ID]],Tabla7[],36,FALSE))</f>
        <v>Training</v>
      </c>
      <c r="H360" s="16" t="str">
        <f>IF(Tabla1[[#This Row],[ID]]="","",VLOOKUP(Tabla1[[#This Row],[ID]],Tabla7[],4,FALSE))</f>
        <v>Polyfunctional</v>
      </c>
      <c r="I360" s="16">
        <f>IF(Tabla1[[#This Row],[ID]]="","",VLOOKUP(Tabla1[[#This Row],[ID]],Tabla1[],4,FALSE))</f>
        <v>-24.378861642483901</v>
      </c>
      <c r="J360" s="16">
        <f>Tabla1[[#This Row],[CN Literatura]]-Tabla1[[#This Row],[CN Predicted]]</f>
        <v>-6.9723544297503963</v>
      </c>
    </row>
    <row r="361" spans="1:10" x14ac:dyDescent="0.25">
      <c r="A361" s="1">
        <f>Desgloce!A360</f>
        <v>309</v>
      </c>
      <c r="B361" s="14">
        <f>VLOOKUP(Tabla1[[#This Row],[No]],Tabla7[],7,FALSE)</f>
        <v>28.8</v>
      </c>
      <c r="C361" s="24">
        <v>21.9164016710968</v>
      </c>
      <c r="D361" s="15">
        <f>(B361-C361)/B361*100</f>
        <v>23.901383086469448</v>
      </c>
      <c r="E361" s="16">
        <f>IF(Tabla1[[#This Row],[% Error1]]&gt;$E$1,Tabla1[[#This Row],[No]],IF(Tabla1[[#This Row],[% Error1]]&lt;-$E$1,Tabla1[[#This Row],[No]],""))</f>
        <v>309</v>
      </c>
      <c r="F361" s="16" t="str">
        <f>IF(Tabla1[[#This Row],[ID]]="","",VLOOKUP(Tabla1[[#This Row],[ID]],Tabla7[],2,FALSE))</f>
        <v>C(CCCC)(=O)OCCCCC</v>
      </c>
      <c r="G361" s="14" t="str">
        <f>IF(Tabla1[[#This Row],[ID]]="","",VLOOKUP(Tabla1[[#This Row],[ID]],Tabla7[],36,FALSE))</f>
        <v>Training</v>
      </c>
      <c r="H361" s="16" t="str">
        <f>IF(Tabla1[[#This Row],[ID]]="","",VLOOKUP(Tabla1[[#This Row],[ID]],Tabla7[],4,FALSE))</f>
        <v>Ester: saturated</v>
      </c>
      <c r="I361" s="16">
        <f>IF(Tabla1[[#This Row],[ID]]="","",VLOOKUP(Tabla1[[#This Row],[ID]],Tabla1[],4,FALSE))</f>
        <v>23.901383086469448</v>
      </c>
      <c r="J361" s="16">
        <f>Tabla1[[#This Row],[CN Literatura]]-Tabla1[[#This Row],[CN Predicted]]</f>
        <v>6.8835983289032008</v>
      </c>
    </row>
    <row r="362" spans="1:10" x14ac:dyDescent="0.25">
      <c r="A362" s="1">
        <f>Desgloce!A361</f>
        <v>311</v>
      </c>
      <c r="B362" s="14">
        <f>VLOOKUP(Tabla1[[#This Row],[No]],Tabla7[],7,FALSE)</f>
        <v>29</v>
      </c>
      <c r="C362" s="24">
        <v>35.572354429750398</v>
      </c>
      <c r="D362" s="15">
        <f>(B362-C362)/B362*100</f>
        <v>-22.663291137070338</v>
      </c>
      <c r="E362" s="16">
        <f>IF(Tabla1[[#This Row],[% Error1]]&gt;$E$1,Tabla1[[#This Row],[No]],IF(Tabla1[[#This Row],[% Error1]]&lt;-$E$1,Tabla1[[#This Row],[No]],""))</f>
        <v>311</v>
      </c>
      <c r="F362" s="16" t="str">
        <f>IF(Tabla1[[#This Row],[ID]]="","",VLOOKUP(Tabla1[[#This Row],[ID]],Tabla7[],2,FALSE))</f>
        <v>CC1(C(CCCC1)C)C</v>
      </c>
      <c r="G362" s="14" t="str">
        <f>IF(Tabla1[[#This Row],[ID]]="","",VLOOKUP(Tabla1[[#This Row],[ID]],Tabla7[],36,FALSE))</f>
        <v>Training</v>
      </c>
      <c r="H362" s="16" t="str">
        <f>IF(Tabla1[[#This Row],[ID]]="","",VLOOKUP(Tabla1[[#This Row],[ID]],Tabla7[],4,FALSE))</f>
        <v>cyclo-alkane</v>
      </c>
      <c r="I362" s="16">
        <f>IF(Tabla1[[#This Row],[ID]]="","",VLOOKUP(Tabla1[[#This Row],[ID]],Tabla1[],4,FALSE))</f>
        <v>-22.663291137070338</v>
      </c>
      <c r="J362" s="16">
        <f>Tabla1[[#This Row],[CN Literatura]]-Tabla1[[#This Row],[CN Predicted]]</f>
        <v>-6.5723544297503977</v>
      </c>
    </row>
    <row r="363" spans="1:10" x14ac:dyDescent="0.25">
      <c r="A363" s="1">
        <f>Desgloce!A362</f>
        <v>313</v>
      </c>
      <c r="B363" s="14">
        <f>VLOOKUP(Tabla1[[#This Row],[No]],Tabla7[],7,FALSE)</f>
        <v>29</v>
      </c>
      <c r="C363" s="24">
        <v>29.464266648272801</v>
      </c>
      <c r="D363" s="15">
        <f>(B363-C363)/B363*100</f>
        <v>-1.6009194768027621</v>
      </c>
      <c r="E363" s="16" t="str">
        <f>IF(Tabla1[[#This Row],[% Error1]]&gt;$E$1,Tabla1[[#This Row],[No]],IF(Tabla1[[#This Row],[% Error1]]&lt;-$E$1,Tabla1[[#This Row],[No]],""))</f>
        <v/>
      </c>
      <c r="F363" s="16" t="str">
        <f>IF(Tabla1[[#This Row],[ID]]="","",VLOOKUP(Tabla1[[#This Row],[ID]],Tabla7[],2,FALSE))</f>
        <v/>
      </c>
      <c r="G363" s="14" t="str">
        <f>IF(Tabla1[[#This Row],[ID]]="","",VLOOKUP(Tabla1[[#This Row],[ID]],Tabla7[],36,FALSE))</f>
        <v/>
      </c>
      <c r="H363" s="16" t="str">
        <f>IF(Tabla1[[#This Row],[ID]]="","",VLOOKUP(Tabla1[[#This Row],[ID]],Tabla7[],4,FALSE))</f>
        <v/>
      </c>
      <c r="I363" s="16" t="str">
        <f>IF(Tabla1[[#This Row],[ID]]="","",VLOOKUP(Tabla1[[#This Row],[ID]],Tabla1[],4,FALSE))</f>
        <v/>
      </c>
      <c r="J363" s="16">
        <f>Tabla1[[#This Row],[CN Literatura]]-Tabla1[[#This Row],[CN Predicted]]</f>
        <v>-0.46426664827280106</v>
      </c>
    </row>
    <row r="364" spans="1:10" x14ac:dyDescent="0.25">
      <c r="A364" s="1">
        <f>Desgloce!A363</f>
        <v>314</v>
      </c>
      <c r="B364" s="14">
        <f>VLOOKUP(Tabla1[[#This Row],[No]],Tabla7[],7,FALSE)</f>
        <v>29</v>
      </c>
      <c r="C364" s="24">
        <v>49.845681287125899</v>
      </c>
      <c r="D364" s="15">
        <f>(B364-C364)/B364*100</f>
        <v>-71.881659610778954</v>
      </c>
      <c r="E364" s="16">
        <f>IF(Tabla1[[#This Row],[% Error1]]&gt;$E$1,Tabla1[[#This Row],[No]],IF(Tabla1[[#This Row],[% Error1]]&lt;-$E$1,Tabla1[[#This Row],[No]],""))</f>
        <v>314</v>
      </c>
      <c r="F364" s="16" t="str">
        <f>IF(Tabla1[[#This Row],[ID]]="","",VLOOKUP(Tabla1[[#This Row],[ID]],Tabla7[],2,FALSE))</f>
        <v>CCCCOC(=O)CCCCCCC/C=C\C/C=C\C/C=C\CC</v>
      </c>
      <c r="G364" s="14" t="str">
        <f>IF(Tabla1[[#This Row],[ID]]="","",VLOOKUP(Tabla1[[#This Row],[ID]],Tabla7[],36,FALSE))</f>
        <v>Training</v>
      </c>
      <c r="H364" s="16" t="str">
        <f>IF(Tabla1[[#This Row],[ID]]="","",VLOOKUP(Tabla1[[#This Row],[ID]],Tabla7[],4,FALSE))</f>
        <v>Ester: Unsaturated</v>
      </c>
      <c r="I364" s="16">
        <f>IF(Tabla1[[#This Row],[ID]]="","",VLOOKUP(Tabla1[[#This Row],[ID]],Tabla1[],4,FALSE))</f>
        <v>-71.881659610778954</v>
      </c>
      <c r="J364" s="16">
        <f>Tabla1[[#This Row],[CN Literatura]]-Tabla1[[#This Row],[CN Predicted]]</f>
        <v>-20.845681287125899</v>
      </c>
    </row>
    <row r="365" spans="1:10" x14ac:dyDescent="0.25">
      <c r="A365" s="1">
        <f>Desgloce!A364</f>
        <v>315</v>
      </c>
      <c r="B365" s="14">
        <f>VLOOKUP(Tabla1[[#This Row],[No]],Tabla7[],7,FALSE)</f>
        <v>29</v>
      </c>
      <c r="C365" s="24">
        <v>29.4228863680922</v>
      </c>
      <c r="D365" s="15">
        <f>(B365-C365)/B365*100</f>
        <v>-1.458228855490346</v>
      </c>
      <c r="E365" s="16" t="str">
        <f>IF(Tabla1[[#This Row],[% Error1]]&gt;$E$1,Tabla1[[#This Row],[No]],IF(Tabla1[[#This Row],[% Error1]]&lt;-$E$1,Tabla1[[#This Row],[No]],""))</f>
        <v/>
      </c>
      <c r="F365" s="16" t="str">
        <f>IF(Tabla1[[#This Row],[ID]]="","",VLOOKUP(Tabla1[[#This Row],[ID]],Tabla7[],2,FALSE))</f>
        <v/>
      </c>
      <c r="G365" s="14" t="str">
        <f>IF(Tabla1[[#This Row],[ID]]="","",VLOOKUP(Tabla1[[#This Row],[ID]],Tabla7[],36,FALSE))</f>
        <v/>
      </c>
      <c r="H365" s="16" t="str">
        <f>IF(Tabla1[[#This Row],[ID]]="","",VLOOKUP(Tabla1[[#This Row],[ID]],Tabla7[],4,FALSE))</f>
        <v/>
      </c>
      <c r="I365" s="16" t="str">
        <f>IF(Tabla1[[#This Row],[ID]]="","",VLOOKUP(Tabla1[[#This Row],[ID]],Tabla1[],4,FALSE))</f>
        <v/>
      </c>
      <c r="J365" s="16">
        <f>Tabla1[[#This Row],[CN Literatura]]-Tabla1[[#This Row],[CN Predicted]]</f>
        <v>-0.42288636809220037</v>
      </c>
    </row>
    <row r="366" spans="1:10" x14ac:dyDescent="0.25">
      <c r="A366" s="1">
        <f>Desgloce!A365</f>
        <v>316</v>
      </c>
      <c r="B366" s="14">
        <f>VLOOKUP(Tabla1[[#This Row],[No]],Tabla7[],7,FALSE)</f>
        <v>29</v>
      </c>
      <c r="C366" s="24">
        <v>28.618456911232698</v>
      </c>
      <c r="D366" s="15">
        <f>(B366-C366)/B366*100</f>
        <v>1.3156658233355232</v>
      </c>
      <c r="E366" s="16" t="str">
        <f>IF(Tabla1[[#This Row],[% Error1]]&gt;$E$1,Tabla1[[#This Row],[No]],IF(Tabla1[[#This Row],[% Error1]]&lt;-$E$1,Tabla1[[#This Row],[No]],""))</f>
        <v/>
      </c>
      <c r="F366" s="16" t="str">
        <f>IF(Tabla1[[#This Row],[ID]]="","",VLOOKUP(Tabla1[[#This Row],[ID]],Tabla7[],2,FALSE))</f>
        <v/>
      </c>
      <c r="G366" s="14" t="str">
        <f>IF(Tabla1[[#This Row],[ID]]="","",VLOOKUP(Tabla1[[#This Row],[ID]],Tabla7[],36,FALSE))</f>
        <v/>
      </c>
      <c r="H366" s="16" t="str">
        <f>IF(Tabla1[[#This Row],[ID]]="","",VLOOKUP(Tabla1[[#This Row],[ID]],Tabla7[],4,FALSE))</f>
        <v/>
      </c>
      <c r="I366" s="16" t="str">
        <f>IF(Tabla1[[#This Row],[ID]]="","",VLOOKUP(Tabla1[[#This Row],[ID]],Tabla1[],4,FALSE))</f>
        <v/>
      </c>
      <c r="J366" s="16">
        <f>Tabla1[[#This Row],[CN Literatura]]-Tabla1[[#This Row],[CN Predicted]]</f>
        <v>0.3815430887673017</v>
      </c>
    </row>
    <row r="367" spans="1:10" x14ac:dyDescent="0.25">
      <c r="A367" s="1">
        <f>Desgloce!A366</f>
        <v>317</v>
      </c>
      <c r="B367" s="14">
        <f>VLOOKUP(Tabla1[[#This Row],[No]],Tabla7[],7,FALSE)</f>
        <v>29.2</v>
      </c>
      <c r="C367" s="24">
        <v>28.7653821537167</v>
      </c>
      <c r="D367" s="15">
        <f>(B367-C367)/B367*100</f>
        <v>1.4884172817921193</v>
      </c>
      <c r="E367" s="16" t="str">
        <f>IF(Tabla1[[#This Row],[% Error1]]&gt;$E$1,Tabla1[[#This Row],[No]],IF(Tabla1[[#This Row],[% Error1]]&lt;-$E$1,Tabla1[[#This Row],[No]],""))</f>
        <v/>
      </c>
      <c r="F367" s="16" t="str">
        <f>IF(Tabla1[[#This Row],[ID]]="","",VLOOKUP(Tabla1[[#This Row],[ID]],Tabla7[],2,FALSE))</f>
        <v/>
      </c>
      <c r="G367" s="14" t="str">
        <f>IF(Tabla1[[#This Row],[ID]]="","",VLOOKUP(Tabla1[[#This Row],[ID]],Tabla7[],36,FALSE))</f>
        <v/>
      </c>
      <c r="H367" s="16" t="str">
        <f>IF(Tabla1[[#This Row],[ID]]="","",VLOOKUP(Tabla1[[#This Row],[ID]],Tabla7[],4,FALSE))</f>
        <v/>
      </c>
      <c r="I367" s="16" t="str">
        <f>IF(Tabla1[[#This Row],[ID]]="","",VLOOKUP(Tabla1[[#This Row],[ID]],Tabla1[],4,FALSE))</f>
        <v/>
      </c>
      <c r="J367" s="16">
        <f>Tabla1[[#This Row],[CN Literatura]]-Tabla1[[#This Row],[CN Predicted]]</f>
        <v>0.4346178462832988</v>
      </c>
    </row>
    <row r="368" spans="1:10" x14ac:dyDescent="0.25">
      <c r="A368" s="1">
        <f>Desgloce!A367</f>
        <v>319</v>
      </c>
      <c r="B368" s="14">
        <f>VLOOKUP(Tabla1[[#This Row],[No]],Tabla7[],7,FALSE)</f>
        <v>29.3</v>
      </c>
      <c r="C368" s="24">
        <v>28.221114949795499</v>
      </c>
      <c r="D368" s="15">
        <f>(B368-C368)/B368*100</f>
        <v>3.6822015365341345</v>
      </c>
      <c r="E368" s="16" t="str">
        <f>IF(Tabla1[[#This Row],[% Error1]]&gt;$E$1,Tabla1[[#This Row],[No]],IF(Tabla1[[#This Row],[% Error1]]&lt;-$E$1,Tabla1[[#This Row],[No]],""))</f>
        <v/>
      </c>
      <c r="F368" s="16" t="str">
        <f>IF(Tabla1[[#This Row],[ID]]="","",VLOOKUP(Tabla1[[#This Row],[ID]],Tabla7[],2,FALSE))</f>
        <v/>
      </c>
      <c r="G368" s="14" t="str">
        <f>IF(Tabla1[[#This Row],[ID]]="","",VLOOKUP(Tabla1[[#This Row],[ID]],Tabla7[],36,FALSE))</f>
        <v/>
      </c>
      <c r="H368" s="16" t="str">
        <f>IF(Tabla1[[#This Row],[ID]]="","",VLOOKUP(Tabla1[[#This Row],[ID]],Tabla7[],4,FALSE))</f>
        <v/>
      </c>
      <c r="I368" s="16" t="str">
        <f>IF(Tabla1[[#This Row],[ID]]="","",VLOOKUP(Tabla1[[#This Row],[ID]],Tabla1[],4,FALSE))</f>
        <v/>
      </c>
      <c r="J368" s="16">
        <f>Tabla1[[#This Row],[CN Literatura]]-Tabla1[[#This Row],[CN Predicted]]</f>
        <v>1.0788850502045015</v>
      </c>
    </row>
    <row r="369" spans="1:10" x14ac:dyDescent="0.25">
      <c r="A369" s="1">
        <f>Desgloce!A368</f>
        <v>323</v>
      </c>
      <c r="B369" s="14">
        <f>VLOOKUP(Tabla1[[#This Row],[No]],Tabla7[],7,FALSE)</f>
        <v>29.8</v>
      </c>
      <c r="C369" s="24">
        <v>22.509539454497101</v>
      </c>
      <c r="D369" s="15">
        <f>(B369-C369)/B369*100</f>
        <v>24.464632703029864</v>
      </c>
      <c r="E369" s="16">
        <f>IF(Tabla1[[#This Row],[% Error1]]&gt;$E$1,Tabla1[[#This Row],[No]],IF(Tabla1[[#This Row],[% Error1]]&lt;-$E$1,Tabla1[[#This Row],[No]],""))</f>
        <v>323</v>
      </c>
      <c r="F369" s="16" t="str">
        <f>IF(Tabla1[[#This Row],[ID]]="","",VLOOKUP(Tabla1[[#This Row],[ID]],Tabla7[],2,FALSE))</f>
        <v>CC1C(C(CCC1)C)C</v>
      </c>
      <c r="G369" s="14" t="str">
        <f>IF(Tabla1[[#This Row],[ID]]="","",VLOOKUP(Tabla1[[#This Row],[ID]],Tabla7[],36,FALSE))</f>
        <v>Training</v>
      </c>
      <c r="H369" s="16" t="str">
        <f>IF(Tabla1[[#This Row],[ID]]="","",VLOOKUP(Tabla1[[#This Row],[ID]],Tabla7[],4,FALSE))</f>
        <v>cyclo-alkane</v>
      </c>
      <c r="I369" s="16">
        <f>IF(Tabla1[[#This Row],[ID]]="","",VLOOKUP(Tabla1[[#This Row],[ID]],Tabla1[],4,FALSE))</f>
        <v>24.464632703029864</v>
      </c>
      <c r="J369" s="16">
        <f>Tabla1[[#This Row],[CN Literatura]]-Tabla1[[#This Row],[CN Predicted]]</f>
        <v>7.2904605455028992</v>
      </c>
    </row>
    <row r="370" spans="1:10" x14ac:dyDescent="0.25">
      <c r="A370" s="1">
        <f>Desgloce!A369</f>
        <v>324</v>
      </c>
      <c r="B370" s="14">
        <f>VLOOKUP(Tabla1[[#This Row],[No]],Tabla7[],7,FALSE)</f>
        <v>29.9</v>
      </c>
      <c r="C370" s="24">
        <v>26.145093462921</v>
      </c>
      <c r="D370" s="15">
        <f>(B370-C370)/B370*100</f>
        <v>12.558215843073572</v>
      </c>
      <c r="E370" s="16">
        <f>IF(Tabla1[[#This Row],[% Error1]]&gt;$E$1,Tabla1[[#This Row],[No]],IF(Tabla1[[#This Row],[% Error1]]&lt;-$E$1,Tabla1[[#This Row],[No]],""))</f>
        <v>324</v>
      </c>
      <c r="F370" s="16" t="str">
        <f>IF(Tabla1[[#This Row],[ID]]="","",VLOOKUP(Tabla1[[#This Row],[ID]],Tabla7[],2,FALSE))</f>
        <v>C(C)(C)(C)C1CCCCC1</v>
      </c>
      <c r="G370" s="14" t="str">
        <f>IF(Tabla1[[#This Row],[ID]]="","",VLOOKUP(Tabla1[[#This Row],[ID]],Tabla7[],36,FALSE))</f>
        <v>Training</v>
      </c>
      <c r="H370" s="16" t="str">
        <f>IF(Tabla1[[#This Row],[ID]]="","",VLOOKUP(Tabla1[[#This Row],[ID]],Tabla7[],4,FALSE))</f>
        <v>cyclo-alkane</v>
      </c>
      <c r="I370" s="16">
        <f>IF(Tabla1[[#This Row],[ID]]="","",VLOOKUP(Tabla1[[#This Row],[ID]],Tabla1[],4,FALSE))</f>
        <v>12.558215843073572</v>
      </c>
      <c r="J370" s="16">
        <f>Tabla1[[#This Row],[CN Literatura]]-Tabla1[[#This Row],[CN Predicted]]</f>
        <v>3.7549065370789982</v>
      </c>
    </row>
    <row r="371" spans="1:10" x14ac:dyDescent="0.25">
      <c r="A371" s="1">
        <f>Desgloce!A370</f>
        <v>326</v>
      </c>
      <c r="B371" s="14">
        <f>VLOOKUP(Tabla1[[#This Row],[No]],Tabla7[],7,FALSE)</f>
        <v>30</v>
      </c>
      <c r="C371" s="24">
        <v>18.435894615444401</v>
      </c>
      <c r="D371" s="15">
        <f>(B371-C371)/B371*100</f>
        <v>38.547017948518665</v>
      </c>
      <c r="E371" s="16">
        <f>IF(Tabla1[[#This Row],[% Error1]]&gt;$E$1,Tabla1[[#This Row],[No]],IF(Tabla1[[#This Row],[% Error1]]&lt;-$E$1,Tabla1[[#This Row],[No]],""))</f>
        <v>326</v>
      </c>
      <c r="F371" s="16" t="str">
        <f>IF(Tabla1[[#This Row],[ID]]="","",VLOOKUP(Tabla1[[#This Row],[ID]],Tabla7[],2,FALSE))</f>
        <v>CCC(C)CC</v>
      </c>
      <c r="G371" s="14" t="str">
        <f>IF(Tabla1[[#This Row],[ID]]="","",VLOOKUP(Tabla1[[#This Row],[ID]],Tabla7[],36,FALSE))</f>
        <v>Training</v>
      </c>
      <c r="H371" s="16" t="str">
        <f>IF(Tabla1[[#This Row],[ID]]="","",VLOOKUP(Tabla1[[#This Row],[ID]],Tabla7[],4,FALSE))</f>
        <v>iso-alkane</v>
      </c>
      <c r="I371" s="16">
        <f>IF(Tabla1[[#This Row],[ID]]="","",VLOOKUP(Tabla1[[#This Row],[ID]],Tabla1[],4,FALSE))</f>
        <v>38.547017948518665</v>
      </c>
      <c r="J371" s="16">
        <f>Tabla1[[#This Row],[CN Literatura]]-Tabla1[[#This Row],[CN Predicted]]</f>
        <v>11.564105384555599</v>
      </c>
    </row>
    <row r="372" spans="1:10" x14ac:dyDescent="0.25">
      <c r="A372" s="1">
        <f>Desgloce!A371</f>
        <v>327</v>
      </c>
      <c r="B372" s="14">
        <f>VLOOKUP(Tabla1[[#This Row],[No]],Tabla7[],7,FALSE)</f>
        <v>30</v>
      </c>
      <c r="C372" s="24">
        <v>31.433916341563499</v>
      </c>
      <c r="D372" s="15">
        <f>(B372-C372)/B372*100</f>
        <v>-4.779721138544998</v>
      </c>
      <c r="E372" s="16" t="str">
        <f>IF(Tabla1[[#This Row],[% Error1]]&gt;$E$1,Tabla1[[#This Row],[No]],IF(Tabla1[[#This Row],[% Error1]]&lt;-$E$1,Tabla1[[#This Row],[No]],""))</f>
        <v/>
      </c>
      <c r="F372" s="16" t="str">
        <f>IF(Tabla1[[#This Row],[ID]]="","",VLOOKUP(Tabla1[[#This Row],[ID]],Tabla7[],2,FALSE))</f>
        <v/>
      </c>
      <c r="G372" s="14" t="str">
        <f>IF(Tabla1[[#This Row],[ID]]="","",VLOOKUP(Tabla1[[#This Row],[ID]],Tabla7[],36,FALSE))</f>
        <v/>
      </c>
      <c r="H372" s="16" t="str">
        <f>IF(Tabla1[[#This Row],[ID]]="","",VLOOKUP(Tabla1[[#This Row],[ID]],Tabla7[],4,FALSE))</f>
        <v/>
      </c>
      <c r="I372" s="16" t="str">
        <f>IF(Tabla1[[#This Row],[ID]]="","",VLOOKUP(Tabla1[[#This Row],[ID]],Tabla1[],4,FALSE))</f>
        <v/>
      </c>
      <c r="J372" s="16">
        <f>Tabla1[[#This Row],[CN Literatura]]-Tabla1[[#This Row],[CN Predicted]]</f>
        <v>-1.4339163415634992</v>
      </c>
    </row>
    <row r="373" spans="1:10" x14ac:dyDescent="0.25">
      <c r="A373" s="1">
        <f>Desgloce!A372</f>
        <v>328</v>
      </c>
      <c r="B373" s="14">
        <f>VLOOKUP(Tabla1[[#This Row],[No]],Tabla7[],7,FALSE)</f>
        <v>30</v>
      </c>
      <c r="C373" s="24">
        <v>30.1497154959523</v>
      </c>
      <c r="D373" s="15">
        <f>(B373-C373)/B373*100</f>
        <v>-0.49905165317433392</v>
      </c>
      <c r="E373" s="16" t="str">
        <f>IF(Tabla1[[#This Row],[% Error1]]&gt;$E$1,Tabla1[[#This Row],[No]],IF(Tabla1[[#This Row],[% Error1]]&lt;-$E$1,Tabla1[[#This Row],[No]],""))</f>
        <v/>
      </c>
      <c r="F373" s="16" t="str">
        <f>IF(Tabla1[[#This Row],[ID]]="","",VLOOKUP(Tabla1[[#This Row],[ID]],Tabla7[],2,FALSE))</f>
        <v/>
      </c>
      <c r="G373" s="14" t="str">
        <f>IF(Tabla1[[#This Row],[ID]]="","",VLOOKUP(Tabla1[[#This Row],[ID]],Tabla7[],36,FALSE))</f>
        <v/>
      </c>
      <c r="H373" s="16" t="str">
        <f>IF(Tabla1[[#This Row],[ID]]="","",VLOOKUP(Tabla1[[#This Row],[ID]],Tabla7[],4,FALSE))</f>
        <v/>
      </c>
      <c r="I373" s="16" t="str">
        <f>IF(Tabla1[[#This Row],[ID]]="","",VLOOKUP(Tabla1[[#This Row],[ID]],Tabla1[],4,FALSE))</f>
        <v/>
      </c>
      <c r="J373" s="16">
        <f>Tabla1[[#This Row],[CN Literatura]]-Tabla1[[#This Row],[CN Predicted]]</f>
        <v>-0.14971549595230016</v>
      </c>
    </row>
    <row r="374" spans="1:10" x14ac:dyDescent="0.25">
      <c r="A374" s="1">
        <f>Desgloce!A373</f>
        <v>330</v>
      </c>
      <c r="B374" s="14">
        <f>VLOOKUP(Tabla1[[#This Row],[No]],Tabla7[],7,FALSE)</f>
        <v>30</v>
      </c>
      <c r="C374" s="24">
        <v>25.898377648014499</v>
      </c>
      <c r="D374" s="15">
        <f>(B374-C374)/B374*100</f>
        <v>13.672074506618337</v>
      </c>
      <c r="E374" s="16">
        <f>IF(Tabla1[[#This Row],[% Error1]]&gt;$E$1,Tabla1[[#This Row],[No]],IF(Tabla1[[#This Row],[% Error1]]&lt;-$E$1,Tabla1[[#This Row],[No]],""))</f>
        <v>330</v>
      </c>
      <c r="F374" s="16" t="str">
        <f>IF(Tabla1[[#This Row],[ID]]="","",VLOOKUP(Tabla1[[#This Row],[ID]],Tabla7[],2,FALSE))</f>
        <v>CC1CCOC(C1)C=C(C)C</v>
      </c>
      <c r="G374" s="14" t="str">
        <f>IF(Tabla1[[#This Row],[ID]]="","",VLOOKUP(Tabla1[[#This Row],[ID]],Tabla7[],36,FALSE))</f>
        <v>Training</v>
      </c>
      <c r="H374" s="16" t="str">
        <f>IF(Tabla1[[#This Row],[ID]]="","",VLOOKUP(Tabla1[[#This Row],[ID]],Tabla7[],4,FALSE))</f>
        <v>Polyfunctional</v>
      </c>
      <c r="I374" s="16">
        <f>IF(Tabla1[[#This Row],[ID]]="","",VLOOKUP(Tabla1[[#This Row],[ID]],Tabla1[],4,FALSE))</f>
        <v>13.672074506618337</v>
      </c>
      <c r="J374" s="16">
        <f>Tabla1[[#This Row],[CN Literatura]]-Tabla1[[#This Row],[CN Predicted]]</f>
        <v>4.1016223519855011</v>
      </c>
    </row>
    <row r="375" spans="1:10" x14ac:dyDescent="0.25">
      <c r="A375" s="1">
        <f>Desgloce!A374</f>
        <v>331</v>
      </c>
      <c r="B375" s="14">
        <f>VLOOKUP(Tabla1[[#This Row],[No]],Tabla7[],7,FALSE)</f>
        <v>30.5</v>
      </c>
      <c r="C375" s="24">
        <v>30.170354907222102</v>
      </c>
      <c r="D375" s="15">
        <f>(B375-C375)/B375*100</f>
        <v>1.0808035828783555</v>
      </c>
      <c r="E375" s="16" t="str">
        <f>IF(Tabla1[[#This Row],[% Error1]]&gt;$E$1,Tabla1[[#This Row],[No]],IF(Tabla1[[#This Row],[% Error1]]&lt;-$E$1,Tabla1[[#This Row],[No]],""))</f>
        <v/>
      </c>
      <c r="F375" s="16" t="str">
        <f>IF(Tabla1[[#This Row],[ID]]="","",VLOOKUP(Tabla1[[#This Row],[ID]],Tabla7[],2,FALSE))</f>
        <v/>
      </c>
      <c r="G375" s="14" t="str">
        <f>IF(Tabla1[[#This Row],[ID]]="","",VLOOKUP(Tabla1[[#This Row],[ID]],Tabla7[],36,FALSE))</f>
        <v/>
      </c>
      <c r="H375" s="16" t="str">
        <f>IF(Tabla1[[#This Row],[ID]]="","",VLOOKUP(Tabla1[[#This Row],[ID]],Tabla7[],4,FALSE))</f>
        <v/>
      </c>
      <c r="I375" s="16" t="str">
        <f>IF(Tabla1[[#This Row],[ID]]="","",VLOOKUP(Tabla1[[#This Row],[ID]],Tabla1[],4,FALSE))</f>
        <v/>
      </c>
      <c r="J375" s="16">
        <f>Tabla1[[#This Row],[CN Literatura]]-Tabla1[[#This Row],[CN Predicted]]</f>
        <v>0.32964509277789844</v>
      </c>
    </row>
    <row r="376" spans="1:10" x14ac:dyDescent="0.25">
      <c r="A376" s="1">
        <f>Desgloce!A375</f>
        <v>332</v>
      </c>
      <c r="B376" s="14">
        <f>VLOOKUP(Tabla1[[#This Row],[No]],Tabla7[],7,FALSE)</f>
        <v>30.5</v>
      </c>
      <c r="C376" s="24">
        <v>23.976801935179701</v>
      </c>
      <c r="D376" s="15">
        <f>(B376-C376)/B376*100</f>
        <v>21.387534638755078</v>
      </c>
      <c r="E376" s="16">
        <f>IF(Tabla1[[#This Row],[% Error1]]&gt;$E$1,Tabla1[[#This Row],[No]],IF(Tabla1[[#This Row],[% Error1]]&lt;-$E$1,Tabla1[[#This Row],[No]],""))</f>
        <v>332</v>
      </c>
      <c r="F376" s="16" t="str">
        <f>IF(Tabla1[[#This Row],[ID]]="","",VLOOKUP(Tabla1[[#This Row],[ID]],Tabla7[],2,FALSE))</f>
        <v>CC1CC(CCC1)C</v>
      </c>
      <c r="G376" s="14" t="str">
        <f>IF(Tabla1[[#This Row],[ID]]="","",VLOOKUP(Tabla1[[#This Row],[ID]],Tabla7[],36,FALSE))</f>
        <v>Training</v>
      </c>
      <c r="H376" s="16" t="str">
        <f>IF(Tabla1[[#This Row],[ID]]="","",VLOOKUP(Tabla1[[#This Row],[ID]],Tabla7[],4,FALSE))</f>
        <v>cyclo-alkane</v>
      </c>
      <c r="I376" s="16">
        <f>IF(Tabla1[[#This Row],[ID]]="","",VLOOKUP(Tabla1[[#This Row],[ID]],Tabla1[],4,FALSE))</f>
        <v>21.387534638755078</v>
      </c>
      <c r="J376" s="16">
        <f>Tabla1[[#This Row],[CN Literatura]]-Tabla1[[#This Row],[CN Predicted]]</f>
        <v>6.5231980648202992</v>
      </c>
    </row>
    <row r="377" spans="1:10" x14ac:dyDescent="0.25">
      <c r="A377" s="1">
        <f>Desgloce!A376</f>
        <v>333</v>
      </c>
      <c r="B377" s="14">
        <f>VLOOKUP(Tabla1[[#This Row],[No]],Tabla7[],7,FALSE)</f>
        <v>31</v>
      </c>
      <c r="C377" s="24">
        <v>34.224813152327002</v>
      </c>
      <c r="D377" s="15">
        <f>(B377-C377)/B377*100</f>
        <v>-10.402623072022585</v>
      </c>
      <c r="E377" s="16">
        <f>IF(Tabla1[[#This Row],[% Error1]]&gt;$E$1,Tabla1[[#This Row],[No]],IF(Tabla1[[#This Row],[% Error1]]&lt;-$E$1,Tabla1[[#This Row],[No]],""))</f>
        <v>333</v>
      </c>
      <c r="F377" s="16" t="str">
        <f>IF(Tabla1[[#This Row],[ID]]="","",VLOOKUP(Tabla1[[#This Row],[ID]],Tabla7[],2,FALSE))</f>
        <v>C(CCCCCCC\C=C/C\C=C/CCCCC)(=O)O</v>
      </c>
      <c r="G377" s="14" t="str">
        <f>IF(Tabla1[[#This Row],[ID]]="","",VLOOKUP(Tabla1[[#This Row],[ID]],Tabla7[],36,FALSE))</f>
        <v>Training</v>
      </c>
      <c r="H377" s="16" t="str">
        <f>IF(Tabla1[[#This Row],[ID]]="","",VLOOKUP(Tabla1[[#This Row],[ID]],Tabla7[],4,FALSE))</f>
        <v>Carboxylic Acids</v>
      </c>
      <c r="I377" s="16">
        <f>IF(Tabla1[[#This Row],[ID]]="","",VLOOKUP(Tabla1[[#This Row],[ID]],Tabla1[],4,FALSE))</f>
        <v>-10.402623072022585</v>
      </c>
      <c r="J377" s="16">
        <f>Tabla1[[#This Row],[CN Literatura]]-Tabla1[[#This Row],[CN Predicted]]</f>
        <v>-3.2248131523270018</v>
      </c>
    </row>
    <row r="378" spans="1:10" x14ac:dyDescent="0.25">
      <c r="A378" s="1">
        <f>Desgloce!A377</f>
        <v>334</v>
      </c>
      <c r="B378" s="14">
        <f>VLOOKUP(Tabla1[[#This Row],[No]],Tabla7[],7,FALSE)</f>
        <v>31</v>
      </c>
      <c r="C378" s="24">
        <v>38.373383263978504</v>
      </c>
      <c r="D378" s="15">
        <f>(B378-C378)/B378*100</f>
        <v>-23.785107303156465</v>
      </c>
      <c r="E378" s="16">
        <f>IF(Tabla1[[#This Row],[% Error1]]&gt;$E$1,Tabla1[[#This Row],[No]],IF(Tabla1[[#This Row],[% Error1]]&lt;-$E$1,Tabla1[[#This Row],[No]],""))</f>
        <v>334</v>
      </c>
      <c r="F378" s="16" t="str">
        <f>IF(Tabla1[[#This Row],[ID]]="","",VLOOKUP(Tabla1[[#This Row],[ID]],Tabla7[],2,FALSE))</f>
        <v>CCCCCCCCC1CCCC2CCCCC12</v>
      </c>
      <c r="G378" s="14" t="str">
        <f>IF(Tabla1[[#This Row],[ID]]="","",VLOOKUP(Tabla1[[#This Row],[ID]],Tabla7[],36,FALSE))</f>
        <v>Training</v>
      </c>
      <c r="H378" s="16" t="str">
        <f>IF(Tabla1[[#This Row],[ID]]="","",VLOOKUP(Tabla1[[#This Row],[ID]],Tabla7[],4,FALSE))</f>
        <v>cyclo-alkane</v>
      </c>
      <c r="I378" s="16">
        <f>IF(Tabla1[[#This Row],[ID]]="","",VLOOKUP(Tabla1[[#This Row],[ID]],Tabla1[],4,FALSE))</f>
        <v>-23.785107303156465</v>
      </c>
      <c r="J378" s="16">
        <f>Tabla1[[#This Row],[CN Literatura]]-Tabla1[[#This Row],[CN Predicted]]</f>
        <v>-7.3733832639785035</v>
      </c>
    </row>
    <row r="379" spans="1:10" x14ac:dyDescent="0.25">
      <c r="A379" s="1">
        <f>Desgloce!A378</f>
        <v>335</v>
      </c>
      <c r="B379" s="14">
        <f>VLOOKUP(Tabla1[[#This Row],[No]],Tabla7[],7,FALSE)</f>
        <v>31</v>
      </c>
      <c r="C379" s="24">
        <v>35.619777524312298</v>
      </c>
      <c r="D379" s="15">
        <f>(B379-C379)/B379*100</f>
        <v>-14.902508142942898</v>
      </c>
      <c r="E379" s="16">
        <f>IF(Tabla1[[#This Row],[% Error1]]&gt;$E$1,Tabla1[[#This Row],[No]],IF(Tabla1[[#This Row],[% Error1]]&lt;-$E$1,Tabla1[[#This Row],[No]],""))</f>
        <v>335</v>
      </c>
      <c r="F379" s="16" t="str">
        <f>IF(Tabla1[[#This Row],[ID]]="","",VLOOKUP(Tabla1[[#This Row],[ID]],Tabla7[],2,FALSE))</f>
        <v>CCCCC1CCCC2CCCCC12</v>
      </c>
      <c r="G379" s="14" t="str">
        <f>IF(Tabla1[[#This Row],[ID]]="","",VLOOKUP(Tabla1[[#This Row],[ID]],Tabla7[],36,FALSE))</f>
        <v>Training</v>
      </c>
      <c r="H379" s="16" t="str">
        <f>IF(Tabla1[[#This Row],[ID]]="","",VLOOKUP(Tabla1[[#This Row],[ID]],Tabla7[],4,FALSE))</f>
        <v>cyclo-alkane</v>
      </c>
      <c r="I379" s="16">
        <f>IF(Tabla1[[#This Row],[ID]]="","",VLOOKUP(Tabla1[[#This Row],[ID]],Tabla1[],4,FALSE))</f>
        <v>-14.902508142942898</v>
      </c>
      <c r="J379" s="16">
        <f>Tabla1[[#This Row],[CN Literatura]]-Tabla1[[#This Row],[CN Predicted]]</f>
        <v>-4.6197775243122976</v>
      </c>
    </row>
    <row r="380" spans="1:10" x14ac:dyDescent="0.25">
      <c r="A380" s="1">
        <f>Desgloce!A379</f>
        <v>336</v>
      </c>
      <c r="B380" s="14">
        <f>VLOOKUP(Tabla1[[#This Row],[No]],Tabla7[],7,FALSE)</f>
        <v>31</v>
      </c>
      <c r="C380" s="24">
        <v>35.572354429750398</v>
      </c>
      <c r="D380" s="15">
        <f>(B380-C380)/B380*100</f>
        <v>-14.74953041854967</v>
      </c>
      <c r="E380" s="16">
        <f>IF(Tabla1[[#This Row],[% Error1]]&gt;$E$1,Tabla1[[#This Row],[No]],IF(Tabla1[[#This Row],[% Error1]]&lt;-$E$1,Tabla1[[#This Row],[No]],""))</f>
        <v>336</v>
      </c>
      <c r="F380" s="16" t="str">
        <f>IF(Tabla1[[#This Row],[ID]]="","",VLOOKUP(Tabla1[[#This Row],[ID]],Tabla7[],2,FALSE))</f>
        <v>C(CCC)C1CCCC2CCCCC12</v>
      </c>
      <c r="G380" s="14" t="str">
        <f>IF(Tabla1[[#This Row],[ID]]="","",VLOOKUP(Tabla1[[#This Row],[ID]],Tabla7[],36,FALSE))</f>
        <v>Training</v>
      </c>
      <c r="H380" s="16" t="str">
        <f>IF(Tabla1[[#This Row],[ID]]="","",VLOOKUP(Tabla1[[#This Row],[ID]],Tabla7[],4,FALSE))</f>
        <v>cyclo-alkane</v>
      </c>
      <c r="I380" s="16">
        <f>IF(Tabla1[[#This Row],[ID]]="","",VLOOKUP(Tabla1[[#This Row],[ID]],Tabla1[],4,FALSE))</f>
        <v>-14.74953041854967</v>
      </c>
      <c r="J380" s="16">
        <f>Tabla1[[#This Row],[CN Literatura]]-Tabla1[[#This Row],[CN Predicted]]</f>
        <v>-4.5723544297503977</v>
      </c>
    </row>
    <row r="381" spans="1:10" x14ac:dyDescent="0.25">
      <c r="A381" s="1">
        <f>Desgloce!A380</f>
        <v>338</v>
      </c>
      <c r="B381" s="14">
        <f>VLOOKUP(Tabla1[[#This Row],[No]],Tabla7[],7,FALSE)</f>
        <v>31</v>
      </c>
      <c r="C381" s="24">
        <v>25.934562903371098</v>
      </c>
      <c r="D381" s="15">
        <f>(B381-C381)/B381*100</f>
        <v>16.340119666544844</v>
      </c>
      <c r="E381" s="16">
        <f>IF(Tabla1[[#This Row],[% Error1]]&gt;$E$1,Tabla1[[#This Row],[No]],IF(Tabla1[[#This Row],[% Error1]]&lt;-$E$1,Tabla1[[#This Row],[No]],""))</f>
        <v>338</v>
      </c>
      <c r="F381" s="16" t="str">
        <f>IF(Tabla1[[#This Row],[ID]]="","",VLOOKUP(Tabla1[[#This Row],[ID]],Tabla7[],2,FALSE))</f>
        <v>C(CCCCC)(=O)OCCCC</v>
      </c>
      <c r="G381" s="14" t="str">
        <f>IF(Tabla1[[#This Row],[ID]]="","",VLOOKUP(Tabla1[[#This Row],[ID]],Tabla7[],36,FALSE))</f>
        <v>Training</v>
      </c>
      <c r="H381" s="16" t="str">
        <f>IF(Tabla1[[#This Row],[ID]]="","",VLOOKUP(Tabla1[[#This Row],[ID]],Tabla7[],4,FALSE))</f>
        <v>Ester: saturated</v>
      </c>
      <c r="I381" s="16">
        <f>IF(Tabla1[[#This Row],[ID]]="","",VLOOKUP(Tabla1[[#This Row],[ID]],Tabla1[],4,FALSE))</f>
        <v>16.340119666544844</v>
      </c>
      <c r="J381" s="16">
        <f>Tabla1[[#This Row],[CN Literatura]]-Tabla1[[#This Row],[CN Predicted]]</f>
        <v>5.0654370966289015</v>
      </c>
    </row>
    <row r="382" spans="1:10" x14ac:dyDescent="0.25">
      <c r="A382" s="1">
        <f>Desgloce!A381</f>
        <v>339</v>
      </c>
      <c r="B382" s="14">
        <f>VLOOKUP(Tabla1[[#This Row],[No]],Tabla7[],7,FALSE)</f>
        <v>31</v>
      </c>
      <c r="C382" s="24">
        <v>29.7139840905451</v>
      </c>
      <c r="D382" s="15">
        <f>(B382-C382)/B382*100</f>
        <v>4.1484384175964504</v>
      </c>
      <c r="E382" s="16" t="str">
        <f>IF(Tabla1[[#This Row],[% Error1]]&gt;$E$1,Tabla1[[#This Row],[No]],IF(Tabla1[[#This Row],[% Error1]]&lt;-$E$1,Tabla1[[#This Row],[No]],""))</f>
        <v/>
      </c>
      <c r="F382" s="16" t="str">
        <f>IF(Tabla1[[#This Row],[ID]]="","",VLOOKUP(Tabla1[[#This Row],[ID]],Tabla7[],2,FALSE))</f>
        <v/>
      </c>
      <c r="G382" s="14" t="str">
        <f>IF(Tabla1[[#This Row],[ID]]="","",VLOOKUP(Tabla1[[#This Row],[ID]],Tabla7[],36,FALSE))</f>
        <v/>
      </c>
      <c r="H382" s="16" t="str">
        <f>IF(Tabla1[[#This Row],[ID]]="","",VLOOKUP(Tabla1[[#This Row],[ID]],Tabla7[],4,FALSE))</f>
        <v/>
      </c>
      <c r="I382" s="16" t="str">
        <f>IF(Tabla1[[#This Row],[ID]]="","",VLOOKUP(Tabla1[[#This Row],[ID]],Tabla1[],4,FALSE))</f>
        <v/>
      </c>
      <c r="J382" s="16">
        <f>Tabla1[[#This Row],[CN Literatura]]-Tabla1[[#This Row],[CN Predicted]]</f>
        <v>1.2860159094548997</v>
      </c>
    </row>
    <row r="383" spans="1:10" x14ac:dyDescent="0.25">
      <c r="A383" s="1">
        <f>Desgloce!A382</f>
        <v>341</v>
      </c>
      <c r="B383" s="14">
        <f>VLOOKUP(Tabla1[[#This Row],[No]],Tabla7[],7,FALSE)</f>
        <v>31.3</v>
      </c>
      <c r="C383" s="24">
        <v>34.5435584207125</v>
      </c>
      <c r="D383" s="15">
        <f>(B383-C383)/B383*100</f>
        <v>-10.362806455950478</v>
      </c>
      <c r="E383" s="16">
        <f>IF(Tabla1[[#This Row],[% Error1]]&gt;$E$1,Tabla1[[#This Row],[No]],IF(Tabla1[[#This Row],[% Error1]]&lt;-$E$1,Tabla1[[#This Row],[No]],""))</f>
        <v>341</v>
      </c>
      <c r="F383" s="16" t="str">
        <f>IF(Tabla1[[#This Row],[ID]]="","",VLOOKUP(Tabla1[[#This Row],[ID]],Tabla7[],2,FALSE))</f>
        <v>CC(C)(OC)OC</v>
      </c>
      <c r="G383" s="14" t="str">
        <f>IF(Tabla1[[#This Row],[ID]]="","",VLOOKUP(Tabla1[[#This Row],[ID]],Tabla7[],36,FALSE))</f>
        <v>Training</v>
      </c>
      <c r="H383" s="16" t="str">
        <f>IF(Tabla1[[#This Row],[ID]]="","",VLOOKUP(Tabla1[[#This Row],[ID]],Tabla7[],4,FALSE))</f>
        <v>Ether</v>
      </c>
      <c r="I383" s="16">
        <f>IF(Tabla1[[#This Row],[ID]]="","",VLOOKUP(Tabla1[[#This Row],[ID]],Tabla1[],4,FALSE))</f>
        <v>-10.362806455950478</v>
      </c>
      <c r="J383" s="16">
        <f>Tabla1[[#This Row],[CN Literatura]]-Tabla1[[#This Row],[CN Predicted]]</f>
        <v>-3.2435584207124997</v>
      </c>
    </row>
    <row r="384" spans="1:10" x14ac:dyDescent="0.25">
      <c r="A384" s="1">
        <f>Desgloce!A383</f>
        <v>343</v>
      </c>
      <c r="B384" s="14">
        <f>VLOOKUP(Tabla1[[#This Row],[No]],Tabla7[],7,FALSE)</f>
        <v>32</v>
      </c>
      <c r="C384" s="24">
        <v>21.472657785064801</v>
      </c>
      <c r="D384" s="15">
        <f>(B384-C384)/B384*100</f>
        <v>32.897944421672499</v>
      </c>
      <c r="E384" s="16">
        <f>IF(Tabla1[[#This Row],[% Error1]]&gt;$E$1,Tabla1[[#This Row],[No]],IF(Tabla1[[#This Row],[% Error1]]&lt;-$E$1,Tabla1[[#This Row],[No]],""))</f>
        <v>343</v>
      </c>
      <c r="F384" s="16" t="str">
        <f>IF(Tabla1[[#This Row],[ID]]="","",VLOOKUP(Tabla1[[#This Row],[ID]],Tabla7[],2,FALSE))</f>
        <v>C=CCCCCC</v>
      </c>
      <c r="G384" s="14" t="str">
        <f>IF(Tabla1[[#This Row],[ID]]="","",VLOOKUP(Tabla1[[#This Row],[ID]],Tabla7[],36,FALSE))</f>
        <v>Training</v>
      </c>
      <c r="H384" s="16" t="str">
        <f>IF(Tabla1[[#This Row],[ID]]="","",VLOOKUP(Tabla1[[#This Row],[ID]],Tabla7[],4,FALSE))</f>
        <v>Alkene</v>
      </c>
      <c r="I384" s="16">
        <f>IF(Tabla1[[#This Row],[ID]]="","",VLOOKUP(Tabla1[[#This Row],[ID]],Tabla1[],4,FALSE))</f>
        <v>32.897944421672499</v>
      </c>
      <c r="J384" s="16">
        <f>Tabla1[[#This Row],[CN Literatura]]-Tabla1[[#This Row],[CN Predicted]]</f>
        <v>10.527342214935199</v>
      </c>
    </row>
    <row r="385" spans="1:10" x14ac:dyDescent="0.25">
      <c r="A385" s="1">
        <f>Desgloce!A384</f>
        <v>344</v>
      </c>
      <c r="B385" s="14">
        <f>VLOOKUP(Tabla1[[#This Row],[No]],Tabla7[],7,FALSE)</f>
        <v>32</v>
      </c>
      <c r="C385" s="24">
        <v>26.6372589183913</v>
      </c>
      <c r="D385" s="15">
        <f>(B385-C385)/B385*100</f>
        <v>16.758565880027188</v>
      </c>
      <c r="E385" s="16">
        <f>IF(Tabla1[[#This Row],[% Error1]]&gt;$E$1,Tabla1[[#This Row],[No]],IF(Tabla1[[#This Row],[% Error1]]&lt;-$E$1,Tabla1[[#This Row],[No]],""))</f>
        <v>344</v>
      </c>
      <c r="F385" s="16" t="str">
        <f>IF(Tabla1[[#This Row],[ID]]="","",VLOOKUP(Tabla1[[#This Row],[ID]],Tabla7[],2,FALSE))</f>
        <v>C(=C)C1CC=CCC1</v>
      </c>
      <c r="G385" s="14" t="str">
        <f>IF(Tabla1[[#This Row],[ID]]="","",VLOOKUP(Tabla1[[#This Row],[ID]],Tabla7[],36,FALSE))</f>
        <v>Training</v>
      </c>
      <c r="H385" s="16" t="str">
        <f>IF(Tabla1[[#This Row],[ID]]="","",VLOOKUP(Tabla1[[#This Row],[ID]],Tabla7[],4,FALSE))</f>
        <v>Alkene</v>
      </c>
      <c r="I385" s="16">
        <f>IF(Tabla1[[#This Row],[ID]]="","",VLOOKUP(Tabla1[[#This Row],[ID]],Tabla1[],4,FALSE))</f>
        <v>16.758565880027188</v>
      </c>
      <c r="J385" s="16">
        <f>Tabla1[[#This Row],[CN Literatura]]-Tabla1[[#This Row],[CN Predicted]]</f>
        <v>5.3627410816087</v>
      </c>
    </row>
    <row r="386" spans="1:10" x14ac:dyDescent="0.25">
      <c r="A386" s="1">
        <f>Desgloce!A385</f>
        <v>345</v>
      </c>
      <c r="B386" s="14">
        <f>VLOOKUP(Tabla1[[#This Row],[No]],Tabla7[],7,FALSE)</f>
        <v>32</v>
      </c>
      <c r="C386" s="24">
        <v>39.137532892307298</v>
      </c>
      <c r="D386" s="15">
        <f>(B386-C386)/B386*100</f>
        <v>-22.304790288460307</v>
      </c>
      <c r="E386" s="16">
        <f>IF(Tabla1[[#This Row],[% Error1]]&gt;$E$1,Tabla1[[#This Row],[No]],IF(Tabla1[[#This Row],[% Error1]]&lt;-$E$1,Tabla1[[#This Row],[No]],""))</f>
        <v>345</v>
      </c>
      <c r="F386" s="16" t="str">
        <f>IF(Tabla1[[#This Row],[ID]]="","",VLOOKUP(Tabla1[[#This Row],[ID]],Tabla7[],2,FALSE))</f>
        <v>CC(=CCCC(=CCC=C(C)C=C)C)C</v>
      </c>
      <c r="G386" s="14" t="str">
        <f>IF(Tabla1[[#This Row],[ID]]="","",VLOOKUP(Tabla1[[#This Row],[ID]],Tabla7[],36,FALSE))</f>
        <v>Training</v>
      </c>
      <c r="H386" s="16" t="str">
        <f>IF(Tabla1[[#This Row],[ID]]="","",VLOOKUP(Tabla1[[#This Row],[ID]],Tabla7[],4,FALSE))</f>
        <v>Alkene</v>
      </c>
      <c r="I386" s="16">
        <f>IF(Tabla1[[#This Row],[ID]]="","",VLOOKUP(Tabla1[[#This Row],[ID]],Tabla1[],4,FALSE))</f>
        <v>-22.304790288460307</v>
      </c>
      <c r="J386" s="16">
        <f>Tabla1[[#This Row],[CN Literatura]]-Tabla1[[#This Row],[CN Predicted]]</f>
        <v>-7.1375328923072985</v>
      </c>
    </row>
    <row r="387" spans="1:10" x14ac:dyDescent="0.25">
      <c r="A387" s="1">
        <f>Desgloce!A386</f>
        <v>346</v>
      </c>
      <c r="B387" s="14">
        <f>VLOOKUP(Tabla1[[#This Row],[No]],Tabla7[],7,FALSE)</f>
        <v>32</v>
      </c>
      <c r="C387" s="24">
        <v>32.594861189592102</v>
      </c>
      <c r="D387" s="15">
        <f>(B387-C387)/B387*100</f>
        <v>-1.8589412174753184</v>
      </c>
      <c r="E387" s="16" t="str">
        <f>IF(Tabla1[[#This Row],[% Error1]]&gt;$E$1,Tabla1[[#This Row],[No]],IF(Tabla1[[#This Row],[% Error1]]&lt;-$E$1,Tabla1[[#This Row],[No]],""))</f>
        <v/>
      </c>
      <c r="F387" s="16" t="str">
        <f>IF(Tabla1[[#This Row],[ID]]="","",VLOOKUP(Tabla1[[#This Row],[ID]],Tabla7[],2,FALSE))</f>
        <v/>
      </c>
      <c r="G387" s="14" t="str">
        <f>IF(Tabla1[[#This Row],[ID]]="","",VLOOKUP(Tabla1[[#This Row],[ID]],Tabla7[],36,FALSE))</f>
        <v/>
      </c>
      <c r="H387" s="16" t="str">
        <f>IF(Tabla1[[#This Row],[ID]]="","",VLOOKUP(Tabla1[[#This Row],[ID]],Tabla7[],4,FALSE))</f>
        <v/>
      </c>
      <c r="I387" s="24" t="str">
        <f>IF(Tabla1[[#This Row],[ID]]="","",VLOOKUP(Tabla1[[#This Row],[ID]],Tabla1[],4,FALSE))</f>
        <v/>
      </c>
      <c r="J387" s="16">
        <f>Tabla1[[#This Row],[CN Literatura]]-Tabla1[[#This Row],[CN Predicted]]</f>
        <v>-0.59486118959210188</v>
      </c>
    </row>
    <row r="388" spans="1:10" x14ac:dyDescent="0.25">
      <c r="A388" s="1">
        <f>Desgloce!A387</f>
        <v>347</v>
      </c>
      <c r="B388" s="14">
        <f>VLOOKUP(Tabla1[[#This Row],[No]],Tabla7[],7,FALSE)</f>
        <v>32</v>
      </c>
      <c r="C388" s="24">
        <v>27.179812473043398</v>
      </c>
      <c r="D388" s="15">
        <f>(B388-C388)/B388*100</f>
        <v>15.06308602173938</v>
      </c>
      <c r="E388" s="16">
        <f>IF(Tabla1[[#This Row],[% Error1]]&gt;$E$1,Tabla1[[#This Row],[No]],IF(Tabla1[[#This Row],[% Error1]]&lt;-$E$1,Tabla1[[#This Row],[No]],""))</f>
        <v>347</v>
      </c>
      <c r="F388" s="16" t="str">
        <f>IF(Tabla1[[#This Row],[ID]]="","",VLOOKUP(Tabla1[[#This Row],[ID]],Tabla7[],2,FALSE))</f>
        <v>CCCCC/C=C\C/C=C\CCCCCCCC(=O)OC(COC(=O)CCCCCCC/C=C\C/C=C\CCCCC)COC(=O)CCCCCCC/C=C\C/C=C\CCCCC</v>
      </c>
      <c r="G388" s="14" t="str">
        <f>IF(Tabla1[[#This Row],[ID]]="","",VLOOKUP(Tabla1[[#This Row],[ID]],Tabla7[],36,FALSE))</f>
        <v>Training</v>
      </c>
      <c r="H388" s="16" t="str">
        <f>IF(Tabla1[[#This Row],[ID]]="","",VLOOKUP(Tabla1[[#This Row],[ID]],Tabla7[],4,FALSE))</f>
        <v>Ester</v>
      </c>
      <c r="I388" s="16">
        <f>IF(Tabla1[[#This Row],[ID]]="","",VLOOKUP(Tabla1[[#This Row],[ID]],Tabla1[],4,FALSE))</f>
        <v>15.06308602173938</v>
      </c>
      <c r="J388" s="16">
        <f>Tabla1[[#This Row],[CN Literatura]]-Tabla1[[#This Row],[CN Predicted]]</f>
        <v>4.8201875269566017</v>
      </c>
    </row>
    <row r="389" spans="1:10" x14ac:dyDescent="0.25">
      <c r="A389" s="1">
        <f>Desgloce!A388</f>
        <v>349</v>
      </c>
      <c r="B389" s="14">
        <f>VLOOKUP(Tabla1[[#This Row],[No]],Tabla7[],7,FALSE)</f>
        <v>32.200000000000003</v>
      </c>
      <c r="C389" s="24">
        <v>29.414955778990699</v>
      </c>
      <c r="D389" s="15">
        <f>(B389-C389)/B389*100</f>
        <v>8.649205655308398</v>
      </c>
      <c r="E389" s="16" t="str">
        <f>IF(Tabla1[[#This Row],[% Error1]]&gt;$E$1,Tabla1[[#This Row],[No]],IF(Tabla1[[#This Row],[% Error1]]&lt;-$E$1,Tabla1[[#This Row],[No]],""))</f>
        <v/>
      </c>
      <c r="F389" s="16" t="str">
        <f>IF(Tabla1[[#This Row],[ID]]="","",VLOOKUP(Tabla1[[#This Row],[ID]],Tabla7[],2,FALSE))</f>
        <v/>
      </c>
      <c r="G389" s="14" t="str">
        <f>IF(Tabla1[[#This Row],[ID]]="","",VLOOKUP(Tabla1[[#This Row],[ID]],Tabla7[],36,FALSE))</f>
        <v/>
      </c>
      <c r="H389" s="16" t="str">
        <f>IF(Tabla1[[#This Row],[ID]]="","",VLOOKUP(Tabla1[[#This Row],[ID]],Tabla7[],4,FALSE))</f>
        <v/>
      </c>
      <c r="I389" s="16" t="str">
        <f>IF(Tabla1[[#This Row],[ID]]="","",VLOOKUP(Tabla1[[#This Row],[ID]],Tabla1[],4,FALSE))</f>
        <v/>
      </c>
      <c r="J389" s="16">
        <f>Tabla1[[#This Row],[CN Literatura]]-Tabla1[[#This Row],[CN Predicted]]</f>
        <v>2.7850442210093043</v>
      </c>
    </row>
    <row r="390" spans="1:10" x14ac:dyDescent="0.25">
      <c r="A390" s="1">
        <f>Desgloce!A389</f>
        <v>351</v>
      </c>
      <c r="B390" s="14">
        <f>VLOOKUP(Tabla1[[#This Row],[No]],Tabla7[],7,FALSE)</f>
        <v>33</v>
      </c>
      <c r="C390" s="24">
        <v>29.414955778990699</v>
      </c>
      <c r="D390" s="15">
        <f>(B390-C390)/B390*100</f>
        <v>10.863770366694853</v>
      </c>
      <c r="E390" s="16">
        <f>IF(Tabla1[[#This Row],[% Error1]]&gt;$E$1,Tabla1[[#This Row],[No]],IF(Tabla1[[#This Row],[% Error1]]&lt;-$E$1,Tabla1[[#This Row],[No]],""))</f>
        <v>351</v>
      </c>
      <c r="F390" s="16" t="str">
        <f>IF(Tabla1[[#This Row],[ID]]="","",VLOOKUP(Tabla1[[#This Row],[ID]],Tabla7[],2,FALSE))</f>
        <v>CCCCCC[C@@H](C)c1ccccc1</v>
      </c>
      <c r="G390" s="14" t="str">
        <f>IF(Tabla1[[#This Row],[ID]]="","",VLOOKUP(Tabla1[[#This Row],[ID]],Tabla7[],36,FALSE))</f>
        <v>Training</v>
      </c>
      <c r="H390" s="16" t="str">
        <f>IF(Tabla1[[#This Row],[ID]]="","",VLOOKUP(Tabla1[[#This Row],[ID]],Tabla7[],4,FALSE))</f>
        <v>Aromatic</v>
      </c>
      <c r="I390" s="24">
        <f>IF(Tabla1[[#This Row],[ID]]="","",VLOOKUP(Tabla1[[#This Row],[ID]],Tabla1[],4,FALSE))</f>
        <v>10.863770366694853</v>
      </c>
      <c r="J390" s="16">
        <f>Tabla1[[#This Row],[CN Literatura]]-Tabla1[[#This Row],[CN Predicted]]</f>
        <v>3.5850442210093014</v>
      </c>
    </row>
    <row r="391" spans="1:10" x14ac:dyDescent="0.25">
      <c r="A391" s="1">
        <f>Desgloce!A390</f>
        <v>352</v>
      </c>
      <c r="B391" s="14">
        <f>VLOOKUP(Tabla1[[#This Row],[No]],Tabla7[],7,FALSE)</f>
        <v>33</v>
      </c>
      <c r="C391" s="24">
        <v>28.039827379120801</v>
      </c>
      <c r="D391" s="15">
        <f>(B391-C391)/B391*100</f>
        <v>15.030826123876359</v>
      </c>
      <c r="E391" s="16">
        <f>IF(Tabla1[[#This Row],[% Error1]]&gt;$E$1,Tabla1[[#This Row],[No]],IF(Tabla1[[#This Row],[% Error1]]&lt;-$E$1,Tabla1[[#This Row],[No]],""))</f>
        <v>352</v>
      </c>
      <c r="F391" s="16" t="str">
        <f>IF(Tabla1[[#This Row],[ID]]="","",VLOOKUP(Tabla1[[#This Row],[ID]],Tabla7[],2,FALSE))</f>
        <v>CCCCCC[C@H](C)c1ccccc1</v>
      </c>
      <c r="G391" s="14" t="str">
        <f>IF(Tabla1[[#This Row],[ID]]="","",VLOOKUP(Tabla1[[#This Row],[ID]],Tabla7[],36,FALSE))</f>
        <v>Training</v>
      </c>
      <c r="H391" s="16" t="str">
        <f>IF(Tabla1[[#This Row],[ID]]="","",VLOOKUP(Tabla1[[#This Row],[ID]],Tabla7[],4,FALSE))</f>
        <v>Aromatic</v>
      </c>
      <c r="I391" s="24">
        <f>IF(Tabla1[[#This Row],[ID]]="","",VLOOKUP(Tabla1[[#This Row],[ID]],Tabla1[],4,FALSE))</f>
        <v>15.030826123876359</v>
      </c>
      <c r="J391" s="16">
        <f>Tabla1[[#This Row],[CN Literatura]]-Tabla1[[#This Row],[CN Predicted]]</f>
        <v>4.9601726208791987</v>
      </c>
    </row>
    <row r="392" spans="1:10" x14ac:dyDescent="0.25">
      <c r="A392" s="1">
        <f>Desgloce!A391</f>
        <v>353</v>
      </c>
      <c r="B392" s="14">
        <f>VLOOKUP(Tabla1[[#This Row],[No]],Tabla7[],7,FALSE)</f>
        <v>33.5</v>
      </c>
      <c r="C392" s="24">
        <v>26.7573482450813</v>
      </c>
      <c r="D392" s="15">
        <f>(B392-C392)/B392*100</f>
        <v>20.127318671399106</v>
      </c>
      <c r="E392" s="16">
        <f>IF(Tabla1[[#This Row],[% Error1]]&gt;$E$1,Tabla1[[#This Row],[No]],IF(Tabla1[[#This Row],[% Error1]]&lt;-$E$1,Tabla1[[#This Row],[No]],""))</f>
        <v>353</v>
      </c>
      <c r="F392" s="16" t="str">
        <f>IF(Tabla1[[#This Row],[ID]]="","",VLOOKUP(Tabla1[[#This Row],[ID]],Tabla7[],2,FALSE))</f>
        <v>CCCCCCC(=O)OC</v>
      </c>
      <c r="G392" s="14" t="str">
        <f>IF(Tabla1[[#This Row],[ID]]="","",VLOOKUP(Tabla1[[#This Row],[ID]],Tabla7[],36,FALSE))</f>
        <v>Training</v>
      </c>
      <c r="H392" s="16" t="str">
        <f>IF(Tabla1[[#This Row],[ID]]="","",VLOOKUP(Tabla1[[#This Row],[ID]],Tabla7[],4,FALSE))</f>
        <v>Ester</v>
      </c>
      <c r="I392" s="16">
        <f>IF(Tabla1[[#This Row],[ID]]="","",VLOOKUP(Tabla1[[#This Row],[ID]],Tabla1[],4,FALSE))</f>
        <v>20.127318671399106</v>
      </c>
      <c r="J392" s="16">
        <f>Tabla1[[#This Row],[CN Literatura]]-Tabla1[[#This Row],[CN Predicted]]</f>
        <v>6.7426517549187004</v>
      </c>
    </row>
    <row r="393" spans="1:10" x14ac:dyDescent="0.25">
      <c r="A393" s="1">
        <f>Desgloce!A392</f>
        <v>355</v>
      </c>
      <c r="B393" s="14">
        <f>VLOOKUP(Tabla1[[#This Row],[No]],Tabla7[],7,FALSE)</f>
        <v>33.799999999999997</v>
      </c>
      <c r="C393" s="24">
        <v>23.921758139160399</v>
      </c>
      <c r="D393" s="15">
        <f>(B393-C393)/B393*100</f>
        <v>29.225567635620113</v>
      </c>
      <c r="E393" s="16">
        <f>IF(Tabla1[[#This Row],[% Error1]]&gt;$E$1,Tabla1[[#This Row],[No]],IF(Tabla1[[#This Row],[% Error1]]&lt;-$E$1,Tabla1[[#This Row],[No]],""))</f>
        <v>355</v>
      </c>
      <c r="F393" s="16" t="str">
        <f>IF(Tabla1[[#This Row],[ID]]="","",VLOOKUP(Tabla1[[#This Row],[ID]],Tabla7[],2,FALSE))</f>
        <v>CCCCCCOC(=O)C</v>
      </c>
      <c r="G393" s="14" t="str">
        <f>IF(Tabla1[[#This Row],[ID]]="","",VLOOKUP(Tabla1[[#This Row],[ID]],Tabla7[],36,FALSE))</f>
        <v>Training</v>
      </c>
      <c r="H393" s="16" t="str">
        <f>IF(Tabla1[[#This Row],[ID]]="","",VLOOKUP(Tabla1[[#This Row],[ID]],Tabla7[],4,FALSE))</f>
        <v>Ester</v>
      </c>
      <c r="I393" s="16">
        <f>IF(Tabla1[[#This Row],[ID]]="","",VLOOKUP(Tabla1[[#This Row],[ID]],Tabla1[],4,FALSE))</f>
        <v>29.225567635620113</v>
      </c>
      <c r="J393" s="16">
        <f>Tabla1[[#This Row],[CN Literatura]]-Tabla1[[#This Row],[CN Predicted]]</f>
        <v>9.8782418608395979</v>
      </c>
    </row>
    <row r="394" spans="1:10" x14ac:dyDescent="0.25">
      <c r="A394" s="1">
        <f>Desgloce!A393</f>
        <v>356</v>
      </c>
      <c r="B394" s="14">
        <f>VLOOKUP(Tabla1[[#This Row],[No]],Tabla7[],7,FALSE)</f>
        <v>33.799999999999997</v>
      </c>
      <c r="C394" s="24">
        <v>42.760942169185</v>
      </c>
      <c r="D394" s="15">
        <f>(B394-C394)/B394*100</f>
        <v>-26.511663222440841</v>
      </c>
      <c r="E394" s="16">
        <f>IF(Tabla1[[#This Row],[% Error1]]&gt;$E$1,Tabla1[[#This Row],[No]],IF(Tabla1[[#This Row],[% Error1]]&lt;-$E$1,Tabla1[[#This Row],[No]],""))</f>
        <v>356</v>
      </c>
      <c r="F394" s="16" t="str">
        <f>IF(Tabla1[[#This Row],[ID]]="","",VLOOKUP(Tabla1[[#This Row],[ID]],Tabla7[],2,FALSE))</f>
        <v>C(C)(=O)OCCCCCC</v>
      </c>
      <c r="G394" s="14" t="str">
        <f>IF(Tabla1[[#This Row],[ID]]="","",VLOOKUP(Tabla1[[#This Row],[ID]],Tabla7[],36,FALSE))</f>
        <v>Training</v>
      </c>
      <c r="H394" s="16" t="str">
        <f>IF(Tabla1[[#This Row],[ID]]="","",VLOOKUP(Tabla1[[#This Row],[ID]],Tabla7[],4,FALSE))</f>
        <v>Ester: saturated</v>
      </c>
      <c r="I394" s="16">
        <f>IF(Tabla1[[#This Row],[ID]]="","",VLOOKUP(Tabla1[[#This Row],[ID]],Tabla1[],4,FALSE))</f>
        <v>-26.511663222440841</v>
      </c>
      <c r="J394" s="16">
        <f>Tabla1[[#This Row],[CN Literatura]]-Tabla1[[#This Row],[CN Predicted]]</f>
        <v>-8.9609421691850031</v>
      </c>
    </row>
    <row r="395" spans="1:10" x14ac:dyDescent="0.25">
      <c r="A395" s="1">
        <f>Desgloce!A394</f>
        <v>357</v>
      </c>
      <c r="B395" s="14">
        <f>VLOOKUP(Tabla1[[#This Row],[No]],Tabla7[],7,FALSE)</f>
        <v>34</v>
      </c>
      <c r="C395" s="24">
        <v>42.760942169185</v>
      </c>
      <c r="D395" s="15">
        <f>(B395-C395)/B395*100</f>
        <v>-25.767476968191179</v>
      </c>
      <c r="E395" s="16">
        <f>IF(Tabla1[[#This Row],[% Error1]]&gt;$E$1,Tabla1[[#This Row],[No]],IF(Tabla1[[#This Row],[% Error1]]&lt;-$E$1,Tabla1[[#This Row],[No]],""))</f>
        <v>357</v>
      </c>
      <c r="F395" s="16" t="str">
        <f>IF(Tabla1[[#This Row],[ID]]="","",VLOOKUP(Tabla1[[#This Row],[ID]],Tabla7[],2,FALSE))</f>
        <v>CCCC/C=C/CC</v>
      </c>
      <c r="G395" s="14" t="str">
        <f>IF(Tabla1[[#This Row],[ID]]="","",VLOOKUP(Tabla1[[#This Row],[ID]],Tabla7[],36,FALSE))</f>
        <v>Training</v>
      </c>
      <c r="H395" s="16" t="str">
        <f>IF(Tabla1[[#This Row],[ID]]="","",VLOOKUP(Tabla1[[#This Row],[ID]],Tabla7[],4,FALSE))</f>
        <v>Alkene</v>
      </c>
      <c r="I395" s="16">
        <f>IF(Tabla1[[#This Row],[ID]]="","",VLOOKUP(Tabla1[[#This Row],[ID]],Tabla1[],4,FALSE))</f>
        <v>-25.767476968191179</v>
      </c>
      <c r="J395" s="16">
        <f>Tabla1[[#This Row],[CN Literatura]]-Tabla1[[#This Row],[CN Predicted]]</f>
        <v>-8.7609421691850002</v>
      </c>
    </row>
    <row r="396" spans="1:10" x14ac:dyDescent="0.25">
      <c r="A396" s="1">
        <f>Desgloce!A395</f>
        <v>358</v>
      </c>
      <c r="B396" s="14">
        <f>VLOOKUP(Tabla1[[#This Row],[No]],Tabla7[],7,FALSE)</f>
        <v>34</v>
      </c>
      <c r="C396" s="24">
        <v>32.911936321583902</v>
      </c>
      <c r="D396" s="15">
        <f>(B396-C396)/B396*100</f>
        <v>3.2001872894591132</v>
      </c>
      <c r="E396" s="16" t="str">
        <f>IF(Tabla1[[#This Row],[% Error1]]&gt;$E$1,Tabla1[[#This Row],[No]],IF(Tabla1[[#This Row],[% Error1]]&lt;-$E$1,Tabla1[[#This Row],[No]],""))</f>
        <v/>
      </c>
      <c r="F396" s="16" t="str">
        <f>IF(Tabla1[[#This Row],[ID]]="","",VLOOKUP(Tabla1[[#This Row],[ID]],Tabla7[],2,FALSE))</f>
        <v/>
      </c>
      <c r="G396" s="14" t="str">
        <f>IF(Tabla1[[#This Row],[ID]]="","",VLOOKUP(Tabla1[[#This Row],[ID]],Tabla7[],36,FALSE))</f>
        <v/>
      </c>
      <c r="H396" s="16" t="str">
        <f>IF(Tabla1[[#This Row],[ID]]="","",VLOOKUP(Tabla1[[#This Row],[ID]],Tabla7[],4,FALSE))</f>
        <v/>
      </c>
      <c r="I396" s="16" t="str">
        <f>IF(Tabla1[[#This Row],[ID]]="","",VLOOKUP(Tabla1[[#This Row],[ID]],Tabla1[],4,FALSE))</f>
        <v/>
      </c>
      <c r="J396" s="16">
        <f>Tabla1[[#This Row],[CN Literatura]]-Tabla1[[#This Row],[CN Predicted]]</f>
        <v>1.0880636784160984</v>
      </c>
    </row>
    <row r="397" spans="1:10" x14ac:dyDescent="0.25">
      <c r="A397" s="1">
        <f>Desgloce!A396</f>
        <v>361</v>
      </c>
      <c r="B397" s="14">
        <f>VLOOKUP(Tabla1[[#This Row],[No]],Tabla7[],7,FALSE)</f>
        <v>34</v>
      </c>
      <c r="C397" s="24">
        <v>25.5028584313566</v>
      </c>
      <c r="D397" s="15">
        <f>(B397-C397)/B397*100</f>
        <v>24.991592848951178</v>
      </c>
      <c r="E397" s="16">
        <f>IF(Tabla1[[#This Row],[% Error1]]&gt;$E$1,Tabla1[[#This Row],[No]],IF(Tabla1[[#This Row],[% Error1]]&lt;-$E$1,Tabla1[[#This Row],[No]],""))</f>
        <v>361</v>
      </c>
      <c r="F397" s="16" t="str">
        <f>IF(Tabla1[[#This Row],[ID]]="","",VLOOKUP(Tabla1[[#This Row],[ID]],Tabla7[],2,FALSE))</f>
        <v>CC[C@H](C)C1CCCC2CCCCC12</v>
      </c>
      <c r="G397" s="14" t="str">
        <f>IF(Tabla1[[#This Row],[ID]]="","",VLOOKUP(Tabla1[[#This Row],[ID]],Tabla7[],36,FALSE))</f>
        <v>Training</v>
      </c>
      <c r="H397" s="16" t="str">
        <f>IF(Tabla1[[#This Row],[ID]]="","",VLOOKUP(Tabla1[[#This Row],[ID]],Tabla7[],4,FALSE))</f>
        <v>Polyfunctional</v>
      </c>
      <c r="I397" s="16">
        <f>IF(Tabla1[[#This Row],[ID]]="","",VLOOKUP(Tabla1[[#This Row],[ID]],Tabla1[],4,FALSE))</f>
        <v>24.991592848951178</v>
      </c>
      <c r="J397" s="16">
        <f>Tabla1[[#This Row],[CN Literatura]]-Tabla1[[#This Row],[CN Predicted]]</f>
        <v>8.4971415686434</v>
      </c>
    </row>
    <row r="398" spans="1:10" x14ac:dyDescent="0.25">
      <c r="A398" s="1">
        <f>Desgloce!A397</f>
        <v>362</v>
      </c>
      <c r="B398" s="14">
        <f>VLOOKUP(Tabla1[[#This Row],[No]],Tabla7[],7,FALSE)</f>
        <v>34</v>
      </c>
      <c r="C398" s="24">
        <v>35.319507234782698</v>
      </c>
      <c r="D398" s="15">
        <f>(B398-C398)/B398*100</f>
        <v>-3.8809036317138177</v>
      </c>
      <c r="E398" s="16" t="str">
        <f>IF(Tabla1[[#This Row],[% Error1]]&gt;$E$1,Tabla1[[#This Row],[No]],IF(Tabla1[[#This Row],[% Error1]]&lt;-$E$1,Tabla1[[#This Row],[No]],""))</f>
        <v/>
      </c>
      <c r="F398" s="16" t="str">
        <f>IF(Tabla1[[#This Row],[ID]]="","",VLOOKUP(Tabla1[[#This Row],[ID]],Tabla7[],2,FALSE))</f>
        <v/>
      </c>
      <c r="G398" s="14" t="str">
        <f>IF(Tabla1[[#This Row],[ID]]="","",VLOOKUP(Tabla1[[#This Row],[ID]],Tabla7[],36,FALSE))</f>
        <v/>
      </c>
      <c r="H398" s="16" t="str">
        <f>IF(Tabla1[[#This Row],[ID]]="","",VLOOKUP(Tabla1[[#This Row],[ID]],Tabla7[],4,FALSE))</f>
        <v/>
      </c>
      <c r="I398" s="16" t="str">
        <f>IF(Tabla1[[#This Row],[ID]]="","",VLOOKUP(Tabla1[[#This Row],[ID]],Tabla1[],4,FALSE))</f>
        <v/>
      </c>
      <c r="J398" s="16">
        <f>Tabla1[[#This Row],[CN Literatura]]-Tabla1[[#This Row],[CN Predicted]]</f>
        <v>-1.3195072347826979</v>
      </c>
    </row>
    <row r="399" spans="1:10" x14ac:dyDescent="0.25">
      <c r="A399" s="1">
        <f>Desgloce!A398</f>
        <v>363</v>
      </c>
      <c r="B399" s="14">
        <f>VLOOKUP(Tabla1[[#This Row],[No]],Tabla7[],7,FALSE)</f>
        <v>34.1</v>
      </c>
      <c r="C399" s="24">
        <v>26.946979814221201</v>
      </c>
      <c r="D399" s="15">
        <f>(B399-C399)/B399*100</f>
        <v>20.976598785275073</v>
      </c>
      <c r="E399" s="16">
        <f>IF(Tabla1[[#This Row],[% Error1]]&gt;$E$1,Tabla1[[#This Row],[No]],IF(Tabla1[[#This Row],[% Error1]]&lt;-$E$1,Tabla1[[#This Row],[No]],""))</f>
        <v>363</v>
      </c>
      <c r="F399" s="16" t="str">
        <f>IF(Tabla1[[#This Row],[ID]]="","",VLOOKUP(Tabla1[[#This Row],[ID]],Tabla7[],2,FALSE))</f>
        <v>CCC(CC)CC</v>
      </c>
      <c r="G399" s="14" t="str">
        <f>IF(Tabla1[[#This Row],[ID]]="","",VLOOKUP(Tabla1[[#This Row],[ID]],Tabla7[],36,FALSE))</f>
        <v>Training</v>
      </c>
      <c r="H399" s="16" t="str">
        <f>IF(Tabla1[[#This Row],[ID]]="","",VLOOKUP(Tabla1[[#This Row],[ID]],Tabla7[],4,FALSE))</f>
        <v>iso-alkane</v>
      </c>
      <c r="I399" s="16">
        <f>IF(Tabla1[[#This Row],[ID]]="","",VLOOKUP(Tabla1[[#This Row],[ID]],Tabla1[],4,FALSE))</f>
        <v>20.976598785275073</v>
      </c>
      <c r="J399" s="16">
        <f>Tabla1[[#This Row],[CN Literatura]]-Tabla1[[#This Row],[CN Predicted]]</f>
        <v>7.1530201857788001</v>
      </c>
    </row>
    <row r="400" spans="1:10" x14ac:dyDescent="0.25">
      <c r="A400" s="1">
        <f>Desgloce!A399</f>
        <v>364</v>
      </c>
      <c r="B400" s="14">
        <f>VLOOKUP(Tabla1[[#This Row],[No]],Tabla7[],7,FALSE)</f>
        <v>34.200000000000003</v>
      </c>
      <c r="C400" s="24">
        <v>27.9341648357175</v>
      </c>
      <c r="D400" s="15">
        <f>(B400-C400)/B400*100</f>
        <v>18.321155451118429</v>
      </c>
      <c r="E400" s="16">
        <f>IF(Tabla1[[#This Row],[% Error1]]&gt;$E$1,Tabla1[[#This Row],[No]],IF(Tabla1[[#This Row],[% Error1]]&lt;-$E$1,Tabla1[[#This Row],[No]],""))</f>
        <v>364</v>
      </c>
      <c r="F400" s="16" t="str">
        <f>IF(Tabla1[[#This Row],[ID]]="","",VLOOKUP(Tabla1[[#This Row],[ID]],Tabla7[],2,FALSE))</f>
        <v>CC1(C(CC(C1)C)C)C</v>
      </c>
      <c r="G400" s="14" t="str">
        <f>IF(Tabla1[[#This Row],[ID]]="","",VLOOKUP(Tabla1[[#This Row],[ID]],Tabla7[],36,FALSE))</f>
        <v>Training</v>
      </c>
      <c r="H400" s="16" t="str">
        <f>IF(Tabla1[[#This Row],[ID]]="","",VLOOKUP(Tabla1[[#This Row],[ID]],Tabla7[],4,FALSE))</f>
        <v>cyclo-alkane</v>
      </c>
      <c r="I400" s="16">
        <f>IF(Tabla1[[#This Row],[ID]]="","",VLOOKUP(Tabla1[[#This Row],[ID]],Tabla1[],4,FALSE))</f>
        <v>18.321155451118429</v>
      </c>
      <c r="J400" s="16">
        <f>Tabla1[[#This Row],[CN Literatura]]-Tabla1[[#This Row],[CN Predicted]]</f>
        <v>6.2658351642825032</v>
      </c>
    </row>
    <row r="401" spans="1:10" x14ac:dyDescent="0.25">
      <c r="A401" s="1">
        <f>Desgloce!A400</f>
        <v>365</v>
      </c>
      <c r="B401" s="14">
        <f>VLOOKUP(Tabla1[[#This Row],[No]],Tabla7[],7,FALSE)</f>
        <v>34.5</v>
      </c>
      <c r="C401" s="24">
        <v>38.791146842448804</v>
      </c>
      <c r="D401" s="15">
        <f>(B401-C401)/B401*100</f>
        <v>-12.438106789706676</v>
      </c>
      <c r="E401" s="16">
        <f>IF(Tabla1[[#This Row],[% Error1]]&gt;$E$1,Tabla1[[#This Row],[No]],IF(Tabla1[[#This Row],[% Error1]]&lt;-$E$1,Tabla1[[#This Row],[No]],""))</f>
        <v>365</v>
      </c>
      <c r="F401" s="16" t="str">
        <f>IF(Tabla1[[#This Row],[ID]]="","",VLOOKUP(Tabla1[[#This Row],[ID]],Tabla7[],2,FALSE))</f>
        <v>CC(C)CCC</v>
      </c>
      <c r="G401" s="14" t="str">
        <f>IF(Tabla1[[#This Row],[ID]]="","",VLOOKUP(Tabla1[[#This Row],[ID]],Tabla7[],36,FALSE))</f>
        <v>Training</v>
      </c>
      <c r="H401" s="16" t="str">
        <f>IF(Tabla1[[#This Row],[ID]]="","",VLOOKUP(Tabla1[[#This Row],[ID]],Tabla7[],4,FALSE))</f>
        <v>iso-alkane</v>
      </c>
      <c r="I401" s="16">
        <f>IF(Tabla1[[#This Row],[ID]]="","",VLOOKUP(Tabla1[[#This Row],[ID]],Tabla1[],4,FALSE))</f>
        <v>-12.438106789706676</v>
      </c>
      <c r="J401" s="16">
        <f>Tabla1[[#This Row],[CN Literatura]]-Tabla1[[#This Row],[CN Predicted]]</f>
        <v>-4.2911468424488035</v>
      </c>
    </row>
    <row r="402" spans="1:10" x14ac:dyDescent="0.25">
      <c r="A402" s="1">
        <f>Desgloce!A401</f>
        <v>367</v>
      </c>
      <c r="B402" s="14">
        <f>VLOOKUP(Tabla1[[#This Row],[No]],Tabla7[],7,FALSE)</f>
        <v>35</v>
      </c>
      <c r="C402" s="24">
        <v>43.7785807345591</v>
      </c>
      <c r="D402" s="15">
        <f>(B402-C402)/B402*100</f>
        <v>-25.081659241597425</v>
      </c>
      <c r="E402" s="16">
        <f>IF(Tabla1[[#This Row],[% Error1]]&gt;$E$1,Tabla1[[#This Row],[No]],IF(Tabla1[[#This Row],[% Error1]]&lt;-$E$1,Tabla1[[#This Row],[No]],""))</f>
        <v>367</v>
      </c>
      <c r="F402" s="16" t="str">
        <f>IF(Tabla1[[#This Row],[ID]]="","",VLOOKUP(Tabla1[[#This Row],[ID]],Tabla7[],2,FALSE))</f>
        <v>CCCC1CCCC2CCCCC12</v>
      </c>
      <c r="G402" s="14" t="str">
        <f>IF(Tabla1[[#This Row],[ID]]="","",VLOOKUP(Tabla1[[#This Row],[ID]],Tabla7[],36,FALSE))</f>
        <v>Training</v>
      </c>
      <c r="H402" s="16" t="str">
        <f>IF(Tabla1[[#This Row],[ID]]="","",VLOOKUP(Tabla1[[#This Row],[ID]],Tabla7[],4,FALSE))</f>
        <v>cyclo-alkane</v>
      </c>
      <c r="I402" s="16">
        <f>IF(Tabla1[[#This Row],[ID]]="","",VLOOKUP(Tabla1[[#This Row],[ID]],Tabla1[],4,FALSE))</f>
        <v>-25.081659241597425</v>
      </c>
      <c r="J402" s="16">
        <f>Tabla1[[#This Row],[CN Literatura]]-Tabla1[[#This Row],[CN Predicted]]</f>
        <v>-8.7785807345590996</v>
      </c>
    </row>
    <row r="403" spans="1:10" x14ac:dyDescent="0.25">
      <c r="A403" s="1">
        <f>Desgloce!A402</f>
        <v>368</v>
      </c>
      <c r="B403" s="14">
        <f>VLOOKUP(Tabla1[[#This Row],[No]],Tabla7[],7,FALSE)</f>
        <v>35</v>
      </c>
      <c r="C403" s="24">
        <v>44.8229416991283</v>
      </c>
      <c r="D403" s="15">
        <f>(B403-C403)/B403*100</f>
        <v>-28.065547711795141</v>
      </c>
      <c r="E403" s="16">
        <f>IF(Tabla1[[#This Row],[% Error1]]&gt;$E$1,Tabla1[[#This Row],[No]],IF(Tabla1[[#This Row],[% Error1]]&lt;-$E$1,Tabla1[[#This Row],[No]],""))</f>
        <v>368</v>
      </c>
      <c r="F403" s="16" t="str">
        <f>IF(Tabla1[[#This Row],[ID]]="","",VLOOKUP(Tabla1[[#This Row],[ID]],Tabla7[],2,FALSE))</f>
        <v>C(CC)C1CCCC2CCCCC12</v>
      </c>
      <c r="G403" s="14" t="str">
        <f>IF(Tabla1[[#This Row],[ID]]="","",VLOOKUP(Tabla1[[#This Row],[ID]],Tabla7[],36,FALSE))</f>
        <v>Training</v>
      </c>
      <c r="H403" s="16" t="str">
        <f>IF(Tabla1[[#This Row],[ID]]="","",VLOOKUP(Tabla1[[#This Row],[ID]],Tabla7[],4,FALSE))</f>
        <v>cyclo-alkane</v>
      </c>
      <c r="I403" s="16">
        <f>IF(Tabla1[[#This Row],[ID]]="","",VLOOKUP(Tabla1[[#This Row],[ID]],Tabla1[],4,FALSE))</f>
        <v>-28.065547711795141</v>
      </c>
      <c r="J403" s="16">
        <f>Tabla1[[#This Row],[CN Literatura]]-Tabla1[[#This Row],[CN Predicted]]</f>
        <v>-9.8229416991283003</v>
      </c>
    </row>
    <row r="404" spans="1:10" x14ac:dyDescent="0.25">
      <c r="A404" s="1">
        <f>Desgloce!A403</f>
        <v>370</v>
      </c>
      <c r="B404" s="14">
        <f>VLOOKUP(Tabla1[[#This Row],[No]],Tabla7[],7,FALSE)</f>
        <v>35.9</v>
      </c>
      <c r="C404" s="24">
        <v>44.689075827296698</v>
      </c>
      <c r="D404" s="15">
        <f>(B404-C404)/B404*100</f>
        <v>-24.482105368514485</v>
      </c>
      <c r="E404" s="16">
        <f>IF(Tabla1[[#This Row],[% Error1]]&gt;$E$1,Tabla1[[#This Row],[No]],IF(Tabla1[[#This Row],[% Error1]]&lt;-$E$1,Tabla1[[#This Row],[No]],""))</f>
        <v>370</v>
      </c>
      <c r="F404" s="16" t="str">
        <f>IF(Tabla1[[#This Row],[ID]]="","",VLOOKUP(Tabla1[[#This Row],[ID]],Tabla7[],2,FALSE))</f>
        <v>C1CC[C@@H]2CCCC[C@H]2C1</v>
      </c>
      <c r="G404" s="14" t="str">
        <f>IF(Tabla1[[#This Row],[ID]]="","",VLOOKUP(Tabla1[[#This Row],[ID]],Tabla7[],36,FALSE))</f>
        <v>Training</v>
      </c>
      <c r="H404" s="16" t="str">
        <f>IF(Tabla1[[#This Row],[ID]]="","",VLOOKUP(Tabla1[[#This Row],[ID]],Tabla7[],4,FALSE))</f>
        <v>cyclo-alkane</v>
      </c>
      <c r="I404" s="16">
        <f>IF(Tabla1[[#This Row],[ID]]="","",VLOOKUP(Tabla1[[#This Row],[ID]],Tabla1[],4,FALSE))</f>
        <v>-24.482105368514485</v>
      </c>
      <c r="J404" s="16">
        <f>Tabla1[[#This Row],[CN Literatura]]-Tabla1[[#This Row],[CN Predicted]]</f>
        <v>-8.7890758272966991</v>
      </c>
    </row>
    <row r="405" spans="1:10" x14ac:dyDescent="0.25">
      <c r="A405" s="1">
        <f>Desgloce!A404</f>
        <v>371</v>
      </c>
      <c r="B405" s="14">
        <f>VLOOKUP(Tabla1[[#This Row],[No]],Tabla7[],7,FALSE)</f>
        <v>36</v>
      </c>
      <c r="C405" s="24">
        <v>44.689075827296698</v>
      </c>
      <c r="D405" s="15">
        <f>(B405-C405)/B405*100</f>
        <v>-24.136321742490825</v>
      </c>
      <c r="E405" s="16">
        <f>IF(Tabla1[[#This Row],[% Error1]]&gt;$E$1,Tabla1[[#This Row],[No]],IF(Tabla1[[#This Row],[% Error1]]&lt;-$E$1,Tabla1[[#This Row],[No]],""))</f>
        <v>371</v>
      </c>
      <c r="F405" s="16" t="str">
        <f>IF(Tabla1[[#This Row],[ID]]="","",VLOOKUP(Tabla1[[#This Row],[ID]],Tabla7[],2,FALSE))</f>
        <v>C(CCC)C(CCCCC=C)CCCCCC</v>
      </c>
      <c r="G405" s="14" t="str">
        <f>IF(Tabla1[[#This Row],[ID]]="","",VLOOKUP(Tabla1[[#This Row],[ID]],Tabla7[],36,FALSE))</f>
        <v>Training</v>
      </c>
      <c r="H405" s="16" t="str">
        <f>IF(Tabla1[[#This Row],[ID]]="","",VLOOKUP(Tabla1[[#This Row],[ID]],Tabla7[],4,FALSE))</f>
        <v>Alkene</v>
      </c>
      <c r="I405" s="16">
        <f>IF(Tabla1[[#This Row],[ID]]="","",VLOOKUP(Tabla1[[#This Row],[ID]],Tabla1[],4,FALSE))</f>
        <v>-24.136321742490825</v>
      </c>
      <c r="J405" s="16">
        <f>Tabla1[[#This Row],[CN Literatura]]-Tabla1[[#This Row],[CN Predicted]]</f>
        <v>-8.6890758272966977</v>
      </c>
    </row>
    <row r="406" spans="1:10" x14ac:dyDescent="0.25">
      <c r="A406" s="1">
        <f>Desgloce!A405</f>
        <v>372</v>
      </c>
      <c r="B406" s="14">
        <f>VLOOKUP(Tabla1[[#This Row],[No]],Tabla7[],7,FALSE)</f>
        <v>36</v>
      </c>
      <c r="C406" s="24">
        <v>44.689075827296698</v>
      </c>
      <c r="D406" s="15">
        <f>(B406-C406)/B406*100</f>
        <v>-24.136321742490825</v>
      </c>
      <c r="E406" s="16">
        <f>IF(Tabla1[[#This Row],[% Error1]]&gt;$E$1,Tabla1[[#This Row],[No]],IF(Tabla1[[#This Row],[% Error1]]&lt;-$E$1,Tabla1[[#This Row],[No]],""))</f>
        <v>372</v>
      </c>
      <c r="F406" s="16" t="str">
        <f>IF(Tabla1[[#This Row],[ID]]="","",VLOOKUP(Tabla1[[#This Row],[ID]],Tabla7[],2,FALSE))</f>
        <v>CCCCCC[C@@H](CCCC)CCCCC=C</v>
      </c>
      <c r="G406" s="14" t="str">
        <f>IF(Tabla1[[#This Row],[ID]]="","",VLOOKUP(Tabla1[[#This Row],[ID]],Tabla7[],36,FALSE))</f>
        <v>Training</v>
      </c>
      <c r="H406" s="16" t="str">
        <f>IF(Tabla1[[#This Row],[ID]]="","",VLOOKUP(Tabla1[[#This Row],[ID]],Tabla7[],4,FALSE))</f>
        <v>Alkene</v>
      </c>
      <c r="I406" s="16">
        <f>IF(Tabla1[[#This Row],[ID]]="","",VLOOKUP(Tabla1[[#This Row],[ID]],Tabla1[],4,FALSE))</f>
        <v>-24.136321742490825</v>
      </c>
      <c r="J406" s="16">
        <f>Tabla1[[#This Row],[CN Literatura]]-Tabla1[[#This Row],[CN Predicted]]</f>
        <v>-8.6890758272966977</v>
      </c>
    </row>
    <row r="407" spans="1:10" x14ac:dyDescent="0.25">
      <c r="A407" s="1">
        <f>Desgloce!A406</f>
        <v>373</v>
      </c>
      <c r="B407" s="14">
        <f>VLOOKUP(Tabla1[[#This Row],[No]],Tabla7[],7,FALSE)</f>
        <v>36</v>
      </c>
      <c r="C407" s="24">
        <v>51.5745728514352</v>
      </c>
      <c r="D407" s="15">
        <f>(B407-C407)/B407*100</f>
        <v>-43.26270236509778</v>
      </c>
      <c r="E407" s="16">
        <f>IF(Tabla1[[#This Row],[% Error1]]&gt;$E$1,Tabla1[[#This Row],[No]],IF(Tabla1[[#This Row],[% Error1]]&lt;-$E$1,Tabla1[[#This Row],[No]],""))</f>
        <v>373</v>
      </c>
      <c r="F407" s="16" t="str">
        <f>IF(Tabla1[[#This Row],[ID]]="","",VLOOKUP(Tabla1[[#This Row],[ID]],Tabla7[],2,FALSE))</f>
        <v>CCCCCC[C@H](CCCC)CCCCC=C</v>
      </c>
      <c r="G407" s="14" t="str">
        <f>IF(Tabla1[[#This Row],[ID]]="","",VLOOKUP(Tabla1[[#This Row],[ID]],Tabla7[],36,FALSE))</f>
        <v>Training</v>
      </c>
      <c r="H407" s="16" t="str">
        <f>IF(Tabla1[[#This Row],[ID]]="","",VLOOKUP(Tabla1[[#This Row],[ID]],Tabla7[],4,FALSE))</f>
        <v>Alkene</v>
      </c>
      <c r="I407" s="16">
        <f>IF(Tabla1[[#This Row],[ID]]="","",VLOOKUP(Tabla1[[#This Row],[ID]],Tabla1[],4,FALSE))</f>
        <v>-43.26270236509778</v>
      </c>
      <c r="J407" s="16">
        <f>Tabla1[[#This Row],[CN Literatura]]-Tabla1[[#This Row],[CN Predicted]]</f>
        <v>-15.5745728514352</v>
      </c>
    </row>
    <row r="408" spans="1:10" x14ac:dyDescent="0.25">
      <c r="A408" s="1">
        <f>Desgloce!A407</f>
        <v>375</v>
      </c>
      <c r="B408" s="14">
        <f>VLOOKUP(Tabla1[[#This Row],[No]],Tabla7[],7,FALSE)</f>
        <v>36</v>
      </c>
      <c r="C408" s="24">
        <v>36.543764383858999</v>
      </c>
      <c r="D408" s="15">
        <f>(B408-C408)/B408*100</f>
        <v>-1.5104566218305533</v>
      </c>
      <c r="E408" s="16" t="str">
        <f>IF(Tabla1[[#This Row],[% Error1]]&gt;$E$1,Tabla1[[#This Row],[No]],IF(Tabla1[[#This Row],[% Error1]]&lt;-$E$1,Tabla1[[#This Row],[No]],""))</f>
        <v/>
      </c>
      <c r="F408" s="16" t="str">
        <f>IF(Tabla1[[#This Row],[ID]]="","",VLOOKUP(Tabla1[[#This Row],[ID]],Tabla7[],2,FALSE))</f>
        <v/>
      </c>
      <c r="G408" s="14" t="str">
        <f>IF(Tabla1[[#This Row],[ID]]="","",VLOOKUP(Tabla1[[#This Row],[ID]],Tabla7[],36,FALSE))</f>
        <v/>
      </c>
      <c r="H408" s="16" t="str">
        <f>IF(Tabla1[[#This Row],[ID]]="","",VLOOKUP(Tabla1[[#This Row],[ID]],Tabla7[],4,FALSE))</f>
        <v/>
      </c>
      <c r="I408" s="16" t="str">
        <f>IF(Tabla1[[#This Row],[ID]]="","",VLOOKUP(Tabla1[[#This Row],[ID]],Tabla1[],4,FALSE))</f>
        <v/>
      </c>
      <c r="J408" s="16">
        <f>Tabla1[[#This Row],[CN Literatura]]-Tabla1[[#This Row],[CN Predicted]]</f>
        <v>-0.54376438385899917</v>
      </c>
    </row>
    <row r="409" spans="1:10" x14ac:dyDescent="0.25">
      <c r="A409" s="1">
        <f>Desgloce!A408</f>
        <v>376</v>
      </c>
      <c r="B409" s="14">
        <f>VLOOKUP(Tabla1[[#This Row],[No]],Tabla7[],7,FALSE)</f>
        <v>36</v>
      </c>
      <c r="C409" s="24">
        <v>40.561026110927699</v>
      </c>
      <c r="D409" s="15">
        <f>(B409-C409)/B409*100</f>
        <v>-12.669516974799164</v>
      </c>
      <c r="E409" s="16">
        <f>IF(Tabla1[[#This Row],[% Error1]]&gt;$E$1,Tabla1[[#This Row],[No]],IF(Tabla1[[#This Row],[% Error1]]&lt;-$E$1,Tabla1[[#This Row],[No]],""))</f>
        <v>376</v>
      </c>
      <c r="F409" s="16" t="str">
        <f>IF(Tabla1[[#This Row],[ID]]="","",VLOOKUP(Tabla1[[#This Row],[ID]],Tabla7[],2,FALSE))</f>
        <v>CCCCCC(=O)CC</v>
      </c>
      <c r="G409" s="14" t="str">
        <f>IF(Tabla1[[#This Row],[ID]]="","",VLOOKUP(Tabla1[[#This Row],[ID]],Tabla7[],36,FALSE))</f>
        <v>Training</v>
      </c>
      <c r="H409" s="16" t="str">
        <f>IF(Tabla1[[#This Row],[ID]]="","",VLOOKUP(Tabla1[[#This Row],[ID]],Tabla7[],4,FALSE))</f>
        <v>Ketone</v>
      </c>
      <c r="I409" s="16">
        <f>IF(Tabla1[[#This Row],[ID]]="","",VLOOKUP(Tabla1[[#This Row],[ID]],Tabla1[],4,FALSE))</f>
        <v>-12.669516974799164</v>
      </c>
      <c r="J409" s="16">
        <f>Tabla1[[#This Row],[CN Literatura]]-Tabla1[[#This Row],[CN Predicted]]</f>
        <v>-4.5610261109276991</v>
      </c>
    </row>
    <row r="410" spans="1:10" x14ac:dyDescent="0.25">
      <c r="A410" s="1">
        <f>Desgloce!A409</f>
        <v>378</v>
      </c>
      <c r="B410" s="14">
        <f>VLOOKUP(Tabla1[[#This Row],[No]],Tabla7[],7,FALSE)</f>
        <v>36</v>
      </c>
      <c r="C410" s="24">
        <v>40.561026110927699</v>
      </c>
      <c r="D410" s="15">
        <f>(B410-C410)/B410*100</f>
        <v>-12.669516974799164</v>
      </c>
      <c r="E410" s="16">
        <f>IF(Tabla1[[#This Row],[% Error1]]&gt;$E$1,Tabla1[[#This Row],[No]],IF(Tabla1[[#This Row],[% Error1]]&lt;-$E$1,Tabla1[[#This Row],[No]],""))</f>
        <v>378</v>
      </c>
      <c r="F410" s="16" t="str">
        <f>IF(Tabla1[[#This Row],[ID]]="","",VLOOKUP(Tabla1[[#This Row],[ID]],Tabla7[],2,FALSE))</f>
        <v>CCC[C@@H](CC)C1CCCCC1</v>
      </c>
      <c r="G410" s="14" t="str">
        <f>IF(Tabla1[[#This Row],[ID]]="","",VLOOKUP(Tabla1[[#This Row],[ID]],Tabla7[],36,FALSE))</f>
        <v>Training</v>
      </c>
      <c r="H410" s="16" t="str">
        <f>IF(Tabla1[[#This Row],[ID]]="","",VLOOKUP(Tabla1[[#This Row],[ID]],Tabla7[],4,FALSE))</f>
        <v>Polyfunctional</v>
      </c>
      <c r="I410" s="16">
        <f>IF(Tabla1[[#This Row],[ID]]="","",VLOOKUP(Tabla1[[#This Row],[ID]],Tabla1[],4,FALSE))</f>
        <v>-12.669516974799164</v>
      </c>
      <c r="J410" s="16">
        <f>Tabla1[[#This Row],[CN Literatura]]-Tabla1[[#This Row],[CN Predicted]]</f>
        <v>-4.5610261109276991</v>
      </c>
    </row>
    <row r="411" spans="1:10" x14ac:dyDescent="0.25">
      <c r="A411" s="1">
        <f>Desgloce!A410</f>
        <v>379</v>
      </c>
      <c r="B411" s="14">
        <f>VLOOKUP(Tabla1[[#This Row],[No]],Tabla7[],7,FALSE)</f>
        <v>36</v>
      </c>
      <c r="C411" s="24">
        <v>36.5237353565186</v>
      </c>
      <c r="D411" s="15">
        <f>(B411-C411)/B411*100</f>
        <v>-1.4548204347738882</v>
      </c>
      <c r="E411" s="16" t="str">
        <f>IF(Tabla1[[#This Row],[% Error1]]&gt;$E$1,Tabla1[[#This Row],[No]],IF(Tabla1[[#This Row],[% Error1]]&lt;-$E$1,Tabla1[[#This Row],[No]],""))</f>
        <v/>
      </c>
      <c r="F411" s="16" t="str">
        <f>IF(Tabla1[[#This Row],[ID]]="","",VLOOKUP(Tabla1[[#This Row],[ID]],Tabla7[],2,FALSE))</f>
        <v/>
      </c>
      <c r="G411" s="14" t="str">
        <f>IF(Tabla1[[#This Row],[ID]]="","",VLOOKUP(Tabla1[[#This Row],[ID]],Tabla7[],36,FALSE))</f>
        <v/>
      </c>
      <c r="H411" s="16" t="str">
        <f>IF(Tabla1[[#This Row],[ID]]="","",VLOOKUP(Tabla1[[#This Row],[ID]],Tabla7[],4,FALSE))</f>
        <v/>
      </c>
      <c r="I411" s="16" t="str">
        <f>IF(Tabla1[[#This Row],[ID]]="","",VLOOKUP(Tabla1[[#This Row],[ID]],Tabla1[],4,FALSE))</f>
        <v/>
      </c>
      <c r="J411" s="16">
        <f>Tabla1[[#This Row],[CN Literatura]]-Tabla1[[#This Row],[CN Predicted]]</f>
        <v>-0.52373535651859981</v>
      </c>
    </row>
    <row r="412" spans="1:10" x14ac:dyDescent="0.25">
      <c r="A412" s="1">
        <f>Desgloce!A411</f>
        <v>380</v>
      </c>
      <c r="B412" s="14">
        <f>VLOOKUP(Tabla1[[#This Row],[No]],Tabla7[],7,FALSE)</f>
        <v>36.1</v>
      </c>
      <c r="C412" s="24">
        <v>38.544986360208</v>
      </c>
      <c r="D412" s="15">
        <f>(B412-C412)/B412*100</f>
        <v>-6.7728154022382236</v>
      </c>
      <c r="E412" s="16" t="str">
        <f>IF(Tabla1[[#This Row],[% Error1]]&gt;$E$1,Tabla1[[#This Row],[No]],IF(Tabla1[[#This Row],[% Error1]]&lt;-$E$1,Tabla1[[#This Row],[No]],""))</f>
        <v/>
      </c>
      <c r="F412" s="16" t="str">
        <f>IF(Tabla1[[#This Row],[ID]]="","",VLOOKUP(Tabla1[[#This Row],[ID]],Tabla7[],2,FALSE))</f>
        <v/>
      </c>
      <c r="G412" s="14" t="str">
        <f>IF(Tabla1[[#This Row],[ID]]="","",VLOOKUP(Tabla1[[#This Row],[ID]],Tabla7[],36,FALSE))</f>
        <v/>
      </c>
      <c r="H412" s="16" t="str">
        <f>IF(Tabla1[[#This Row],[ID]]="","",VLOOKUP(Tabla1[[#This Row],[ID]],Tabla7[],4,FALSE))</f>
        <v/>
      </c>
      <c r="I412" s="16" t="str">
        <f>IF(Tabla1[[#This Row],[ID]]="","",VLOOKUP(Tabla1[[#This Row],[ID]],Tabla1[],4,FALSE))</f>
        <v/>
      </c>
      <c r="J412" s="16">
        <f>Tabla1[[#This Row],[CN Literatura]]-Tabla1[[#This Row],[CN Predicted]]</f>
        <v>-2.4449863602079986</v>
      </c>
    </row>
    <row r="413" spans="1:10" x14ac:dyDescent="0.25">
      <c r="A413" s="1">
        <f>Desgloce!A412</f>
        <v>383</v>
      </c>
      <c r="B413" s="14">
        <f>VLOOKUP(Tabla1[[#This Row],[No]],Tabla7[],7,FALSE)</f>
        <v>37</v>
      </c>
      <c r="C413" s="24">
        <v>27.365702087698001</v>
      </c>
      <c r="D413" s="15">
        <f>(B413-C413)/B413*100</f>
        <v>26.038643006221619</v>
      </c>
      <c r="E413" s="16">
        <f>IF(Tabla1[[#This Row],[% Error1]]&gt;$E$1,Tabla1[[#This Row],[No]],IF(Tabla1[[#This Row],[% Error1]]&lt;-$E$1,Tabla1[[#This Row],[No]],""))</f>
        <v>383</v>
      </c>
      <c r="F413" s="16" t="str">
        <f>IF(Tabla1[[#This Row],[ID]]="","",VLOOKUP(Tabla1[[#This Row],[ID]],Tabla7[],2,FALSE))</f>
        <v>C(CC)C1CCCC1</v>
      </c>
      <c r="G413" s="14" t="str">
        <f>IF(Tabla1[[#This Row],[ID]]="","",VLOOKUP(Tabla1[[#This Row],[ID]],Tabla7[],36,FALSE))</f>
        <v>Training</v>
      </c>
      <c r="H413" s="16" t="str">
        <f>IF(Tabla1[[#This Row],[ID]]="","",VLOOKUP(Tabla1[[#This Row],[ID]],Tabla7[],4,FALSE))</f>
        <v>cyclo-alkane</v>
      </c>
      <c r="I413" s="16">
        <f>IF(Tabla1[[#This Row],[ID]]="","",VLOOKUP(Tabla1[[#This Row],[ID]],Tabla1[],4,FALSE))</f>
        <v>26.038643006221619</v>
      </c>
      <c r="J413" s="16">
        <f>Tabla1[[#This Row],[CN Literatura]]-Tabla1[[#This Row],[CN Predicted]]</f>
        <v>9.6342979123019994</v>
      </c>
    </row>
    <row r="414" spans="1:10" x14ac:dyDescent="0.25">
      <c r="A414" s="1">
        <f>Desgloce!A413</f>
        <v>384</v>
      </c>
      <c r="B414" s="14">
        <f>VLOOKUP(Tabla1[[#This Row],[No]],Tabla7[],7,FALSE)</f>
        <v>37.200000000000003</v>
      </c>
      <c r="C414" s="24">
        <v>37.429016170680001</v>
      </c>
      <c r="D414" s="15">
        <f>(B414-C414)/B414*100</f>
        <v>-0.61563486741934892</v>
      </c>
      <c r="E414" s="16" t="str">
        <f>IF(Tabla1[[#This Row],[% Error1]]&gt;$E$1,Tabla1[[#This Row],[No]],IF(Tabla1[[#This Row],[% Error1]]&lt;-$E$1,Tabla1[[#This Row],[No]],""))</f>
        <v/>
      </c>
      <c r="F414" s="16" t="str">
        <f>IF(Tabla1[[#This Row],[ID]]="","",VLOOKUP(Tabla1[[#This Row],[ID]],Tabla7[],2,FALSE))</f>
        <v/>
      </c>
      <c r="G414" s="14" t="str">
        <f>IF(Tabla1[[#This Row],[ID]]="","",VLOOKUP(Tabla1[[#This Row],[ID]],Tabla7[],36,FALSE))</f>
        <v/>
      </c>
      <c r="H414" s="16" t="str">
        <f>IF(Tabla1[[#This Row],[ID]]="","",VLOOKUP(Tabla1[[#This Row],[ID]],Tabla7[],4,FALSE))</f>
        <v/>
      </c>
      <c r="I414" s="16" t="str">
        <f>IF(Tabla1[[#This Row],[ID]]="","",VLOOKUP(Tabla1[[#This Row],[ID]],Tabla1[],4,FALSE))</f>
        <v/>
      </c>
      <c r="J414" s="16">
        <f>Tabla1[[#This Row],[CN Literatura]]-Tabla1[[#This Row],[CN Predicted]]</f>
        <v>-0.2290161706799978</v>
      </c>
    </row>
    <row r="415" spans="1:10" x14ac:dyDescent="0.25">
      <c r="A415" s="1">
        <f>Desgloce!A414</f>
        <v>385</v>
      </c>
      <c r="B415" s="14">
        <f>VLOOKUP(Tabla1[[#This Row],[No]],Tabla7[],7,FALSE)</f>
        <v>37.4</v>
      </c>
      <c r="C415" s="24">
        <v>37.338696762364201</v>
      </c>
      <c r="D415" s="15">
        <f>(B415-C415)/B415*100</f>
        <v>0.16391240009571609</v>
      </c>
      <c r="E415" s="16" t="str">
        <f>IF(Tabla1[[#This Row],[% Error1]]&gt;$E$1,Tabla1[[#This Row],[No]],IF(Tabla1[[#This Row],[% Error1]]&lt;-$E$1,Tabla1[[#This Row],[No]],""))</f>
        <v/>
      </c>
      <c r="F415" s="16" t="str">
        <f>IF(Tabla1[[#This Row],[ID]]="","",VLOOKUP(Tabla1[[#This Row],[ID]],Tabla7[],2,FALSE))</f>
        <v/>
      </c>
      <c r="G415" s="14" t="str">
        <f>IF(Tabla1[[#This Row],[ID]]="","",VLOOKUP(Tabla1[[#This Row],[ID]],Tabla7[],36,FALSE))</f>
        <v/>
      </c>
      <c r="H415" s="16" t="str">
        <f>IF(Tabla1[[#This Row],[ID]]="","",VLOOKUP(Tabla1[[#This Row],[ID]],Tabla7[],4,FALSE))</f>
        <v/>
      </c>
      <c r="I415" s="16" t="str">
        <f>IF(Tabla1[[#This Row],[ID]]="","",VLOOKUP(Tabla1[[#This Row],[ID]],Tabla1[],4,FALSE))</f>
        <v/>
      </c>
      <c r="J415" s="16">
        <f>Tabla1[[#This Row],[CN Literatura]]-Tabla1[[#This Row],[CN Predicted]]</f>
        <v>6.1303237635797814E-2</v>
      </c>
    </row>
    <row r="416" spans="1:10" x14ac:dyDescent="0.25">
      <c r="A416" s="1">
        <f>Desgloce!A415</f>
        <v>386</v>
      </c>
      <c r="B416" s="14">
        <f>VLOOKUP(Tabla1[[#This Row],[No]],Tabla7[],7,FALSE)</f>
        <v>37.4</v>
      </c>
      <c r="C416" s="24">
        <v>33.791489401865597</v>
      </c>
      <c r="D416" s="15">
        <f>(B416-C416)/B416*100</f>
        <v>9.6484240591828918</v>
      </c>
      <c r="E416" s="16" t="str">
        <f>IF(Tabla1[[#This Row],[% Error1]]&gt;$E$1,Tabla1[[#This Row],[No]],IF(Tabla1[[#This Row],[% Error1]]&lt;-$E$1,Tabla1[[#This Row],[No]],""))</f>
        <v/>
      </c>
      <c r="F416" s="16" t="str">
        <f>IF(Tabla1[[#This Row],[ID]]="","",VLOOKUP(Tabla1[[#This Row],[ID]],Tabla7[],2,FALSE))</f>
        <v/>
      </c>
      <c r="G416" s="14" t="str">
        <f>IF(Tabla1[[#This Row],[ID]]="","",VLOOKUP(Tabla1[[#This Row],[ID]],Tabla7[],36,FALSE))</f>
        <v/>
      </c>
      <c r="H416" s="16" t="str">
        <f>IF(Tabla1[[#This Row],[ID]]="","",VLOOKUP(Tabla1[[#This Row],[ID]],Tabla7[],4,FALSE))</f>
        <v/>
      </c>
      <c r="I416" s="16" t="str">
        <f>IF(Tabla1[[#This Row],[ID]]="","",VLOOKUP(Tabla1[[#This Row],[ID]],Tabla1[],4,FALSE))</f>
        <v/>
      </c>
      <c r="J416" s="16">
        <f>Tabla1[[#This Row],[CN Literatura]]-Tabla1[[#This Row],[CN Predicted]]</f>
        <v>3.6085105981344014</v>
      </c>
    </row>
    <row r="417" spans="1:10" x14ac:dyDescent="0.25">
      <c r="A417" s="1">
        <f>Desgloce!A416</f>
        <v>388</v>
      </c>
      <c r="B417" s="14">
        <f>VLOOKUP(Tabla1[[#This Row],[No]],Tabla7[],7,FALSE)</f>
        <v>38</v>
      </c>
      <c r="C417" s="24">
        <v>34.974714517759303</v>
      </c>
      <c r="D417" s="15">
        <f>(B417-C417)/B417*100</f>
        <v>7.9612775848439394</v>
      </c>
      <c r="E417" s="16" t="str">
        <f>IF(Tabla1[[#This Row],[% Error1]]&gt;$E$1,Tabla1[[#This Row],[No]],IF(Tabla1[[#This Row],[% Error1]]&lt;-$E$1,Tabla1[[#This Row],[No]],""))</f>
        <v/>
      </c>
      <c r="F417" s="16" t="str">
        <f>IF(Tabla1[[#This Row],[ID]]="","",VLOOKUP(Tabla1[[#This Row],[ID]],Tabla7[],2,FALSE))</f>
        <v/>
      </c>
      <c r="G417" s="14" t="str">
        <f>IF(Tabla1[[#This Row],[ID]]="","",VLOOKUP(Tabla1[[#This Row],[ID]],Tabla7[],36,FALSE))</f>
        <v/>
      </c>
      <c r="H417" s="16" t="str">
        <f>IF(Tabla1[[#This Row],[ID]]="","",VLOOKUP(Tabla1[[#This Row],[ID]],Tabla7[],4,FALSE))</f>
        <v/>
      </c>
      <c r="I417" s="16" t="str">
        <f>IF(Tabla1[[#This Row],[ID]]="","",VLOOKUP(Tabla1[[#This Row],[ID]],Tabla1[],4,FALSE))</f>
        <v/>
      </c>
      <c r="J417" s="16">
        <f>Tabla1[[#This Row],[CN Literatura]]-Tabla1[[#This Row],[CN Predicted]]</f>
        <v>3.0252854822406974</v>
      </c>
    </row>
    <row r="418" spans="1:10" x14ac:dyDescent="0.25">
      <c r="A418" s="1">
        <f>Desgloce!A417</f>
        <v>389</v>
      </c>
      <c r="B418" s="14">
        <f>VLOOKUP(Tabla1[[#This Row],[No]],Tabla7[],7,FALSE)</f>
        <v>38</v>
      </c>
      <c r="C418" s="24">
        <v>42.760942169185</v>
      </c>
      <c r="D418" s="15">
        <f>(B418-C418)/B418*100</f>
        <v>-12.528795182065791</v>
      </c>
      <c r="E418" s="16">
        <f>IF(Tabla1[[#This Row],[% Error1]]&gt;$E$1,Tabla1[[#This Row],[No]],IF(Tabla1[[#This Row],[% Error1]]&lt;-$E$1,Tabla1[[#This Row],[No]],""))</f>
        <v>389</v>
      </c>
      <c r="F418" s="16" t="str">
        <f>IF(Tabla1[[#This Row],[ID]]="","",VLOOKUP(Tabla1[[#This Row],[ID]],Tabla7[],2,FALSE))</f>
        <v>C(C=1C(C(=O)OCCCC)=CC=CC1)(=O)OCCCC</v>
      </c>
      <c r="G418" s="14" t="str">
        <f>IF(Tabla1[[#This Row],[ID]]="","",VLOOKUP(Tabla1[[#This Row],[ID]],Tabla7[],36,FALSE))</f>
        <v>Training</v>
      </c>
      <c r="H418" s="16" t="str">
        <f>IF(Tabla1[[#This Row],[ID]]="","",VLOOKUP(Tabla1[[#This Row],[ID]],Tabla7[],4,FALSE))</f>
        <v>Ester of Dicarboxylic Acids</v>
      </c>
      <c r="I418" s="16">
        <f>IF(Tabla1[[#This Row],[ID]]="","",VLOOKUP(Tabla1[[#This Row],[ID]],Tabla1[],4,FALSE))</f>
        <v>-12.528795182065791</v>
      </c>
      <c r="J418" s="16">
        <f>Tabla1[[#This Row],[CN Literatura]]-Tabla1[[#This Row],[CN Predicted]]</f>
        <v>-4.7609421691850002</v>
      </c>
    </row>
    <row r="419" spans="1:10" x14ac:dyDescent="0.25">
      <c r="A419" s="1">
        <f>Desgloce!A418</f>
        <v>390</v>
      </c>
      <c r="B419" s="14">
        <f>VLOOKUP(Tabla1[[#This Row],[No]],Tabla7[],7,FALSE)</f>
        <v>38.1</v>
      </c>
      <c r="C419" s="24">
        <v>44.2491040218354</v>
      </c>
      <c r="D419" s="15">
        <f>(B419-C419)/B419*100</f>
        <v>-16.139380634738579</v>
      </c>
      <c r="E419" s="16">
        <f>IF(Tabla1[[#This Row],[% Error1]]&gt;$E$1,Tabla1[[#This Row],[No]],IF(Tabla1[[#This Row],[% Error1]]&lt;-$E$1,Tabla1[[#This Row],[No]],""))</f>
        <v>390</v>
      </c>
      <c r="F419" s="16" t="str">
        <f>IF(Tabla1[[#This Row],[ID]]="","",VLOOKUP(Tabla1[[#This Row],[ID]],Tabla7[],2,FALSE))</f>
        <v>CC\C=C/CCCC</v>
      </c>
      <c r="G419" s="14" t="str">
        <f>IF(Tabla1[[#This Row],[ID]]="","",VLOOKUP(Tabla1[[#This Row],[ID]],Tabla7[],36,FALSE))</f>
        <v>Training</v>
      </c>
      <c r="H419" s="16" t="str">
        <f>IF(Tabla1[[#This Row],[ID]]="","",VLOOKUP(Tabla1[[#This Row],[ID]],Tabla7[],4,FALSE))</f>
        <v>Alkene</v>
      </c>
      <c r="I419" s="16">
        <f>IF(Tabla1[[#This Row],[ID]]="","",VLOOKUP(Tabla1[[#This Row],[ID]],Tabla1[],4,FALSE))</f>
        <v>-16.139380634738579</v>
      </c>
      <c r="J419" s="16">
        <f>Tabla1[[#This Row],[CN Literatura]]-Tabla1[[#This Row],[CN Predicted]]</f>
        <v>-6.1491040218353987</v>
      </c>
    </row>
    <row r="420" spans="1:10" x14ac:dyDescent="0.25">
      <c r="A420" s="1">
        <f>Desgloce!A419</f>
        <v>391</v>
      </c>
      <c r="B420" s="14">
        <f>VLOOKUP(Tabla1[[#This Row],[No]],Tabla7[],7,FALSE)</f>
        <v>38.1</v>
      </c>
      <c r="C420" s="24">
        <v>34.243050860235201</v>
      </c>
      <c r="D420" s="15">
        <f>(B420-C420)/B420*100</f>
        <v>10.123226088621525</v>
      </c>
      <c r="E420" s="16">
        <f>IF(Tabla1[[#This Row],[% Error1]]&gt;$E$1,Tabla1[[#This Row],[No]],IF(Tabla1[[#This Row],[% Error1]]&lt;-$E$1,Tabla1[[#This Row],[No]],""))</f>
        <v>391</v>
      </c>
      <c r="F420" s="16" t="str">
        <f>IF(Tabla1[[#This Row],[ID]]="","",VLOOKUP(Tabla1[[#This Row],[ID]],Tabla7[],2,FALSE))</f>
        <v>C1CC[C@@H]2CCCC[C@@H]2C1</v>
      </c>
      <c r="G420" s="14" t="str">
        <f>IF(Tabla1[[#This Row],[ID]]="","",VLOOKUP(Tabla1[[#This Row],[ID]],Tabla7[],36,FALSE))</f>
        <v>Training</v>
      </c>
      <c r="H420" s="16" t="str">
        <f>IF(Tabla1[[#This Row],[ID]]="","",VLOOKUP(Tabla1[[#This Row],[ID]],Tabla7[],4,FALSE))</f>
        <v>Polyfunctional</v>
      </c>
      <c r="I420" s="16">
        <f>IF(Tabla1[[#This Row],[ID]]="","",VLOOKUP(Tabla1[[#This Row],[ID]],Tabla1[],4,FALSE))</f>
        <v>10.123226088621525</v>
      </c>
      <c r="J420" s="16">
        <f>Tabla1[[#This Row],[CN Literatura]]-Tabla1[[#This Row],[CN Predicted]]</f>
        <v>3.8569491397648008</v>
      </c>
    </row>
    <row r="421" spans="1:10" x14ac:dyDescent="0.25">
      <c r="A421" s="1">
        <f>Desgloce!A420</f>
        <v>392</v>
      </c>
      <c r="B421" s="14">
        <f>VLOOKUP(Tabla1[[#This Row],[No]],Tabla7[],7,FALSE)</f>
        <v>38.200000000000003</v>
      </c>
      <c r="C421" s="24">
        <v>42.955342053062097</v>
      </c>
      <c r="D421" s="15">
        <f>(B421-C421)/B421*100</f>
        <v>-12.448539405921712</v>
      </c>
      <c r="E421" s="16">
        <f>IF(Tabla1[[#This Row],[% Error1]]&gt;$E$1,Tabla1[[#This Row],[No]],IF(Tabla1[[#This Row],[% Error1]]&lt;-$E$1,Tabla1[[#This Row],[No]],""))</f>
        <v>392</v>
      </c>
      <c r="F421" s="16" t="str">
        <f>IF(Tabla1[[#This Row],[ID]]="","",VLOOKUP(Tabla1[[#This Row],[ID]],Tabla7[],2,FALSE))</f>
        <v>C1CCOCC1</v>
      </c>
      <c r="G421" s="14" t="str">
        <f>IF(Tabla1[[#This Row],[ID]]="","",VLOOKUP(Tabla1[[#This Row],[ID]],Tabla7[],36,FALSE))</f>
        <v>Training</v>
      </c>
      <c r="H421" s="16" t="str">
        <f>IF(Tabla1[[#This Row],[ID]]="","",VLOOKUP(Tabla1[[#This Row],[ID]],Tabla7[],4,FALSE))</f>
        <v>Cyclic Ether</v>
      </c>
      <c r="I421" s="16">
        <f>IF(Tabla1[[#This Row],[ID]]="","",VLOOKUP(Tabla1[[#This Row],[ID]],Tabla1[],4,FALSE))</f>
        <v>-12.448539405921712</v>
      </c>
      <c r="J421" s="16">
        <f>Tabla1[[#This Row],[CN Literatura]]-Tabla1[[#This Row],[CN Predicted]]</f>
        <v>-4.755342053062094</v>
      </c>
    </row>
    <row r="422" spans="1:10" x14ac:dyDescent="0.25">
      <c r="A422" s="1">
        <f>Desgloce!A421</f>
        <v>395</v>
      </c>
      <c r="B422" s="14">
        <f>VLOOKUP(Tabla1[[#This Row],[No]],Tabla7[],7,FALSE)</f>
        <v>38.299999999999997</v>
      </c>
      <c r="C422" s="24">
        <v>43.199878625645397</v>
      </c>
      <c r="D422" s="15">
        <f>(B422-C422)/B422*100</f>
        <v>-12.793416777142037</v>
      </c>
      <c r="E422" s="16">
        <f>IF(Tabla1[[#This Row],[% Error1]]&gt;$E$1,Tabla1[[#This Row],[No]],IF(Tabla1[[#This Row],[% Error1]]&lt;-$E$1,Tabla1[[#This Row],[No]],""))</f>
        <v>395</v>
      </c>
      <c r="F422" s="16" t="str">
        <f>IF(Tabla1[[#This Row],[ID]]="","",VLOOKUP(Tabla1[[#This Row],[ID]],Tabla7[],2,FALSE))</f>
        <v>COCCOCCO</v>
      </c>
      <c r="G422" s="14" t="str">
        <f>IF(Tabla1[[#This Row],[ID]]="","",VLOOKUP(Tabla1[[#This Row],[ID]],Tabla7[],36,FALSE))</f>
        <v>Training</v>
      </c>
      <c r="H422" s="16" t="str">
        <f>IF(Tabla1[[#This Row],[ID]]="","",VLOOKUP(Tabla1[[#This Row],[ID]],Tabla7[],4,FALSE))</f>
        <v>Polyfunctional</v>
      </c>
      <c r="I422" s="16">
        <f>IF(Tabla1[[#This Row],[ID]]="","",VLOOKUP(Tabla1[[#This Row],[ID]],Tabla1[],4,FALSE))</f>
        <v>-12.793416777142037</v>
      </c>
      <c r="J422" s="16">
        <f>Tabla1[[#This Row],[CN Literatura]]-Tabla1[[#This Row],[CN Predicted]]</f>
        <v>-4.8998786256453997</v>
      </c>
    </row>
    <row r="423" spans="1:10" x14ac:dyDescent="0.25">
      <c r="A423" s="1">
        <f>Desgloce!A422</f>
        <v>396</v>
      </c>
      <c r="B423" s="14">
        <f>VLOOKUP(Tabla1[[#This Row],[No]],Tabla7[],7,FALSE)</f>
        <v>38.299999999999997</v>
      </c>
      <c r="C423" s="24">
        <v>36.091309227032099</v>
      </c>
      <c r="D423" s="15">
        <f>(B423-C423)/B423*100</f>
        <v>5.7668166396028679</v>
      </c>
      <c r="E423" s="16" t="str">
        <f>IF(Tabla1[[#This Row],[% Error1]]&gt;$E$1,Tabla1[[#This Row],[No]],IF(Tabla1[[#This Row],[% Error1]]&lt;-$E$1,Tabla1[[#This Row],[No]],""))</f>
        <v/>
      </c>
      <c r="F423" s="16" t="str">
        <f>IF(Tabla1[[#This Row],[ID]]="","",VLOOKUP(Tabla1[[#This Row],[ID]],Tabla7[],2,FALSE))</f>
        <v/>
      </c>
      <c r="G423" s="14" t="str">
        <f>IF(Tabla1[[#This Row],[ID]]="","",VLOOKUP(Tabla1[[#This Row],[ID]],Tabla7[],36,FALSE))</f>
        <v/>
      </c>
      <c r="H423" s="16" t="str">
        <f>IF(Tabla1[[#This Row],[ID]]="","",VLOOKUP(Tabla1[[#This Row],[ID]],Tabla7[],4,FALSE))</f>
        <v/>
      </c>
      <c r="I423" s="16" t="str">
        <f>IF(Tabla1[[#This Row],[ID]]="","",VLOOKUP(Tabla1[[#This Row],[ID]],Tabla1[],4,FALSE))</f>
        <v/>
      </c>
      <c r="J423" s="16">
        <f>Tabla1[[#This Row],[CN Literatura]]-Tabla1[[#This Row],[CN Predicted]]</f>
        <v>2.2086907729678984</v>
      </c>
    </row>
    <row r="424" spans="1:10" x14ac:dyDescent="0.25">
      <c r="A424" s="1">
        <f>Desgloce!A423</f>
        <v>397</v>
      </c>
      <c r="B424" s="14">
        <f>VLOOKUP(Tabla1[[#This Row],[No]],Tabla7[],7,FALSE)</f>
        <v>38.799999999999997</v>
      </c>
      <c r="C424" s="24">
        <v>30.038134919557699</v>
      </c>
      <c r="D424" s="15">
        <f>(B424-C424)/B424*100</f>
        <v>22.582126495985307</v>
      </c>
      <c r="E424" s="16">
        <f>IF(Tabla1[[#This Row],[% Error1]]&gt;$E$1,Tabla1[[#This Row],[No]],IF(Tabla1[[#This Row],[% Error1]]&lt;-$E$1,Tabla1[[#This Row],[No]],""))</f>
        <v>397</v>
      </c>
      <c r="F424" s="16" t="str">
        <f>IF(Tabla1[[#This Row],[ID]]="","",VLOOKUP(Tabla1[[#This Row],[ID]],Tabla7[],2,FALSE))</f>
        <v>C1CCC2C(C1)CCC3C2CCCC3</v>
      </c>
      <c r="G424" s="14" t="str">
        <f>IF(Tabla1[[#This Row],[ID]]="","",VLOOKUP(Tabla1[[#This Row],[ID]],Tabla7[],36,FALSE))</f>
        <v>Training</v>
      </c>
      <c r="H424" s="16" t="str">
        <f>IF(Tabla1[[#This Row],[ID]]="","",VLOOKUP(Tabla1[[#This Row],[ID]],Tabla7[],4,FALSE))</f>
        <v>cyclo-alkane</v>
      </c>
      <c r="I424" s="16">
        <f>IF(Tabla1[[#This Row],[ID]]="","",VLOOKUP(Tabla1[[#This Row],[ID]],Tabla1[],4,FALSE))</f>
        <v>22.582126495985307</v>
      </c>
      <c r="J424" s="16">
        <f>Tabla1[[#This Row],[CN Literatura]]-Tabla1[[#This Row],[CN Predicted]]</f>
        <v>8.7618650804422984</v>
      </c>
    </row>
    <row r="425" spans="1:10" x14ac:dyDescent="0.25">
      <c r="A425" s="1">
        <f>Desgloce!A424</f>
        <v>398</v>
      </c>
      <c r="B425" s="14">
        <f>VLOOKUP(Tabla1[[#This Row],[No]],Tabla7[],7,FALSE)</f>
        <v>38.799999999999997</v>
      </c>
      <c r="C425" s="24">
        <v>38.385998329511303</v>
      </c>
      <c r="D425" s="15">
        <f>(B425-C425)/B425*100</f>
        <v>1.0670146146615842</v>
      </c>
      <c r="E425" s="16" t="str">
        <f>IF(Tabla1[[#This Row],[% Error1]]&gt;$E$1,Tabla1[[#This Row],[No]],IF(Tabla1[[#This Row],[% Error1]]&lt;-$E$1,Tabla1[[#This Row],[No]],""))</f>
        <v/>
      </c>
      <c r="F425" s="16" t="str">
        <f>IF(Tabla1[[#This Row],[ID]]="","",VLOOKUP(Tabla1[[#This Row],[ID]],Tabla7[],2,FALSE))</f>
        <v/>
      </c>
      <c r="G425" s="14" t="str">
        <f>IF(Tabla1[[#This Row],[ID]]="","",VLOOKUP(Tabla1[[#This Row],[ID]],Tabla7[],36,FALSE))</f>
        <v/>
      </c>
      <c r="H425" s="16" t="str">
        <f>IF(Tabla1[[#This Row],[ID]]="","",VLOOKUP(Tabla1[[#This Row],[ID]],Tabla7[],4,FALSE))</f>
        <v/>
      </c>
      <c r="I425" s="16" t="str">
        <f>IF(Tabla1[[#This Row],[ID]]="","",VLOOKUP(Tabla1[[#This Row],[ID]],Tabla1[],4,FALSE))</f>
        <v/>
      </c>
      <c r="J425" s="16">
        <f>Tabla1[[#This Row],[CN Literatura]]-Tabla1[[#This Row],[CN Predicted]]</f>
        <v>0.41400167048869463</v>
      </c>
    </row>
    <row r="426" spans="1:10" x14ac:dyDescent="0.25">
      <c r="A426" s="1">
        <f>Desgloce!A425</f>
        <v>399</v>
      </c>
      <c r="B426" s="14">
        <f>VLOOKUP(Tabla1[[#This Row],[No]],Tabla7[],7,FALSE)</f>
        <v>39</v>
      </c>
      <c r="C426" s="24">
        <v>42.314196374695598</v>
      </c>
      <c r="D426" s="15">
        <f>(B426-C426)/B426*100</f>
        <v>-8.4979394222964046</v>
      </c>
      <c r="E426" s="16" t="str">
        <f>IF(Tabla1[[#This Row],[% Error1]]&gt;$E$1,Tabla1[[#This Row],[No]],IF(Tabla1[[#This Row],[% Error1]]&lt;-$E$1,Tabla1[[#This Row],[No]],""))</f>
        <v/>
      </c>
      <c r="F426" s="16" t="str">
        <f>IF(Tabla1[[#This Row],[ID]]="","",VLOOKUP(Tabla1[[#This Row],[ID]],Tabla7[],2,FALSE))</f>
        <v/>
      </c>
      <c r="G426" s="14" t="str">
        <f>IF(Tabla1[[#This Row],[ID]]="","",VLOOKUP(Tabla1[[#This Row],[ID]],Tabla7[],36,FALSE))</f>
        <v/>
      </c>
      <c r="H426" s="16" t="str">
        <f>IF(Tabla1[[#This Row],[ID]]="","",VLOOKUP(Tabla1[[#This Row],[ID]],Tabla7[],4,FALSE))</f>
        <v/>
      </c>
      <c r="I426" s="16" t="str">
        <f>IF(Tabla1[[#This Row],[ID]]="","",VLOOKUP(Tabla1[[#This Row],[ID]],Tabla1[],4,FALSE))</f>
        <v/>
      </c>
      <c r="J426" s="16">
        <f>Tabla1[[#This Row],[CN Literatura]]-Tabla1[[#This Row],[CN Predicted]]</f>
        <v>-3.314196374695598</v>
      </c>
    </row>
    <row r="427" spans="1:10" x14ac:dyDescent="0.25">
      <c r="A427" s="1">
        <f>Desgloce!A426</f>
        <v>400</v>
      </c>
      <c r="B427" s="14">
        <f>VLOOKUP(Tabla1[[#This Row],[No]],Tabla7[],7,FALSE)</f>
        <v>39</v>
      </c>
      <c r="C427" s="24">
        <v>40.164319219127599</v>
      </c>
      <c r="D427" s="15">
        <f>(B427-C427)/B427*100</f>
        <v>-2.9854338951989705</v>
      </c>
      <c r="E427" s="16" t="str">
        <f>IF(Tabla1[[#This Row],[% Error1]]&gt;$E$1,Tabla1[[#This Row],[No]],IF(Tabla1[[#This Row],[% Error1]]&lt;-$E$1,Tabla1[[#This Row],[No]],""))</f>
        <v/>
      </c>
      <c r="F427" s="16" t="str">
        <f>IF(Tabla1[[#This Row],[ID]]="","",VLOOKUP(Tabla1[[#This Row],[ID]],Tabla7[],2,FALSE))</f>
        <v/>
      </c>
      <c r="G427" s="14" t="str">
        <f>IF(Tabla1[[#This Row],[ID]]="","",VLOOKUP(Tabla1[[#This Row],[ID]],Tabla7[],36,FALSE))</f>
        <v/>
      </c>
      <c r="H427" s="16" t="str">
        <f>IF(Tabla1[[#This Row],[ID]]="","",VLOOKUP(Tabla1[[#This Row],[ID]],Tabla7[],4,FALSE))</f>
        <v/>
      </c>
      <c r="I427" s="24" t="str">
        <f>IF(Tabla1[[#This Row],[ID]]="","",VLOOKUP(Tabla1[[#This Row],[ID]],Tabla1[],4,FALSE))</f>
        <v/>
      </c>
      <c r="J427" s="16">
        <f>Tabla1[[#This Row],[CN Literatura]]-Tabla1[[#This Row],[CN Predicted]]</f>
        <v>-1.1643192191275986</v>
      </c>
    </row>
    <row r="428" spans="1:10" x14ac:dyDescent="0.25">
      <c r="A428" s="1">
        <f>Desgloce!A427</f>
        <v>401</v>
      </c>
      <c r="B428" s="14">
        <f>VLOOKUP(Tabla1[[#This Row],[No]],Tabla7[],7,FALSE)</f>
        <v>39</v>
      </c>
      <c r="C428" s="24">
        <v>45.296504323165301</v>
      </c>
      <c r="D428" s="15">
        <f>(B428-C428)/B428*100</f>
        <v>-16.14488287991103</v>
      </c>
      <c r="E428" s="16">
        <f>IF(Tabla1[[#This Row],[% Error1]]&gt;$E$1,Tabla1[[#This Row],[No]],IF(Tabla1[[#This Row],[% Error1]]&lt;-$E$1,Tabla1[[#This Row],[No]],""))</f>
        <v>401</v>
      </c>
      <c r="F428" s="16" t="str">
        <f>IF(Tabla1[[#This Row],[ID]]="","",VLOOKUP(Tabla1[[#This Row],[ID]],Tabla7[],2,FALSE))</f>
        <v>CCCCCCCCCCCCCCC[C@@H](CCCC)c1ccccc1</v>
      </c>
      <c r="G428" s="14" t="str">
        <f>IF(Tabla1[[#This Row],[ID]]="","",VLOOKUP(Tabla1[[#This Row],[ID]],Tabla7[],36,FALSE))</f>
        <v>Training</v>
      </c>
      <c r="H428" s="16" t="str">
        <f>IF(Tabla1[[#This Row],[ID]]="","",VLOOKUP(Tabla1[[#This Row],[ID]],Tabla7[],4,FALSE))</f>
        <v>Aromatic</v>
      </c>
      <c r="I428" s="24">
        <f>IF(Tabla1[[#This Row],[ID]]="","",VLOOKUP(Tabla1[[#This Row],[ID]],Tabla1[],4,FALSE))</f>
        <v>-16.14488287991103</v>
      </c>
      <c r="J428" s="16">
        <f>Tabla1[[#This Row],[CN Literatura]]-Tabla1[[#This Row],[CN Predicted]]</f>
        <v>-6.2965043231653013</v>
      </c>
    </row>
    <row r="429" spans="1:10" x14ac:dyDescent="0.25">
      <c r="A429" s="1">
        <f>Desgloce!A428</f>
        <v>402</v>
      </c>
      <c r="B429" s="14">
        <f>VLOOKUP(Tabla1[[#This Row],[No]],Tabla7[],7,FALSE)</f>
        <v>39</v>
      </c>
      <c r="C429" s="24">
        <v>40.8639410925961</v>
      </c>
      <c r="D429" s="15">
        <f>(B429-C429)/B429*100</f>
        <v>-4.7793361348617953</v>
      </c>
      <c r="E429" s="16" t="str">
        <f>IF(Tabla1[[#This Row],[% Error1]]&gt;$E$1,Tabla1[[#This Row],[No]],IF(Tabla1[[#This Row],[% Error1]]&lt;-$E$1,Tabla1[[#This Row],[No]],""))</f>
        <v/>
      </c>
      <c r="F429" s="16" t="str">
        <f>IF(Tabla1[[#This Row],[ID]]="","",VLOOKUP(Tabla1[[#This Row],[ID]],Tabla7[],2,FALSE))</f>
        <v/>
      </c>
      <c r="G429" s="14" t="str">
        <f>IF(Tabla1[[#This Row],[ID]]="","",VLOOKUP(Tabla1[[#This Row],[ID]],Tabla7[],36,FALSE))</f>
        <v/>
      </c>
      <c r="H429" s="16" t="str">
        <f>IF(Tabla1[[#This Row],[ID]]="","",VLOOKUP(Tabla1[[#This Row],[ID]],Tabla7[],4,FALSE))</f>
        <v/>
      </c>
      <c r="I429" s="24" t="str">
        <f>IF(Tabla1[[#This Row],[ID]]="","",VLOOKUP(Tabla1[[#This Row],[ID]],Tabla1[],4,FALSE))</f>
        <v/>
      </c>
      <c r="J429" s="16">
        <f>Tabla1[[#This Row],[CN Literatura]]-Tabla1[[#This Row],[CN Predicted]]</f>
        <v>-1.8639410925961002</v>
      </c>
    </row>
    <row r="430" spans="1:10" x14ac:dyDescent="0.25">
      <c r="A430" s="1">
        <f>Desgloce!A429</f>
        <v>403</v>
      </c>
      <c r="B430" s="14">
        <f>VLOOKUP(Tabla1[[#This Row],[No]],Tabla7[],7,FALSE)</f>
        <v>39</v>
      </c>
      <c r="C430" s="24">
        <v>45.837634900424398</v>
      </c>
      <c r="D430" s="15">
        <f>(B430-C430)/B430*100</f>
        <v>-17.53239718057538</v>
      </c>
      <c r="E430" s="16">
        <f>IF(Tabla1[[#This Row],[% Error1]]&gt;$E$1,Tabla1[[#This Row],[No]],IF(Tabla1[[#This Row],[% Error1]]&lt;-$E$1,Tabla1[[#This Row],[No]],""))</f>
        <v>403</v>
      </c>
      <c r="F430" s="16" t="str">
        <f>IF(Tabla1[[#This Row],[ID]]="","",VLOOKUP(Tabla1[[#This Row],[ID]],Tabla7[],2,FALSE))</f>
        <v>CCCCCCCCCCCCCCC[C@H](CCCC)c1ccccc1</v>
      </c>
      <c r="G430" s="14" t="str">
        <f>IF(Tabla1[[#This Row],[ID]]="","",VLOOKUP(Tabla1[[#This Row],[ID]],Tabla7[],36,FALSE))</f>
        <v>Training</v>
      </c>
      <c r="H430" s="16" t="str">
        <f>IF(Tabla1[[#This Row],[ID]]="","",VLOOKUP(Tabla1[[#This Row],[ID]],Tabla7[],4,FALSE))</f>
        <v>Aromatic</v>
      </c>
      <c r="I430" s="24">
        <f>IF(Tabla1[[#This Row],[ID]]="","",VLOOKUP(Tabla1[[#This Row],[ID]],Tabla1[],4,FALSE))</f>
        <v>-17.53239718057538</v>
      </c>
      <c r="J430" s="16">
        <f>Tabla1[[#This Row],[CN Literatura]]-Tabla1[[#This Row],[CN Predicted]]</f>
        <v>-6.8376349004243977</v>
      </c>
    </row>
    <row r="431" spans="1:10" x14ac:dyDescent="0.25">
      <c r="A431" s="1">
        <f>Desgloce!A430</f>
        <v>405</v>
      </c>
      <c r="B431" s="14">
        <f>VLOOKUP(Tabla1[[#This Row],[No]],Tabla7[],7,FALSE)</f>
        <v>39</v>
      </c>
      <c r="C431" s="24">
        <v>52.114675168325803</v>
      </c>
      <c r="D431" s="15">
        <f>(B431-C431)/B431*100</f>
        <v>-33.627372226476417</v>
      </c>
      <c r="E431" s="16">
        <f>IF(Tabla1[[#This Row],[% Error1]]&gt;$E$1,Tabla1[[#This Row],[No]],IF(Tabla1[[#This Row],[% Error1]]&lt;-$E$1,Tabla1[[#This Row],[No]],""))</f>
        <v>405</v>
      </c>
      <c r="F431" s="16" t="str">
        <f>IF(Tabla1[[#This Row],[ID]]="","",VLOOKUP(Tabla1[[#This Row],[ID]],Tabla7[],2,FALSE))</f>
        <v>CC(C)CC(C(CC(C)C)CC)CC</v>
      </c>
      <c r="G431" s="14" t="str">
        <f>IF(Tabla1[[#This Row],[ID]]="","",VLOOKUP(Tabla1[[#This Row],[ID]],Tabla7[],36,FALSE))</f>
        <v>Training</v>
      </c>
      <c r="H431" s="16" t="str">
        <f>IF(Tabla1[[#This Row],[ID]]="","",VLOOKUP(Tabla1[[#This Row],[ID]],Tabla7[],4,FALSE))</f>
        <v>iso-alkane</v>
      </c>
      <c r="I431" s="16">
        <f>IF(Tabla1[[#This Row],[ID]]="","",VLOOKUP(Tabla1[[#This Row],[ID]],Tabla1[],4,FALSE))</f>
        <v>-33.627372226476417</v>
      </c>
      <c r="J431" s="16">
        <f>Tabla1[[#This Row],[CN Literatura]]-Tabla1[[#This Row],[CN Predicted]]</f>
        <v>-13.114675168325803</v>
      </c>
    </row>
    <row r="432" spans="1:10" x14ac:dyDescent="0.25">
      <c r="A432" s="1">
        <f>Desgloce!A431</f>
        <v>406</v>
      </c>
      <c r="B432" s="14">
        <f>VLOOKUP(Tabla1[[#This Row],[No]],Tabla7[],7,FALSE)</f>
        <v>39</v>
      </c>
      <c r="C432" s="24">
        <v>40.403305006032198</v>
      </c>
      <c r="D432" s="15">
        <f>(B432-C432)/B432*100</f>
        <v>-3.5982179641851242</v>
      </c>
      <c r="E432" s="16" t="str">
        <f>IF(Tabla1[[#This Row],[% Error1]]&gt;$E$1,Tabla1[[#This Row],[No]],IF(Tabla1[[#This Row],[% Error1]]&lt;-$E$1,Tabla1[[#This Row],[No]],""))</f>
        <v/>
      </c>
      <c r="F432" s="16" t="str">
        <f>IF(Tabla1[[#This Row],[ID]]="","",VLOOKUP(Tabla1[[#This Row],[ID]],Tabla7[],2,FALSE))</f>
        <v/>
      </c>
      <c r="G432" s="14" t="str">
        <f>IF(Tabla1[[#This Row],[ID]]="","",VLOOKUP(Tabla1[[#This Row],[ID]],Tabla7[],36,FALSE))</f>
        <v/>
      </c>
      <c r="H432" s="16" t="str">
        <f>IF(Tabla1[[#This Row],[ID]]="","",VLOOKUP(Tabla1[[#This Row],[ID]],Tabla7[],4,FALSE))</f>
        <v/>
      </c>
      <c r="I432" s="16" t="str">
        <f>IF(Tabla1[[#This Row],[ID]]="","",VLOOKUP(Tabla1[[#This Row],[ID]],Tabla1[],4,FALSE))</f>
        <v/>
      </c>
      <c r="J432" s="16">
        <f>Tabla1[[#This Row],[CN Literatura]]-Tabla1[[#This Row],[CN Predicted]]</f>
        <v>-1.4033050060321983</v>
      </c>
    </row>
    <row r="433" spans="1:10" x14ac:dyDescent="0.25">
      <c r="A433" s="1">
        <f>Desgloce!A432</f>
        <v>408</v>
      </c>
      <c r="B433" s="14">
        <f>VLOOKUP(Tabla1[[#This Row],[No]],Tabla7[],7,FALSE)</f>
        <v>39</v>
      </c>
      <c r="C433" s="24">
        <v>40.403305006032198</v>
      </c>
      <c r="D433" s="15">
        <f>(B433-C433)/B433*100</f>
        <v>-3.5982179641851242</v>
      </c>
      <c r="E433" s="16" t="str">
        <f>IF(Tabla1[[#This Row],[% Error1]]&gt;$E$1,Tabla1[[#This Row],[No]],IF(Tabla1[[#This Row],[% Error1]]&lt;-$E$1,Tabla1[[#This Row],[No]],""))</f>
        <v/>
      </c>
      <c r="F433" s="16" t="str">
        <f>IF(Tabla1[[#This Row],[ID]]="","",VLOOKUP(Tabla1[[#This Row],[ID]],Tabla7[],2,FALSE))</f>
        <v/>
      </c>
      <c r="G433" s="14" t="str">
        <f>IF(Tabla1[[#This Row],[ID]]="","",VLOOKUP(Tabla1[[#This Row],[ID]],Tabla7[],36,FALSE))</f>
        <v/>
      </c>
      <c r="H433" s="16" t="str">
        <f>IF(Tabla1[[#This Row],[ID]]="","",VLOOKUP(Tabla1[[#This Row],[ID]],Tabla7[],4,FALSE))</f>
        <v/>
      </c>
      <c r="I433" s="16" t="str">
        <f>IF(Tabla1[[#This Row],[ID]]="","",VLOOKUP(Tabla1[[#This Row],[ID]],Tabla1[],4,FALSE))</f>
        <v/>
      </c>
      <c r="J433" s="16">
        <f>Tabla1[[#This Row],[CN Literatura]]-Tabla1[[#This Row],[CN Predicted]]</f>
        <v>-1.4033050060321983</v>
      </c>
    </row>
    <row r="434" spans="1:10" x14ac:dyDescent="0.25">
      <c r="A434" s="1">
        <f>Desgloce!A433</f>
        <v>409</v>
      </c>
      <c r="B434" s="14">
        <f>VLOOKUP(Tabla1[[#This Row],[No]],Tabla7[],7,FALSE)</f>
        <v>39</v>
      </c>
      <c r="C434" s="24">
        <v>40.403305006032198</v>
      </c>
      <c r="D434" s="15">
        <f>(B434-C434)/B434*100</f>
        <v>-3.5982179641851242</v>
      </c>
      <c r="E434" s="16" t="str">
        <f>IF(Tabla1[[#This Row],[% Error1]]&gt;$E$1,Tabla1[[#This Row],[No]],IF(Tabla1[[#This Row],[% Error1]]&lt;-$E$1,Tabla1[[#This Row],[No]],""))</f>
        <v/>
      </c>
      <c r="F434" s="16" t="str">
        <f>IF(Tabla1[[#This Row],[ID]]="","",VLOOKUP(Tabla1[[#This Row],[ID]],Tabla7[],2,FALSE))</f>
        <v/>
      </c>
      <c r="G434" s="14" t="str">
        <f>IF(Tabla1[[#This Row],[ID]]="","",VLOOKUP(Tabla1[[#This Row],[ID]],Tabla7[],36,FALSE))</f>
        <v/>
      </c>
      <c r="H434" s="16" t="str">
        <f>IF(Tabla1[[#This Row],[ID]]="","",VLOOKUP(Tabla1[[#This Row],[ID]],Tabla7[],4,FALSE))</f>
        <v/>
      </c>
      <c r="I434" s="16" t="str">
        <f>IF(Tabla1[[#This Row],[ID]]="","",VLOOKUP(Tabla1[[#This Row],[ID]],Tabla1[],4,FALSE))</f>
        <v/>
      </c>
      <c r="J434" s="16">
        <f>Tabla1[[#This Row],[CN Literatura]]-Tabla1[[#This Row],[CN Predicted]]</f>
        <v>-1.4033050060321983</v>
      </c>
    </row>
    <row r="435" spans="1:10" x14ac:dyDescent="0.25">
      <c r="A435" s="1">
        <f>Desgloce!A434</f>
        <v>410</v>
      </c>
      <c r="B435" s="14">
        <f>VLOOKUP(Tabla1[[#This Row],[No]],Tabla7[],7,FALSE)</f>
        <v>39</v>
      </c>
      <c r="C435" s="24">
        <v>38.385998329511303</v>
      </c>
      <c r="D435" s="15">
        <f>(B435-C435)/B435*100</f>
        <v>1.5743632576633269</v>
      </c>
      <c r="E435" s="16" t="str">
        <f>IF(Tabla1[[#This Row],[% Error1]]&gt;$E$1,Tabla1[[#This Row],[No]],IF(Tabla1[[#This Row],[% Error1]]&lt;-$E$1,Tabla1[[#This Row],[No]],""))</f>
        <v/>
      </c>
      <c r="F435" s="16" t="str">
        <f>IF(Tabla1[[#This Row],[ID]]="","",VLOOKUP(Tabla1[[#This Row],[ID]],Tabla7[],2,FALSE))</f>
        <v/>
      </c>
      <c r="G435" s="14" t="str">
        <f>IF(Tabla1[[#This Row],[ID]]="","",VLOOKUP(Tabla1[[#This Row],[ID]],Tabla7[],36,FALSE))</f>
        <v/>
      </c>
      <c r="H435" s="16" t="str">
        <f>IF(Tabla1[[#This Row],[ID]]="","",VLOOKUP(Tabla1[[#This Row],[ID]],Tabla7[],4,FALSE))</f>
        <v/>
      </c>
      <c r="I435" s="16" t="str">
        <f>IF(Tabla1[[#This Row],[ID]]="","",VLOOKUP(Tabla1[[#This Row],[ID]],Tabla1[],4,FALSE))</f>
        <v/>
      </c>
      <c r="J435" s="16">
        <f>Tabla1[[#This Row],[CN Literatura]]-Tabla1[[#This Row],[CN Predicted]]</f>
        <v>0.61400167048869747</v>
      </c>
    </row>
    <row r="436" spans="1:10" x14ac:dyDescent="0.25">
      <c r="A436" s="1">
        <f>Desgloce!A435</f>
        <v>411</v>
      </c>
      <c r="B436" s="14">
        <f>VLOOKUP(Tabla1[[#This Row],[No]],Tabla7[],7,FALSE)</f>
        <v>39.1</v>
      </c>
      <c r="C436" s="24">
        <v>32.989066765028397</v>
      </c>
      <c r="D436" s="15">
        <f>(B436-C436)/B436*100</f>
        <v>15.628985255681851</v>
      </c>
      <c r="E436" s="16">
        <f>IF(Tabla1[[#This Row],[% Error1]]&gt;$E$1,Tabla1[[#This Row],[No]],IF(Tabla1[[#This Row],[% Error1]]&lt;-$E$1,Tabla1[[#This Row],[No]],""))</f>
        <v>411</v>
      </c>
      <c r="F436" s="16" t="str">
        <f>IF(Tabla1[[#This Row],[ID]]="","",VLOOKUP(Tabla1[[#This Row],[ID]],Tabla7[],2,FALSE))</f>
        <v>C(CCCCCCC)O</v>
      </c>
      <c r="G436" s="14" t="str">
        <f>IF(Tabla1[[#This Row],[ID]]="","",VLOOKUP(Tabla1[[#This Row],[ID]],Tabla7[],36,FALSE))</f>
        <v>Training</v>
      </c>
      <c r="H436" s="16" t="str">
        <f>IF(Tabla1[[#This Row],[ID]]="","",VLOOKUP(Tabla1[[#This Row],[ID]],Tabla7[],4,FALSE))</f>
        <v>Alcohol</v>
      </c>
      <c r="I436" s="16">
        <f>IF(Tabla1[[#This Row],[ID]]="","",VLOOKUP(Tabla1[[#This Row],[ID]],Tabla1[],4,FALSE))</f>
        <v>15.628985255681851</v>
      </c>
      <c r="J436" s="16">
        <f>Tabla1[[#This Row],[CN Literatura]]-Tabla1[[#This Row],[CN Predicted]]</f>
        <v>6.1109332349716041</v>
      </c>
    </row>
    <row r="437" spans="1:10" x14ac:dyDescent="0.25">
      <c r="A437" s="1">
        <f>Desgloce!A436</f>
        <v>413</v>
      </c>
      <c r="B437" s="14">
        <f>VLOOKUP(Tabla1[[#This Row],[No]],Tabla7[],7,FALSE)</f>
        <v>39.6</v>
      </c>
      <c r="C437" s="24">
        <v>48.397883180952697</v>
      </c>
      <c r="D437" s="15">
        <f>(B437-C437)/B437*100</f>
        <v>-22.216876719577513</v>
      </c>
      <c r="E437" s="16">
        <f>IF(Tabla1[[#This Row],[% Error1]]&gt;$E$1,Tabla1[[#This Row],[No]],IF(Tabla1[[#This Row],[% Error1]]&lt;-$E$1,Tabla1[[#This Row],[No]],""))</f>
        <v>413</v>
      </c>
      <c r="F437" s="16" t="str">
        <f>IF(Tabla1[[#This Row],[ID]]="","",VLOOKUP(Tabla1[[#This Row],[ID]],Tabla7[],2,FALSE))</f>
        <v>CCCCCCCC(C)O</v>
      </c>
      <c r="G437" s="14" t="str">
        <f>IF(Tabla1[[#This Row],[ID]]="","",VLOOKUP(Tabla1[[#This Row],[ID]],Tabla7[],36,FALSE))</f>
        <v>Training</v>
      </c>
      <c r="H437" s="16" t="str">
        <f>IF(Tabla1[[#This Row],[ID]]="","",VLOOKUP(Tabla1[[#This Row],[ID]],Tabla7[],4,FALSE))</f>
        <v>Alcohol</v>
      </c>
      <c r="I437" s="16">
        <f>IF(Tabla1[[#This Row],[ID]]="","",VLOOKUP(Tabla1[[#This Row],[ID]],Tabla1[],4,FALSE))</f>
        <v>-22.216876719577513</v>
      </c>
      <c r="J437" s="16">
        <f>Tabla1[[#This Row],[CN Literatura]]-Tabla1[[#This Row],[CN Predicted]]</f>
        <v>-8.7978831809526952</v>
      </c>
    </row>
    <row r="438" spans="1:10" x14ac:dyDescent="0.25">
      <c r="A438" s="1">
        <f>Desgloce!A437</f>
        <v>415</v>
      </c>
      <c r="B438" s="14">
        <f>VLOOKUP(Tabla1[[#This Row],[No]],Tabla7[],7,FALSE)</f>
        <v>39.6</v>
      </c>
      <c r="C438" s="24">
        <v>48.397883180952697</v>
      </c>
      <c r="D438" s="15">
        <f>(B438-C438)/B438*100</f>
        <v>-22.216876719577513</v>
      </c>
      <c r="E438" s="16">
        <f>IF(Tabla1[[#This Row],[% Error1]]&gt;$E$1,Tabla1[[#This Row],[No]],IF(Tabla1[[#This Row],[% Error1]]&lt;-$E$1,Tabla1[[#This Row],[No]],""))</f>
        <v>415</v>
      </c>
      <c r="F438" s="16" t="str">
        <f>IF(Tabla1[[#This Row],[ID]]="","",VLOOKUP(Tabla1[[#This Row],[ID]],Tabla7[],2,FALSE))</f>
        <v>CCCCCCCC(=O)OCCCC</v>
      </c>
      <c r="G438" s="14" t="str">
        <f>IF(Tabla1[[#This Row],[ID]]="","",VLOOKUP(Tabla1[[#This Row],[ID]],Tabla7[],36,FALSE))</f>
        <v>Training</v>
      </c>
      <c r="H438" s="16" t="str">
        <f>IF(Tabla1[[#This Row],[ID]]="","",VLOOKUP(Tabla1[[#This Row],[ID]],Tabla7[],4,FALSE))</f>
        <v>Ester</v>
      </c>
      <c r="I438" s="16">
        <f>IF(Tabla1[[#This Row],[ID]]="","",VLOOKUP(Tabla1[[#This Row],[ID]],Tabla1[],4,FALSE))</f>
        <v>-22.216876719577513</v>
      </c>
      <c r="J438" s="16">
        <f>Tabla1[[#This Row],[CN Literatura]]-Tabla1[[#This Row],[CN Predicted]]</f>
        <v>-8.7978831809526952</v>
      </c>
    </row>
    <row r="439" spans="1:10" x14ac:dyDescent="0.25">
      <c r="A439" s="1">
        <f>Desgloce!A438</f>
        <v>416</v>
      </c>
      <c r="B439" s="14">
        <f>VLOOKUP(Tabla1[[#This Row],[No]],Tabla7[],7,FALSE)</f>
        <v>39.6</v>
      </c>
      <c r="C439" s="24">
        <v>41.262114673569101</v>
      </c>
      <c r="D439" s="15">
        <f>(B439-C439)/B439*100</f>
        <v>-4.1972592766896462</v>
      </c>
      <c r="E439" s="16" t="str">
        <f>IF(Tabla1[[#This Row],[% Error1]]&gt;$E$1,Tabla1[[#This Row],[No]],IF(Tabla1[[#This Row],[% Error1]]&lt;-$E$1,Tabla1[[#This Row],[No]],""))</f>
        <v/>
      </c>
      <c r="F439" s="16" t="str">
        <f>IF(Tabla1[[#This Row],[ID]]="","",VLOOKUP(Tabla1[[#This Row],[ID]],Tabla7[],2,FALSE))</f>
        <v/>
      </c>
      <c r="G439" s="14" t="str">
        <f>IF(Tabla1[[#This Row],[ID]]="","",VLOOKUP(Tabla1[[#This Row],[ID]],Tabla7[],36,FALSE))</f>
        <v/>
      </c>
      <c r="H439" s="16" t="str">
        <f>IF(Tabla1[[#This Row],[ID]]="","",VLOOKUP(Tabla1[[#This Row],[ID]],Tabla7[],4,FALSE))</f>
        <v/>
      </c>
      <c r="I439" s="16" t="str">
        <f>IF(Tabla1[[#This Row],[ID]]="","",VLOOKUP(Tabla1[[#This Row],[ID]],Tabla1[],4,FALSE))</f>
        <v/>
      </c>
      <c r="J439" s="16">
        <f>Tabla1[[#This Row],[CN Literatura]]-Tabla1[[#This Row],[CN Predicted]]</f>
        <v>-1.6621146735690999</v>
      </c>
    </row>
    <row r="440" spans="1:10" x14ac:dyDescent="0.25">
      <c r="A440" s="1">
        <f>Desgloce!A439</f>
        <v>418</v>
      </c>
      <c r="B440" s="14">
        <f>VLOOKUP(Tabla1[[#This Row],[No]],Tabla7[],7,FALSE)</f>
        <v>40</v>
      </c>
      <c r="C440" s="24">
        <v>48.452992483127403</v>
      </c>
      <c r="D440" s="15">
        <f>(B440-C440)/B440*100</f>
        <v>-21.132481207818508</v>
      </c>
      <c r="E440" s="16">
        <f>IF(Tabla1[[#This Row],[% Error1]]&gt;$E$1,Tabla1[[#This Row],[No]],IF(Tabla1[[#This Row],[% Error1]]&lt;-$E$1,Tabla1[[#This Row],[No]],""))</f>
        <v>418</v>
      </c>
      <c r="F440" s="16" t="str">
        <f>IF(Tabla1[[#This Row],[ID]]="","",VLOOKUP(Tabla1[[#This Row],[ID]],Tabla7[],2,FALSE))</f>
        <v>C=CCCCCCCC=C</v>
      </c>
      <c r="G440" s="14" t="str">
        <f>IF(Tabla1[[#This Row],[ID]]="","",VLOOKUP(Tabla1[[#This Row],[ID]],Tabla7[],36,FALSE))</f>
        <v>Training</v>
      </c>
      <c r="H440" s="16" t="str">
        <f>IF(Tabla1[[#This Row],[ID]]="","",VLOOKUP(Tabla1[[#This Row],[ID]],Tabla7[],4,FALSE))</f>
        <v>Alkene</v>
      </c>
      <c r="I440" s="16">
        <f>IF(Tabla1[[#This Row],[ID]]="","",VLOOKUP(Tabla1[[#This Row],[ID]],Tabla1[],4,FALSE))</f>
        <v>-21.132481207818508</v>
      </c>
      <c r="J440" s="16">
        <f>Tabla1[[#This Row],[CN Literatura]]-Tabla1[[#This Row],[CN Predicted]]</f>
        <v>-8.452992483127403</v>
      </c>
    </row>
    <row r="441" spans="1:10" x14ac:dyDescent="0.25">
      <c r="A441" s="1">
        <f>Desgloce!A440</f>
        <v>420</v>
      </c>
      <c r="B441" s="14">
        <f>VLOOKUP(Tabla1[[#This Row],[No]],Tabla7[],7,FALSE)</f>
        <v>40</v>
      </c>
      <c r="C441" s="24">
        <v>36.348670188079701</v>
      </c>
      <c r="D441" s="15">
        <f>(B441-C441)/B441*100</f>
        <v>9.1283245298007465</v>
      </c>
      <c r="E441" s="16" t="str">
        <f>IF(Tabla1[[#This Row],[% Error1]]&gt;$E$1,Tabla1[[#This Row],[No]],IF(Tabla1[[#This Row],[% Error1]]&lt;-$E$1,Tabla1[[#This Row],[No]],""))</f>
        <v/>
      </c>
      <c r="F441" s="16" t="str">
        <f>IF(Tabla1[[#This Row],[ID]]="","",VLOOKUP(Tabla1[[#This Row],[ID]],Tabla7[],2,FALSE))</f>
        <v/>
      </c>
      <c r="G441" s="14" t="str">
        <f>IF(Tabla1[[#This Row],[ID]]="","",VLOOKUP(Tabla1[[#This Row],[ID]],Tabla7[],36,FALSE))</f>
        <v/>
      </c>
      <c r="H441" s="16" t="str">
        <f>IF(Tabla1[[#This Row],[ID]]="","",VLOOKUP(Tabla1[[#This Row],[ID]],Tabla7[],4,FALSE))</f>
        <v/>
      </c>
      <c r="I441" s="16" t="str">
        <f>IF(Tabla1[[#This Row],[ID]]="","",VLOOKUP(Tabla1[[#This Row],[ID]],Tabla1[],4,FALSE))</f>
        <v/>
      </c>
      <c r="J441" s="16">
        <f>Tabla1[[#This Row],[CN Literatura]]-Tabla1[[#This Row],[CN Predicted]]</f>
        <v>3.6513298119202986</v>
      </c>
    </row>
    <row r="442" spans="1:10" x14ac:dyDescent="0.25">
      <c r="A442" s="1">
        <f>Desgloce!A441</f>
        <v>421</v>
      </c>
      <c r="B442" s="14">
        <f>VLOOKUP(Tabla1[[#This Row],[No]],Tabla7[],7,FALSE)</f>
        <v>40</v>
      </c>
      <c r="C442" s="24">
        <v>44.126421024713601</v>
      </c>
      <c r="D442" s="15">
        <f>(B442-C442)/B442*100</f>
        <v>-10.316052561784002</v>
      </c>
      <c r="E442" s="16">
        <f>IF(Tabla1[[#This Row],[% Error1]]&gt;$E$1,Tabla1[[#This Row],[No]],IF(Tabla1[[#This Row],[% Error1]]&lt;-$E$1,Tabla1[[#This Row],[No]],""))</f>
        <v>421</v>
      </c>
      <c r="F442" s="16" t="str">
        <f>IF(Tabla1[[#This Row],[ID]]="","",VLOOKUP(Tabla1[[#This Row],[ID]],Tabla7[],2,FALSE))</f>
        <v>C(C)(=O)OCCOCC</v>
      </c>
      <c r="G442" s="14" t="str">
        <f>IF(Tabla1[[#This Row],[ID]]="","",VLOOKUP(Tabla1[[#This Row],[ID]],Tabla7[],36,FALSE))</f>
        <v>Training</v>
      </c>
      <c r="H442" s="16" t="str">
        <f>IF(Tabla1[[#This Row],[ID]]="","",VLOOKUP(Tabla1[[#This Row],[ID]],Tabla7[],4,FALSE))</f>
        <v>Ether</v>
      </c>
      <c r="I442" s="16">
        <f>IF(Tabla1[[#This Row],[ID]]="","",VLOOKUP(Tabla1[[#This Row],[ID]],Tabla1[],4,FALSE))</f>
        <v>-10.316052561784002</v>
      </c>
      <c r="J442" s="16">
        <f>Tabla1[[#This Row],[CN Literatura]]-Tabla1[[#This Row],[CN Predicted]]</f>
        <v>-4.1264210247136006</v>
      </c>
    </row>
    <row r="443" spans="1:10" x14ac:dyDescent="0.25">
      <c r="A443" s="1">
        <f>Desgloce!A442</f>
        <v>422</v>
      </c>
      <c r="B443" s="14">
        <f>VLOOKUP(Tabla1[[#This Row],[No]],Tabla7[],7,FALSE)</f>
        <v>40</v>
      </c>
      <c r="C443" s="24">
        <v>44.126421024713601</v>
      </c>
      <c r="D443" s="15">
        <f>(B443-C443)/B443*100</f>
        <v>-10.316052561784002</v>
      </c>
      <c r="E443" s="16">
        <f>IF(Tabla1[[#This Row],[% Error1]]&gt;$E$1,Tabla1[[#This Row],[No]],IF(Tabla1[[#This Row],[% Error1]]&lt;-$E$1,Tabla1[[#This Row],[No]],""))</f>
        <v>422</v>
      </c>
      <c r="F443" s="16" t="str">
        <f>IF(Tabla1[[#This Row],[ID]]="","",VLOOKUP(Tabla1[[#This Row],[ID]],Tabla7[],2,FALSE))</f>
        <v>CCCCCCC(C)C(C)CCCCCC</v>
      </c>
      <c r="G443" s="14" t="str">
        <f>IF(Tabla1[[#This Row],[ID]]="","",VLOOKUP(Tabla1[[#This Row],[ID]],Tabla7[],36,FALSE))</f>
        <v>Training</v>
      </c>
      <c r="H443" s="16" t="str">
        <f>IF(Tabla1[[#This Row],[ID]]="","",VLOOKUP(Tabla1[[#This Row],[ID]],Tabla7[],4,FALSE))</f>
        <v>iso-alkane</v>
      </c>
      <c r="I443" s="16">
        <f>IF(Tabla1[[#This Row],[ID]]="","",VLOOKUP(Tabla1[[#This Row],[ID]],Tabla1[],4,FALSE))</f>
        <v>-10.316052561784002</v>
      </c>
      <c r="J443" s="16">
        <f>Tabla1[[#This Row],[CN Literatura]]-Tabla1[[#This Row],[CN Predicted]]</f>
        <v>-4.1264210247136006</v>
      </c>
    </row>
    <row r="444" spans="1:10" x14ac:dyDescent="0.25">
      <c r="A444" s="1">
        <f>Desgloce!A443</f>
        <v>424</v>
      </c>
      <c r="B444" s="14">
        <f>VLOOKUP(Tabla1[[#This Row],[No]],Tabla7[],7,FALSE)</f>
        <v>40</v>
      </c>
      <c r="C444" s="24">
        <v>42.5858541685215</v>
      </c>
      <c r="D444" s="15">
        <f>(B444-C444)/B444*100</f>
        <v>-6.4646354213037505</v>
      </c>
      <c r="E444" s="16" t="str">
        <f>IF(Tabla1[[#This Row],[% Error1]]&gt;$E$1,Tabla1[[#This Row],[No]],IF(Tabla1[[#This Row],[% Error1]]&lt;-$E$1,Tabla1[[#This Row],[No]],""))</f>
        <v/>
      </c>
      <c r="F444" s="16" t="str">
        <f>IF(Tabla1[[#This Row],[ID]]="","",VLOOKUP(Tabla1[[#This Row],[ID]],Tabla7[],2,FALSE))</f>
        <v/>
      </c>
      <c r="G444" s="14" t="str">
        <f>IF(Tabla1[[#This Row],[ID]]="","",VLOOKUP(Tabla1[[#This Row],[ID]],Tabla7[],36,FALSE))</f>
        <v/>
      </c>
      <c r="H444" s="16" t="str">
        <f>IF(Tabla1[[#This Row],[ID]]="","",VLOOKUP(Tabla1[[#This Row],[ID]],Tabla7[],4,FALSE))</f>
        <v/>
      </c>
      <c r="I444" s="16" t="str">
        <f>IF(Tabla1[[#This Row],[ID]]="","",VLOOKUP(Tabla1[[#This Row],[ID]],Tabla1[],4,FALSE))</f>
        <v/>
      </c>
      <c r="J444" s="16">
        <f>Tabla1[[#This Row],[CN Literatura]]-Tabla1[[#This Row],[CN Predicted]]</f>
        <v>-2.5858541685215002</v>
      </c>
    </row>
    <row r="445" spans="1:10" x14ac:dyDescent="0.25">
      <c r="A445" s="1">
        <f>Desgloce!A444</f>
        <v>425</v>
      </c>
      <c r="B445" s="14">
        <f>VLOOKUP(Tabla1[[#This Row],[No]],Tabla7[],7,FALSE)</f>
        <v>40</v>
      </c>
      <c r="C445" s="24">
        <v>38.778504917411503</v>
      </c>
      <c r="D445" s="15">
        <f>(B445-C445)/B445*100</f>
        <v>3.0537377064712423</v>
      </c>
      <c r="E445" s="16" t="str">
        <f>IF(Tabla1[[#This Row],[% Error1]]&gt;$E$1,Tabla1[[#This Row],[No]],IF(Tabla1[[#This Row],[% Error1]]&lt;-$E$1,Tabla1[[#This Row],[No]],""))</f>
        <v/>
      </c>
      <c r="F445" s="16" t="str">
        <f>IF(Tabla1[[#This Row],[ID]]="","",VLOOKUP(Tabla1[[#This Row],[ID]],Tabla7[],2,FALSE))</f>
        <v/>
      </c>
      <c r="G445" s="14" t="str">
        <f>IF(Tabla1[[#This Row],[ID]]="","",VLOOKUP(Tabla1[[#This Row],[ID]],Tabla7[],36,FALSE))</f>
        <v/>
      </c>
      <c r="H445" s="16" t="str">
        <f>IF(Tabla1[[#This Row],[ID]]="","",VLOOKUP(Tabla1[[#This Row],[ID]],Tabla7[],4,FALSE))</f>
        <v/>
      </c>
      <c r="I445" s="16" t="str">
        <f>IF(Tabla1[[#This Row],[ID]]="","",VLOOKUP(Tabla1[[#This Row],[ID]],Tabla1[],4,FALSE))</f>
        <v/>
      </c>
      <c r="J445" s="16">
        <f>Tabla1[[#This Row],[CN Literatura]]-Tabla1[[#This Row],[CN Predicted]]</f>
        <v>1.2214950825884969</v>
      </c>
    </row>
    <row r="446" spans="1:10" x14ac:dyDescent="0.25">
      <c r="A446" s="1">
        <f>Desgloce!A445</f>
        <v>429</v>
      </c>
      <c r="B446" s="14">
        <f>VLOOKUP(Tabla1[[#This Row],[No]],Tabla7[],7,FALSE)</f>
        <v>41</v>
      </c>
      <c r="C446" s="24">
        <v>42.247423873977198</v>
      </c>
      <c r="D446" s="15">
        <f>(B446-C446)/B446*100</f>
        <v>-3.0424972536029213</v>
      </c>
      <c r="E446" s="16" t="str">
        <f>IF(Tabla1[[#This Row],[% Error1]]&gt;$E$1,Tabla1[[#This Row],[No]],IF(Tabla1[[#This Row],[% Error1]]&lt;-$E$1,Tabla1[[#This Row],[No]],""))</f>
        <v/>
      </c>
      <c r="F446" s="16" t="str">
        <f>IF(Tabla1[[#This Row],[ID]]="","",VLOOKUP(Tabla1[[#This Row],[ID]],Tabla7[],2,FALSE))</f>
        <v/>
      </c>
      <c r="G446" s="14" t="str">
        <f>IF(Tabla1[[#This Row],[ID]]="","",VLOOKUP(Tabla1[[#This Row],[ID]],Tabla7[],36,FALSE))</f>
        <v/>
      </c>
      <c r="H446" s="16" t="str">
        <f>IF(Tabla1[[#This Row],[ID]]="","",VLOOKUP(Tabla1[[#This Row],[ID]],Tabla7[],4,FALSE))</f>
        <v/>
      </c>
      <c r="I446" s="16" t="str">
        <f>IF(Tabla1[[#This Row],[ID]]="","",VLOOKUP(Tabla1[[#This Row],[ID]],Tabla1[],4,FALSE))</f>
        <v/>
      </c>
      <c r="J446" s="16">
        <f>Tabla1[[#This Row],[CN Literatura]]-Tabla1[[#This Row],[CN Predicted]]</f>
        <v>-1.2474238739771977</v>
      </c>
    </row>
    <row r="447" spans="1:10" x14ac:dyDescent="0.25">
      <c r="A447" s="1">
        <f>Desgloce!A446</f>
        <v>430</v>
      </c>
      <c r="B447" s="14">
        <f>VLOOKUP(Tabla1[[#This Row],[No]],Tabla7[],7,FALSE)</f>
        <v>41</v>
      </c>
      <c r="C447" s="24">
        <v>42.434003395821698</v>
      </c>
      <c r="D447" s="15">
        <f>(B447-C447)/B447*100</f>
        <v>-3.4975692581017022</v>
      </c>
      <c r="E447" s="16" t="str">
        <f>IF(Tabla1[[#This Row],[% Error1]]&gt;$E$1,Tabla1[[#This Row],[No]],IF(Tabla1[[#This Row],[% Error1]]&lt;-$E$1,Tabla1[[#This Row],[No]],""))</f>
        <v/>
      </c>
      <c r="F447" s="16" t="str">
        <f>IF(Tabla1[[#This Row],[ID]]="","",VLOOKUP(Tabla1[[#This Row],[ID]],Tabla7[],2,FALSE))</f>
        <v/>
      </c>
      <c r="G447" s="14" t="str">
        <f>IF(Tabla1[[#This Row],[ID]]="","",VLOOKUP(Tabla1[[#This Row],[ID]],Tabla7[],36,FALSE))</f>
        <v/>
      </c>
      <c r="H447" s="16" t="str">
        <f>IF(Tabla1[[#This Row],[ID]]="","",VLOOKUP(Tabla1[[#This Row],[ID]],Tabla7[],4,FALSE))</f>
        <v/>
      </c>
      <c r="I447" s="16" t="str">
        <f>IF(Tabla1[[#This Row],[ID]]="","",VLOOKUP(Tabla1[[#This Row],[ID]],Tabla1[],4,FALSE))</f>
        <v/>
      </c>
      <c r="J447" s="16">
        <f>Tabla1[[#This Row],[CN Literatura]]-Tabla1[[#This Row],[CN Predicted]]</f>
        <v>-1.4340033958216978</v>
      </c>
    </row>
    <row r="448" spans="1:10" x14ac:dyDescent="0.25">
      <c r="A448" s="1">
        <f>Desgloce!A447</f>
        <v>431</v>
      </c>
      <c r="B448" s="14">
        <f>VLOOKUP(Tabla1[[#This Row],[No]],Tabla7[],7,FALSE)</f>
        <v>41</v>
      </c>
      <c r="C448" s="24">
        <v>43.659884368584699</v>
      </c>
      <c r="D448" s="15">
        <f>(B448-C448)/B448*100</f>
        <v>-6.4875228502065827</v>
      </c>
      <c r="E448" s="16" t="str">
        <f>IF(Tabla1[[#This Row],[% Error1]]&gt;$E$1,Tabla1[[#This Row],[No]],IF(Tabla1[[#This Row],[% Error1]]&lt;-$E$1,Tabla1[[#This Row],[No]],""))</f>
        <v/>
      </c>
      <c r="F448" s="16" t="str">
        <f>IF(Tabla1[[#This Row],[ID]]="","",VLOOKUP(Tabla1[[#This Row],[ID]],Tabla7[],2,FALSE))</f>
        <v/>
      </c>
      <c r="G448" s="14" t="str">
        <f>IF(Tabla1[[#This Row],[ID]]="","",VLOOKUP(Tabla1[[#This Row],[ID]],Tabla7[],36,FALSE))</f>
        <v/>
      </c>
      <c r="H448" s="16" t="str">
        <f>IF(Tabla1[[#This Row],[ID]]="","",VLOOKUP(Tabla1[[#This Row],[ID]],Tabla7[],4,FALSE))</f>
        <v/>
      </c>
      <c r="I448" s="16" t="str">
        <f>IF(Tabla1[[#This Row],[ID]]="","",VLOOKUP(Tabla1[[#This Row],[ID]],Tabla1[],4,FALSE))</f>
        <v/>
      </c>
      <c r="J448" s="16">
        <f>Tabla1[[#This Row],[CN Literatura]]-Tabla1[[#This Row],[CN Predicted]]</f>
        <v>-2.6598843685846987</v>
      </c>
    </row>
    <row r="449" spans="1:10" x14ac:dyDescent="0.25">
      <c r="A449" s="1">
        <f>Desgloce!A448</f>
        <v>433</v>
      </c>
      <c r="B449" s="14">
        <f>VLOOKUP(Tabla1[[#This Row],[No]],Tabla7[],7,FALSE)</f>
        <v>41</v>
      </c>
      <c r="C449" s="24">
        <v>39.432533576269201</v>
      </c>
      <c r="D449" s="15">
        <f>(B449-C449)/B449*100</f>
        <v>3.823088838367803</v>
      </c>
      <c r="E449" s="16" t="str">
        <f>IF(Tabla1[[#This Row],[% Error1]]&gt;$E$1,Tabla1[[#This Row],[No]],IF(Tabla1[[#This Row],[% Error1]]&lt;-$E$1,Tabla1[[#This Row],[No]],""))</f>
        <v/>
      </c>
      <c r="F449" s="16" t="str">
        <f>IF(Tabla1[[#This Row],[ID]]="","",VLOOKUP(Tabla1[[#This Row],[ID]],Tabla7[],2,FALSE))</f>
        <v/>
      </c>
      <c r="G449" s="14" t="str">
        <f>IF(Tabla1[[#This Row],[ID]]="","",VLOOKUP(Tabla1[[#This Row],[ID]],Tabla7[],36,FALSE))</f>
        <v/>
      </c>
      <c r="H449" s="16" t="str">
        <f>IF(Tabla1[[#This Row],[ID]]="","",VLOOKUP(Tabla1[[#This Row],[ID]],Tabla7[],4,FALSE))</f>
        <v/>
      </c>
      <c r="I449" s="24" t="str">
        <f>IF(Tabla1[[#This Row],[ID]]="","",VLOOKUP(Tabla1[[#This Row],[ID]],Tabla1[],4,FALSE))</f>
        <v/>
      </c>
      <c r="J449" s="16">
        <f>Tabla1[[#This Row],[CN Literatura]]-Tabla1[[#This Row],[CN Predicted]]</f>
        <v>1.5674664237307994</v>
      </c>
    </row>
    <row r="450" spans="1:10" x14ac:dyDescent="0.25">
      <c r="A450" s="1">
        <f>Desgloce!A449</f>
        <v>434</v>
      </c>
      <c r="B450" s="14">
        <f>VLOOKUP(Tabla1[[#This Row],[No]],Tabla7[],7,FALSE)</f>
        <v>41</v>
      </c>
      <c r="C450" s="24">
        <v>41.905486562815597</v>
      </c>
      <c r="D450" s="15">
        <f>(B450-C450)/B450*100</f>
        <v>-2.2085038117453575</v>
      </c>
      <c r="E450" s="16" t="str">
        <f>IF(Tabla1[[#This Row],[% Error1]]&gt;$E$1,Tabla1[[#This Row],[No]],IF(Tabla1[[#This Row],[% Error1]]&lt;-$E$1,Tabla1[[#This Row],[No]],""))</f>
        <v/>
      </c>
      <c r="F450" s="16" t="str">
        <f>IF(Tabla1[[#This Row],[ID]]="","",VLOOKUP(Tabla1[[#This Row],[ID]],Tabla7[],2,FALSE))</f>
        <v/>
      </c>
      <c r="G450" s="14" t="str">
        <f>IF(Tabla1[[#This Row],[ID]]="","",VLOOKUP(Tabla1[[#This Row],[ID]],Tabla7[],36,FALSE))</f>
        <v/>
      </c>
      <c r="H450" s="16" t="str">
        <f>IF(Tabla1[[#This Row],[ID]]="","",VLOOKUP(Tabla1[[#This Row],[ID]],Tabla7[],4,FALSE))</f>
        <v/>
      </c>
      <c r="I450" s="16" t="str">
        <f>IF(Tabla1[[#This Row],[ID]]="","",VLOOKUP(Tabla1[[#This Row],[ID]],Tabla1[],4,FALSE))</f>
        <v/>
      </c>
      <c r="J450" s="16">
        <f>Tabla1[[#This Row],[CN Literatura]]-Tabla1[[#This Row],[CN Predicted]]</f>
        <v>-0.90548656281559659</v>
      </c>
    </row>
    <row r="451" spans="1:10" x14ac:dyDescent="0.25">
      <c r="A451" s="1">
        <f>Desgloce!A450</f>
        <v>436</v>
      </c>
      <c r="B451" s="14">
        <f>VLOOKUP(Tabla1[[#This Row],[No]],Tabla7[],7,FALSE)</f>
        <v>41.1</v>
      </c>
      <c r="C451" s="24">
        <v>33.509264676947403</v>
      </c>
      <c r="D451" s="15">
        <f>(B451-C451)/B451*100</f>
        <v>18.468942391855471</v>
      </c>
      <c r="E451" s="16">
        <f>IF(Tabla1[[#This Row],[% Error1]]&gt;$E$1,Tabla1[[#This Row],[No]],IF(Tabla1[[#This Row],[% Error1]]&lt;-$E$1,Tabla1[[#This Row],[No]],""))</f>
        <v>436</v>
      </c>
      <c r="F451" s="16" t="str">
        <f>IF(Tabla1[[#This Row],[ID]]="","",VLOOKUP(Tabla1[[#This Row],[ID]],Tabla7[],2,FALSE))</f>
        <v>CCCC=O</v>
      </c>
      <c r="G451" s="14" t="str">
        <f>IF(Tabla1[[#This Row],[ID]]="","",VLOOKUP(Tabla1[[#This Row],[ID]],Tabla7[],36,FALSE))</f>
        <v>Training</v>
      </c>
      <c r="H451" s="16" t="str">
        <f>IF(Tabla1[[#This Row],[ID]]="","",VLOOKUP(Tabla1[[#This Row],[ID]],Tabla7[],4,FALSE))</f>
        <v>Aldehyde</v>
      </c>
      <c r="I451" s="16">
        <f>IF(Tabla1[[#This Row],[ID]]="","",VLOOKUP(Tabla1[[#This Row],[ID]],Tabla1[],4,FALSE))</f>
        <v>18.468942391855471</v>
      </c>
      <c r="J451" s="16">
        <f>Tabla1[[#This Row],[CN Literatura]]-Tabla1[[#This Row],[CN Predicted]]</f>
        <v>7.5907353230525985</v>
      </c>
    </row>
    <row r="452" spans="1:10" x14ac:dyDescent="0.25">
      <c r="A452" s="1">
        <f>Desgloce!A451</f>
        <v>437</v>
      </c>
      <c r="B452" s="14">
        <f>VLOOKUP(Tabla1[[#This Row],[No]],Tabla7[],7,FALSE)</f>
        <v>41.1</v>
      </c>
      <c r="C452" s="24">
        <v>41.407045672112702</v>
      </c>
      <c r="D452" s="15">
        <f>(B452-C452)/B452*100</f>
        <v>-0.74706976183138729</v>
      </c>
      <c r="E452" s="16" t="str">
        <f>IF(Tabla1[[#This Row],[% Error1]]&gt;$E$1,Tabla1[[#This Row],[No]],IF(Tabla1[[#This Row],[% Error1]]&lt;-$E$1,Tabla1[[#This Row],[No]],""))</f>
        <v/>
      </c>
      <c r="F452" s="16" t="str">
        <f>IF(Tabla1[[#This Row],[ID]]="","",VLOOKUP(Tabla1[[#This Row],[ID]],Tabla7[],2,FALSE))</f>
        <v/>
      </c>
      <c r="G452" s="14" t="str">
        <f>IF(Tabla1[[#This Row],[ID]]="","",VLOOKUP(Tabla1[[#This Row],[ID]],Tabla7[],36,FALSE))</f>
        <v/>
      </c>
      <c r="H452" s="16" t="str">
        <f>IF(Tabla1[[#This Row],[ID]]="","",VLOOKUP(Tabla1[[#This Row],[ID]],Tabla7[],4,FALSE))</f>
        <v/>
      </c>
      <c r="I452" s="16" t="str">
        <f>IF(Tabla1[[#This Row],[ID]]="","",VLOOKUP(Tabla1[[#This Row],[ID]],Tabla1[],4,FALSE))</f>
        <v/>
      </c>
      <c r="J452" s="16">
        <f>Tabla1[[#This Row],[CN Literatura]]-Tabla1[[#This Row],[CN Predicted]]</f>
        <v>-0.30704567211270017</v>
      </c>
    </row>
    <row r="453" spans="1:10" x14ac:dyDescent="0.25">
      <c r="A453" s="1">
        <f>Desgloce!A452</f>
        <v>438</v>
      </c>
      <c r="B453" s="14">
        <f>VLOOKUP(Tabla1[[#This Row],[No]],Tabla7[],7,FALSE)</f>
        <v>41.7</v>
      </c>
      <c r="C453" s="24">
        <v>45.130152398956803</v>
      </c>
      <c r="D453" s="15">
        <f>(B453-C453)/B453*100</f>
        <v>-8.2257851293928042</v>
      </c>
      <c r="E453" s="16" t="str">
        <f>IF(Tabla1[[#This Row],[% Error1]]&gt;$E$1,Tabla1[[#This Row],[No]],IF(Tabla1[[#This Row],[% Error1]]&lt;-$E$1,Tabla1[[#This Row],[No]],""))</f>
        <v/>
      </c>
      <c r="F453" s="16" t="str">
        <f>IF(Tabla1[[#This Row],[ID]]="","",VLOOKUP(Tabla1[[#This Row],[ID]],Tabla7[],2,FALSE))</f>
        <v/>
      </c>
      <c r="G453" s="14" t="str">
        <f>IF(Tabla1[[#This Row],[ID]]="","",VLOOKUP(Tabla1[[#This Row],[ID]],Tabla7[],36,FALSE))</f>
        <v/>
      </c>
      <c r="H453" s="16" t="str">
        <f>IF(Tabla1[[#This Row],[ID]]="","",VLOOKUP(Tabla1[[#This Row],[ID]],Tabla7[],4,FALSE))</f>
        <v/>
      </c>
      <c r="I453" s="16" t="str">
        <f>IF(Tabla1[[#This Row],[ID]]="","",VLOOKUP(Tabla1[[#This Row],[ID]],Tabla1[],4,FALSE))</f>
        <v/>
      </c>
      <c r="J453" s="16">
        <f>Tabla1[[#This Row],[CN Literatura]]-Tabla1[[#This Row],[CN Predicted]]</f>
        <v>-3.4301523989567997</v>
      </c>
    </row>
    <row r="454" spans="1:10" x14ac:dyDescent="0.25">
      <c r="A454" s="1">
        <f>Desgloce!A453</f>
        <v>439</v>
      </c>
      <c r="B454" s="14">
        <f>VLOOKUP(Tabla1[[#This Row],[No]],Tabla7[],7,FALSE)</f>
        <v>42</v>
      </c>
      <c r="C454" s="24">
        <v>42.224617523016903</v>
      </c>
      <c r="D454" s="15">
        <f>(B454-C454)/B454*100</f>
        <v>-0.53480362623072142</v>
      </c>
      <c r="E454" s="16" t="str">
        <f>IF(Tabla1[[#This Row],[% Error1]]&gt;$E$1,Tabla1[[#This Row],[No]],IF(Tabla1[[#This Row],[% Error1]]&lt;-$E$1,Tabla1[[#This Row],[No]],""))</f>
        <v/>
      </c>
      <c r="F454" s="16" t="str">
        <f>IF(Tabla1[[#This Row],[ID]]="","",VLOOKUP(Tabla1[[#This Row],[ID]],Tabla7[],2,FALSE))</f>
        <v/>
      </c>
      <c r="G454" s="14" t="str">
        <f>IF(Tabla1[[#This Row],[ID]]="","",VLOOKUP(Tabla1[[#This Row],[ID]],Tabla7[],36,FALSE))</f>
        <v/>
      </c>
      <c r="H454" s="16" t="str">
        <f>IF(Tabla1[[#This Row],[ID]]="","",VLOOKUP(Tabla1[[#This Row],[ID]],Tabla7[],4,FALSE))</f>
        <v/>
      </c>
      <c r="I454" s="24" t="str">
        <f>IF(Tabla1[[#This Row],[ID]]="","",VLOOKUP(Tabla1[[#This Row],[ID]],Tabla1[],4,FALSE))</f>
        <v/>
      </c>
      <c r="J454" s="16">
        <f>Tabla1[[#This Row],[CN Literatura]]-Tabla1[[#This Row],[CN Predicted]]</f>
        <v>-0.22461752301690296</v>
      </c>
    </row>
    <row r="455" spans="1:10" x14ac:dyDescent="0.25">
      <c r="A455" s="1">
        <f>Desgloce!A454</f>
        <v>440</v>
      </c>
      <c r="B455" s="14">
        <f>VLOOKUP(Tabla1[[#This Row],[No]],Tabla7[],7,FALSE)</f>
        <v>42</v>
      </c>
      <c r="C455" s="24">
        <v>42.763380312215197</v>
      </c>
      <c r="D455" s="15">
        <f>(B455-C455)/B455*100</f>
        <v>-1.8175721719409461</v>
      </c>
      <c r="E455" s="16" t="str">
        <f>IF(Tabla1[[#This Row],[% Error1]]&gt;$E$1,Tabla1[[#This Row],[No]],IF(Tabla1[[#This Row],[% Error1]]&lt;-$E$1,Tabla1[[#This Row],[No]],""))</f>
        <v/>
      </c>
      <c r="F455" s="16" t="str">
        <f>IF(Tabla1[[#This Row],[ID]]="","",VLOOKUP(Tabla1[[#This Row],[ID]],Tabla7[],2,FALSE))</f>
        <v/>
      </c>
      <c r="G455" s="14" t="str">
        <f>IF(Tabla1[[#This Row],[ID]]="","",VLOOKUP(Tabla1[[#This Row],[ID]],Tabla7[],36,FALSE))</f>
        <v/>
      </c>
      <c r="H455" s="16" t="str">
        <f>IF(Tabla1[[#This Row],[ID]]="","",VLOOKUP(Tabla1[[#This Row],[ID]],Tabla7[],4,FALSE))</f>
        <v/>
      </c>
      <c r="I455" s="24" t="str">
        <f>IF(Tabla1[[#This Row],[ID]]="","",VLOOKUP(Tabla1[[#This Row],[ID]],Tabla1[],4,FALSE))</f>
        <v/>
      </c>
      <c r="J455" s="16">
        <f>Tabla1[[#This Row],[CN Literatura]]-Tabla1[[#This Row],[CN Predicted]]</f>
        <v>-0.76338031221519742</v>
      </c>
    </row>
    <row r="456" spans="1:10" x14ac:dyDescent="0.25">
      <c r="A456" s="1">
        <f>Desgloce!A455</f>
        <v>443</v>
      </c>
      <c r="B456" s="14">
        <f>VLOOKUP(Tabla1[[#This Row],[No]],Tabla7[],7,FALSE)</f>
        <v>42</v>
      </c>
      <c r="C456" s="24">
        <v>36.234533263576701</v>
      </c>
      <c r="D456" s="15">
        <f>(B456-C456)/B456*100</f>
        <v>13.727301753388806</v>
      </c>
      <c r="E456" s="16">
        <f>IF(Tabla1[[#This Row],[% Error1]]&gt;$E$1,Tabla1[[#This Row],[No]],IF(Tabla1[[#This Row],[% Error1]]&lt;-$E$1,Tabla1[[#This Row],[No]],""))</f>
        <v>443</v>
      </c>
      <c r="F456" s="16" t="str">
        <f>IF(Tabla1[[#This Row],[ID]]="","",VLOOKUP(Tabla1[[#This Row],[ID]],Tabla7[],2,FALSE))</f>
        <v>CCCCCCCCCCCCCCCCC1CC(C)C(C)CC1C</v>
      </c>
      <c r="G456" s="14" t="str">
        <f>IF(Tabla1[[#This Row],[ID]]="","",VLOOKUP(Tabla1[[#This Row],[ID]],Tabla7[],36,FALSE))</f>
        <v>Training</v>
      </c>
      <c r="H456" s="16" t="str">
        <f>IF(Tabla1[[#This Row],[ID]]="","",VLOOKUP(Tabla1[[#This Row],[ID]],Tabla7[],4,FALSE))</f>
        <v>cyclo-alkane</v>
      </c>
      <c r="I456" s="16">
        <f>IF(Tabla1[[#This Row],[ID]]="","",VLOOKUP(Tabla1[[#This Row],[ID]],Tabla1[],4,FALSE))</f>
        <v>13.727301753388806</v>
      </c>
      <c r="J456" s="16">
        <f>Tabla1[[#This Row],[CN Literatura]]-Tabla1[[#This Row],[CN Predicted]]</f>
        <v>5.7654667364232992</v>
      </c>
    </row>
    <row r="457" spans="1:10" x14ac:dyDescent="0.25">
      <c r="A457" s="1">
        <f>Desgloce!A456</f>
        <v>444</v>
      </c>
      <c r="B457" s="14">
        <f>VLOOKUP(Tabla1[[#This Row],[No]],Tabla7[],7,FALSE)</f>
        <v>42</v>
      </c>
      <c r="C457" s="24">
        <v>40.146173085223701</v>
      </c>
      <c r="D457" s="15">
        <f>(B457-C457)/B457*100</f>
        <v>4.4138736066102355</v>
      </c>
      <c r="E457" s="16" t="str">
        <f>IF(Tabla1[[#This Row],[% Error1]]&gt;$E$1,Tabla1[[#This Row],[No]],IF(Tabla1[[#This Row],[% Error1]]&lt;-$E$1,Tabla1[[#This Row],[No]],""))</f>
        <v/>
      </c>
      <c r="F457" s="16" t="str">
        <f>IF(Tabla1[[#This Row],[ID]]="","",VLOOKUP(Tabla1[[#This Row],[ID]],Tabla7[],2,FALSE))</f>
        <v/>
      </c>
      <c r="G457" s="14" t="str">
        <f>IF(Tabla1[[#This Row],[ID]]="","",VLOOKUP(Tabla1[[#This Row],[ID]],Tabla7[],36,FALSE))</f>
        <v/>
      </c>
      <c r="H457" s="16" t="str">
        <f>IF(Tabla1[[#This Row],[ID]]="","",VLOOKUP(Tabla1[[#This Row],[ID]],Tabla7[],4,FALSE))</f>
        <v/>
      </c>
      <c r="I457" s="16" t="str">
        <f>IF(Tabla1[[#This Row],[ID]]="","",VLOOKUP(Tabla1[[#This Row],[ID]],Tabla1[],4,FALSE))</f>
        <v/>
      </c>
      <c r="J457" s="16">
        <f>Tabla1[[#This Row],[CN Literatura]]-Tabla1[[#This Row],[CN Predicted]]</f>
        <v>1.8538269147762989</v>
      </c>
    </row>
    <row r="458" spans="1:10" x14ac:dyDescent="0.25">
      <c r="A458" s="1">
        <f>Desgloce!A457</f>
        <v>445</v>
      </c>
      <c r="B458" s="14">
        <f>VLOOKUP(Tabla1[[#This Row],[No]],Tabla7[],7,FALSE)</f>
        <v>42.2</v>
      </c>
      <c r="C458" s="24">
        <v>44.454106236600403</v>
      </c>
      <c r="D458" s="15">
        <f>(B458-C458)/B458*100</f>
        <v>-5.3414839729867287</v>
      </c>
      <c r="E458" s="16" t="str">
        <f>IF(Tabla1[[#This Row],[% Error1]]&gt;$E$1,Tabla1[[#This Row],[No]],IF(Tabla1[[#This Row],[% Error1]]&lt;-$E$1,Tabla1[[#This Row],[No]],""))</f>
        <v/>
      </c>
      <c r="F458" s="16" t="str">
        <f>IF(Tabla1[[#This Row],[ID]]="","",VLOOKUP(Tabla1[[#This Row],[ID]],Tabla7[],2,FALSE))</f>
        <v/>
      </c>
      <c r="G458" s="14" t="str">
        <f>IF(Tabla1[[#This Row],[ID]]="","",VLOOKUP(Tabla1[[#This Row],[ID]],Tabla7[],36,FALSE))</f>
        <v/>
      </c>
      <c r="H458" s="16" t="str">
        <f>IF(Tabla1[[#This Row],[ID]]="","",VLOOKUP(Tabla1[[#This Row],[ID]],Tabla7[],4,FALSE))</f>
        <v/>
      </c>
      <c r="I458" s="16" t="str">
        <f>IF(Tabla1[[#This Row],[ID]]="","",VLOOKUP(Tabla1[[#This Row],[ID]],Tabla1[],4,FALSE))</f>
        <v/>
      </c>
      <c r="J458" s="16">
        <f>Tabla1[[#This Row],[CN Literatura]]-Tabla1[[#This Row],[CN Predicted]]</f>
        <v>-2.2541062366003999</v>
      </c>
    </row>
    <row r="459" spans="1:10" x14ac:dyDescent="0.25">
      <c r="A459" s="1">
        <f>Desgloce!A458</f>
        <v>448</v>
      </c>
      <c r="B459" s="14">
        <f>VLOOKUP(Tabla1[[#This Row],[No]],Tabla7[],7,FALSE)</f>
        <v>42.3</v>
      </c>
      <c r="C459" s="24">
        <v>44.454106236600403</v>
      </c>
      <c r="D459" s="15">
        <f>(B459-C459)/B459*100</f>
        <v>-5.0924497319158526</v>
      </c>
      <c r="E459" s="16" t="str">
        <f>IF(Tabla1[[#This Row],[% Error1]]&gt;$E$1,Tabla1[[#This Row],[No]],IF(Tabla1[[#This Row],[% Error1]]&lt;-$E$1,Tabla1[[#This Row],[No]],""))</f>
        <v/>
      </c>
      <c r="F459" s="16" t="str">
        <f>IF(Tabla1[[#This Row],[ID]]="","",VLOOKUP(Tabla1[[#This Row],[ID]],Tabla7[],2,FALSE))</f>
        <v/>
      </c>
      <c r="G459" s="14" t="str">
        <f>IF(Tabla1[[#This Row],[ID]]="","",VLOOKUP(Tabla1[[#This Row],[ID]],Tabla7[],36,FALSE))</f>
        <v/>
      </c>
      <c r="H459" s="16" t="str">
        <f>IF(Tabla1[[#This Row],[ID]]="","",VLOOKUP(Tabla1[[#This Row],[ID]],Tabla7[],4,FALSE))</f>
        <v/>
      </c>
      <c r="I459" s="16" t="str">
        <f>IF(Tabla1[[#This Row],[ID]]="","",VLOOKUP(Tabla1[[#This Row],[ID]],Tabla1[],4,FALSE))</f>
        <v/>
      </c>
      <c r="J459" s="16">
        <f>Tabla1[[#This Row],[CN Literatura]]-Tabla1[[#This Row],[CN Predicted]]</f>
        <v>-2.1541062366004056</v>
      </c>
    </row>
    <row r="460" spans="1:10" x14ac:dyDescent="0.25">
      <c r="A460" s="1">
        <f>Desgloce!A459</f>
        <v>449</v>
      </c>
      <c r="B460" s="14">
        <f>VLOOKUP(Tabla1[[#This Row],[No]],Tabla7[],7,FALSE)</f>
        <v>42.3</v>
      </c>
      <c r="C460" s="24">
        <v>27.988160739186998</v>
      </c>
      <c r="D460" s="15">
        <f>(B460-C460)/B460*100</f>
        <v>33.83413536835225</v>
      </c>
      <c r="E460" s="16">
        <f>IF(Tabla1[[#This Row],[% Error1]]&gt;$E$1,Tabla1[[#This Row],[No]],IF(Tabla1[[#This Row],[% Error1]]&lt;-$E$1,Tabla1[[#This Row],[No]],""))</f>
        <v>449</v>
      </c>
      <c r="F460" s="16" t="str">
        <f>IF(Tabla1[[#This Row],[ID]]="","",VLOOKUP(Tabla1[[#This Row],[ID]],Tabla7[],2,FALSE))</f>
        <v>CCCCCC=CCC=CCCCCCCCC(=O)OCCC</v>
      </c>
      <c r="G460" s="14" t="str">
        <f>IF(Tabla1[[#This Row],[ID]]="","",VLOOKUP(Tabla1[[#This Row],[ID]],Tabla7[],36,FALSE))</f>
        <v>Training</v>
      </c>
      <c r="H460" s="16" t="str">
        <f>IF(Tabla1[[#This Row],[ID]]="","",VLOOKUP(Tabla1[[#This Row],[ID]],Tabla7[],4,FALSE))</f>
        <v>Polyfunctional</v>
      </c>
      <c r="I460" s="16">
        <f>IF(Tabla1[[#This Row],[ID]]="","",VLOOKUP(Tabla1[[#This Row],[ID]],Tabla1[],4,FALSE))</f>
        <v>33.83413536835225</v>
      </c>
      <c r="J460" s="16">
        <f>Tabla1[[#This Row],[CN Literatura]]-Tabla1[[#This Row],[CN Predicted]]</f>
        <v>14.311839260812999</v>
      </c>
    </row>
    <row r="461" spans="1:10" x14ac:dyDescent="0.25">
      <c r="A461" s="1">
        <f>Desgloce!A460</f>
        <v>450</v>
      </c>
      <c r="B461" s="14">
        <f>VLOOKUP(Tabla1[[#This Row],[No]],Tabla7[],7,FALSE)</f>
        <v>42.4</v>
      </c>
      <c r="C461" s="24">
        <v>44.733812957729199</v>
      </c>
      <c r="D461" s="15">
        <f>(B461-C461)/B461*100</f>
        <v>-5.5042758437009454</v>
      </c>
      <c r="E461" s="16" t="str">
        <f>IF(Tabla1[[#This Row],[% Error1]]&gt;$E$1,Tabla1[[#This Row],[No]],IF(Tabla1[[#This Row],[% Error1]]&lt;-$E$1,Tabla1[[#This Row],[No]],""))</f>
        <v/>
      </c>
      <c r="F461" s="16" t="str">
        <f>IF(Tabla1[[#This Row],[ID]]="","",VLOOKUP(Tabla1[[#This Row],[ID]],Tabla7[],2,FALSE))</f>
        <v/>
      </c>
      <c r="G461" s="14" t="str">
        <f>IF(Tabla1[[#This Row],[ID]]="","",VLOOKUP(Tabla1[[#This Row],[ID]],Tabla7[],36,FALSE))</f>
        <v/>
      </c>
      <c r="H461" s="16" t="str">
        <f>IF(Tabla1[[#This Row],[ID]]="","",VLOOKUP(Tabla1[[#This Row],[ID]],Tabla7[],4,FALSE))</f>
        <v/>
      </c>
      <c r="I461" s="16" t="str">
        <f>IF(Tabla1[[#This Row],[ID]]="","",VLOOKUP(Tabla1[[#This Row],[ID]],Tabla1[],4,FALSE))</f>
        <v/>
      </c>
      <c r="J461" s="16">
        <f>Tabla1[[#This Row],[CN Literatura]]-Tabla1[[#This Row],[CN Predicted]]</f>
        <v>-2.3338129577292008</v>
      </c>
    </row>
    <row r="462" spans="1:10" x14ac:dyDescent="0.25">
      <c r="A462" s="1">
        <f>Desgloce!A461</f>
        <v>452</v>
      </c>
      <c r="B462" s="14">
        <f>VLOOKUP(Tabla1[[#This Row],[No]],Tabla7[],7,FALSE)</f>
        <v>43</v>
      </c>
      <c r="C462" s="24">
        <v>42.628140080322702</v>
      </c>
      <c r="D462" s="15">
        <f>(B462-C462)/B462*100</f>
        <v>0.8647905108774383</v>
      </c>
      <c r="E462" s="16" t="str">
        <f>IF(Tabla1[[#This Row],[% Error1]]&gt;$E$1,Tabla1[[#This Row],[No]],IF(Tabla1[[#This Row],[% Error1]]&lt;-$E$1,Tabla1[[#This Row],[No]],""))</f>
        <v/>
      </c>
      <c r="F462" s="16" t="str">
        <f>IF(Tabla1[[#This Row],[ID]]="","",VLOOKUP(Tabla1[[#This Row],[ID]],Tabla7[],2,FALSE))</f>
        <v/>
      </c>
      <c r="G462" s="14" t="str">
        <f>IF(Tabla1[[#This Row],[ID]]="","",VLOOKUP(Tabla1[[#This Row],[ID]],Tabla7[],36,FALSE))</f>
        <v/>
      </c>
      <c r="H462" s="16" t="str">
        <f>IF(Tabla1[[#This Row],[ID]]="","",VLOOKUP(Tabla1[[#This Row],[ID]],Tabla7[],4,FALSE))</f>
        <v/>
      </c>
      <c r="I462" s="16" t="str">
        <f>IF(Tabla1[[#This Row],[ID]]="","",VLOOKUP(Tabla1[[#This Row],[ID]],Tabla1[],4,FALSE))</f>
        <v/>
      </c>
      <c r="J462" s="16">
        <f>Tabla1[[#This Row],[CN Literatura]]-Tabla1[[#This Row],[CN Predicted]]</f>
        <v>0.37185991967729848</v>
      </c>
    </row>
    <row r="463" spans="1:10" x14ac:dyDescent="0.25">
      <c r="A463" s="1">
        <f>Desgloce!A462</f>
        <v>453</v>
      </c>
      <c r="B463" s="14">
        <f>VLOOKUP(Tabla1[[#This Row],[No]],Tabla7[],7,FALSE)</f>
        <v>43</v>
      </c>
      <c r="C463" s="24">
        <v>42.628140080322702</v>
      </c>
      <c r="D463" s="15">
        <f>(B463-C463)/B463*100</f>
        <v>0.8647905108774383</v>
      </c>
      <c r="E463" s="16" t="str">
        <f>IF(Tabla1[[#This Row],[% Error1]]&gt;$E$1,Tabla1[[#This Row],[No]],IF(Tabla1[[#This Row],[% Error1]]&lt;-$E$1,Tabla1[[#This Row],[No]],""))</f>
        <v/>
      </c>
      <c r="F463" s="16" t="str">
        <f>IF(Tabla1[[#This Row],[ID]]="","",VLOOKUP(Tabla1[[#This Row],[ID]],Tabla7[],2,FALSE))</f>
        <v/>
      </c>
      <c r="G463" s="14" t="str">
        <f>IF(Tabla1[[#This Row],[ID]]="","",VLOOKUP(Tabla1[[#This Row],[ID]],Tabla7[],36,FALSE))</f>
        <v/>
      </c>
      <c r="H463" s="16" t="str">
        <f>IF(Tabla1[[#This Row],[ID]]="","",VLOOKUP(Tabla1[[#This Row],[ID]],Tabla7[],4,FALSE))</f>
        <v/>
      </c>
      <c r="I463" s="16" t="str">
        <f>IF(Tabla1[[#This Row],[ID]]="","",VLOOKUP(Tabla1[[#This Row],[ID]],Tabla1[],4,FALSE))</f>
        <v/>
      </c>
      <c r="J463" s="16">
        <f>Tabla1[[#This Row],[CN Literatura]]-Tabla1[[#This Row],[CN Predicted]]</f>
        <v>0.37185991967729848</v>
      </c>
    </row>
    <row r="464" spans="1:10" x14ac:dyDescent="0.25">
      <c r="A464" s="1">
        <f>Desgloce!A463</f>
        <v>454</v>
      </c>
      <c r="B464" s="14">
        <f>VLOOKUP(Tabla1[[#This Row],[No]],Tabla7[],7,FALSE)</f>
        <v>43</v>
      </c>
      <c r="C464" s="24">
        <v>44.733812957729199</v>
      </c>
      <c r="D464" s="15">
        <f>(B464-C464)/B464*100</f>
        <v>-4.0321231575097665</v>
      </c>
      <c r="E464" s="16" t="str">
        <f>IF(Tabla1[[#This Row],[% Error1]]&gt;$E$1,Tabla1[[#This Row],[No]],IF(Tabla1[[#This Row],[% Error1]]&lt;-$E$1,Tabla1[[#This Row],[No]],""))</f>
        <v/>
      </c>
      <c r="F464" s="16" t="str">
        <f>IF(Tabla1[[#This Row],[ID]]="","",VLOOKUP(Tabla1[[#This Row],[ID]],Tabla7[],2,FALSE))</f>
        <v/>
      </c>
      <c r="G464" s="14" t="str">
        <f>IF(Tabla1[[#This Row],[ID]]="","",VLOOKUP(Tabla1[[#This Row],[ID]],Tabla7[],36,FALSE))</f>
        <v/>
      </c>
      <c r="H464" s="16" t="str">
        <f>IF(Tabla1[[#This Row],[ID]]="","",VLOOKUP(Tabla1[[#This Row],[ID]],Tabla7[],4,FALSE))</f>
        <v/>
      </c>
      <c r="I464" s="16" t="str">
        <f>IF(Tabla1[[#This Row],[ID]]="","",VLOOKUP(Tabla1[[#This Row],[ID]],Tabla1[],4,FALSE))</f>
        <v/>
      </c>
      <c r="J464" s="16">
        <f>Tabla1[[#This Row],[CN Literatura]]-Tabla1[[#This Row],[CN Predicted]]</f>
        <v>-1.7338129577291994</v>
      </c>
    </row>
    <row r="465" spans="1:10" x14ac:dyDescent="0.25">
      <c r="A465" s="1">
        <f>Desgloce!A464</f>
        <v>456</v>
      </c>
      <c r="B465" s="14">
        <f>VLOOKUP(Tabla1[[#This Row],[No]],Tabla7[],7,FALSE)</f>
        <v>43</v>
      </c>
      <c r="C465" s="24">
        <v>44.733812957729199</v>
      </c>
      <c r="D465" s="15">
        <f>(B465-C465)/B465*100</f>
        <v>-4.0321231575097665</v>
      </c>
      <c r="E465" s="16" t="str">
        <f>IF(Tabla1[[#This Row],[% Error1]]&gt;$E$1,Tabla1[[#This Row],[No]],IF(Tabla1[[#This Row],[% Error1]]&lt;-$E$1,Tabla1[[#This Row],[No]],""))</f>
        <v/>
      </c>
      <c r="F465" s="16" t="str">
        <f>IF(Tabla1[[#This Row],[ID]]="","",VLOOKUP(Tabla1[[#This Row],[ID]],Tabla7[],2,FALSE))</f>
        <v/>
      </c>
      <c r="G465" s="14" t="str">
        <f>IF(Tabla1[[#This Row],[ID]]="","",VLOOKUP(Tabla1[[#This Row],[ID]],Tabla7[],36,FALSE))</f>
        <v/>
      </c>
      <c r="H465" s="16" t="str">
        <f>IF(Tabla1[[#This Row],[ID]]="","",VLOOKUP(Tabla1[[#This Row],[ID]],Tabla7[],4,FALSE))</f>
        <v/>
      </c>
      <c r="I465" s="16" t="str">
        <f>IF(Tabla1[[#This Row],[ID]]="","",VLOOKUP(Tabla1[[#This Row],[ID]],Tabla1[],4,FALSE))</f>
        <v/>
      </c>
      <c r="J465" s="16">
        <f>Tabla1[[#This Row],[CN Literatura]]-Tabla1[[#This Row],[CN Predicted]]</f>
        <v>-1.7338129577291994</v>
      </c>
    </row>
    <row r="466" spans="1:10" x14ac:dyDescent="0.25">
      <c r="A466" s="1">
        <f>Desgloce!A465</f>
        <v>457</v>
      </c>
      <c r="B466" s="14">
        <f>VLOOKUP(Tabla1[[#This Row],[No]],Tabla7[],7,FALSE)</f>
        <v>43</v>
      </c>
      <c r="C466" s="24">
        <v>44.733812957729199</v>
      </c>
      <c r="D466" s="15">
        <f>(B466-C466)/B466*100</f>
        <v>-4.0321231575097665</v>
      </c>
      <c r="E466" s="16" t="str">
        <f>IF(Tabla1[[#This Row],[% Error1]]&gt;$E$1,Tabla1[[#This Row],[No]],IF(Tabla1[[#This Row],[% Error1]]&lt;-$E$1,Tabla1[[#This Row],[No]],""))</f>
        <v/>
      </c>
      <c r="F466" s="16" t="str">
        <f>IF(Tabla1[[#This Row],[ID]]="","",VLOOKUP(Tabla1[[#This Row],[ID]],Tabla7[],2,FALSE))</f>
        <v/>
      </c>
      <c r="G466" s="14" t="str">
        <f>IF(Tabla1[[#This Row],[ID]]="","",VLOOKUP(Tabla1[[#This Row],[ID]],Tabla7[],36,FALSE))</f>
        <v/>
      </c>
      <c r="H466" s="16" t="str">
        <f>IF(Tabla1[[#This Row],[ID]]="","",VLOOKUP(Tabla1[[#This Row],[ID]],Tabla7[],4,FALSE))</f>
        <v/>
      </c>
      <c r="I466" s="16" t="str">
        <f>IF(Tabla1[[#This Row],[ID]]="","",VLOOKUP(Tabla1[[#This Row],[ID]],Tabla1[],4,FALSE))</f>
        <v/>
      </c>
      <c r="J466" s="16">
        <f>Tabla1[[#This Row],[CN Literatura]]-Tabla1[[#This Row],[CN Predicted]]</f>
        <v>-1.7338129577291994</v>
      </c>
    </row>
    <row r="467" spans="1:10" x14ac:dyDescent="0.25">
      <c r="A467" s="1">
        <f>Desgloce!A466</f>
        <v>458</v>
      </c>
      <c r="B467" s="14">
        <f>VLOOKUP(Tabla1[[#This Row],[No]],Tabla7[],7,FALSE)</f>
        <v>43</v>
      </c>
      <c r="C467" s="24">
        <v>44.733812957729199</v>
      </c>
      <c r="D467" s="15">
        <f>(B467-C467)/B467*100</f>
        <v>-4.0321231575097665</v>
      </c>
      <c r="E467" s="16" t="str">
        <f>IF(Tabla1[[#This Row],[% Error1]]&gt;$E$1,Tabla1[[#This Row],[No]],IF(Tabla1[[#This Row],[% Error1]]&lt;-$E$1,Tabla1[[#This Row],[No]],""))</f>
        <v/>
      </c>
      <c r="F467" s="16" t="str">
        <f>IF(Tabla1[[#This Row],[ID]]="","",VLOOKUP(Tabla1[[#This Row],[ID]],Tabla7[],2,FALSE))</f>
        <v/>
      </c>
      <c r="G467" s="14" t="str">
        <f>IF(Tabla1[[#This Row],[ID]]="","",VLOOKUP(Tabla1[[#This Row],[ID]],Tabla7[],36,FALSE))</f>
        <v/>
      </c>
      <c r="H467" s="16" t="str">
        <f>IF(Tabla1[[#This Row],[ID]]="","",VLOOKUP(Tabla1[[#This Row],[ID]],Tabla7[],4,FALSE))</f>
        <v/>
      </c>
      <c r="I467" s="16" t="str">
        <f>IF(Tabla1[[#This Row],[ID]]="","",VLOOKUP(Tabla1[[#This Row],[ID]],Tabla1[],4,FALSE))</f>
        <v/>
      </c>
      <c r="J467" s="16">
        <f>Tabla1[[#This Row],[CN Literatura]]-Tabla1[[#This Row],[CN Predicted]]</f>
        <v>-1.7338129577291994</v>
      </c>
    </row>
    <row r="468" spans="1:10" x14ac:dyDescent="0.25">
      <c r="A468" s="1">
        <f>Desgloce!A467</f>
        <v>459</v>
      </c>
      <c r="B468" s="14">
        <f>VLOOKUP(Tabla1[[#This Row],[No]],Tabla7[],7,FALSE)</f>
        <v>43</v>
      </c>
      <c r="C468" s="24">
        <v>40.250433661680198</v>
      </c>
      <c r="D468" s="15">
        <f>(B468-C468)/B468*100</f>
        <v>6.3943403216739583</v>
      </c>
      <c r="E468" s="16" t="str">
        <f>IF(Tabla1[[#This Row],[% Error1]]&gt;$E$1,Tabla1[[#This Row],[No]],IF(Tabla1[[#This Row],[% Error1]]&lt;-$E$1,Tabla1[[#This Row],[No]],""))</f>
        <v/>
      </c>
      <c r="F468" s="16" t="str">
        <f>IF(Tabla1[[#This Row],[ID]]="","",VLOOKUP(Tabla1[[#This Row],[ID]],Tabla7[],2,FALSE))</f>
        <v/>
      </c>
      <c r="G468" s="14" t="str">
        <f>IF(Tabla1[[#This Row],[ID]]="","",VLOOKUP(Tabla1[[#This Row],[ID]],Tabla7[],36,FALSE))</f>
        <v/>
      </c>
      <c r="H468" s="16" t="str">
        <f>IF(Tabla1[[#This Row],[ID]]="","",VLOOKUP(Tabla1[[#This Row],[ID]],Tabla7[],4,FALSE))</f>
        <v/>
      </c>
      <c r="I468" s="16" t="str">
        <f>IF(Tabla1[[#This Row],[ID]]="","",VLOOKUP(Tabla1[[#This Row],[ID]],Tabla1[],4,FALSE))</f>
        <v/>
      </c>
      <c r="J468" s="16">
        <f>Tabla1[[#This Row],[CN Literatura]]-Tabla1[[#This Row],[CN Predicted]]</f>
        <v>2.7495663383198021</v>
      </c>
    </row>
    <row r="469" spans="1:10" x14ac:dyDescent="0.25">
      <c r="A469" s="1">
        <f>Desgloce!A468</f>
        <v>462</v>
      </c>
      <c r="B469" s="14">
        <f>VLOOKUP(Tabla1[[#This Row],[No]],Tabla7[],7,FALSE)</f>
        <v>43</v>
      </c>
      <c r="C469" s="24">
        <v>35.636043636109399</v>
      </c>
      <c r="D469" s="15">
        <f>(B469-C469)/B469*100</f>
        <v>17.125479916024656</v>
      </c>
      <c r="E469" s="16">
        <f>IF(Tabla1[[#This Row],[% Error1]]&gt;$E$1,Tabla1[[#This Row],[No]],IF(Tabla1[[#This Row],[% Error1]]&lt;-$E$1,Tabla1[[#This Row],[No]],""))</f>
        <v>462</v>
      </c>
      <c r="F469" s="16" t="str">
        <f>IF(Tabla1[[#This Row],[ID]]="","",VLOOKUP(Tabla1[[#This Row],[ID]],Tabla7[],2,FALSE))</f>
        <v>CCCCCC=CCC=CCCCCCCCC(=O)OC</v>
      </c>
      <c r="G469" s="14" t="str">
        <f>IF(Tabla1[[#This Row],[ID]]="","",VLOOKUP(Tabla1[[#This Row],[ID]],Tabla7[],36,FALSE))</f>
        <v>Training</v>
      </c>
      <c r="H469" s="16" t="str">
        <f>IF(Tabla1[[#This Row],[ID]]="","",VLOOKUP(Tabla1[[#This Row],[ID]],Tabla7[],4,FALSE))</f>
        <v>Ester: Unsaturated</v>
      </c>
      <c r="I469" s="16">
        <f>IF(Tabla1[[#This Row],[ID]]="","",VLOOKUP(Tabla1[[#This Row],[ID]],Tabla1[],4,FALSE))</f>
        <v>17.125479916024656</v>
      </c>
      <c r="J469" s="16">
        <f>Tabla1[[#This Row],[CN Literatura]]-Tabla1[[#This Row],[CN Predicted]]</f>
        <v>7.3639563638906012</v>
      </c>
    </row>
    <row r="470" spans="1:10" x14ac:dyDescent="0.25">
      <c r="A470" s="1">
        <f>Desgloce!A469</f>
        <v>463</v>
      </c>
      <c r="B470" s="14">
        <f>VLOOKUP(Tabla1[[#This Row],[No]],Tabla7[],7,FALSE)</f>
        <v>43.5</v>
      </c>
      <c r="C470" s="24">
        <v>43.775329004850001</v>
      </c>
      <c r="D470" s="15">
        <f>(B470-C470)/B470*100</f>
        <v>-0.63294024103448399</v>
      </c>
      <c r="E470" s="16" t="str">
        <f>IF(Tabla1[[#This Row],[% Error1]]&gt;$E$1,Tabla1[[#This Row],[No]],IF(Tabla1[[#This Row],[% Error1]]&lt;-$E$1,Tabla1[[#This Row],[No]],""))</f>
        <v/>
      </c>
      <c r="F470" s="16" t="str">
        <f>IF(Tabla1[[#This Row],[ID]]="","",VLOOKUP(Tabla1[[#This Row],[ID]],Tabla7[],2,FALSE))</f>
        <v/>
      </c>
      <c r="G470" s="14" t="str">
        <f>IF(Tabla1[[#This Row],[ID]]="","",VLOOKUP(Tabla1[[#This Row],[ID]],Tabla7[],36,FALSE))</f>
        <v/>
      </c>
      <c r="H470" s="16" t="str">
        <f>IF(Tabla1[[#This Row],[ID]]="","",VLOOKUP(Tabla1[[#This Row],[ID]],Tabla7[],4,FALSE))</f>
        <v/>
      </c>
      <c r="I470" s="16" t="str">
        <f>IF(Tabla1[[#This Row],[ID]]="","",VLOOKUP(Tabla1[[#This Row],[ID]],Tabla1[],4,FALSE))</f>
        <v/>
      </c>
      <c r="J470" s="16">
        <f>Tabla1[[#This Row],[CN Literatura]]-Tabla1[[#This Row],[CN Predicted]]</f>
        <v>-0.27532900485000056</v>
      </c>
    </row>
    <row r="471" spans="1:10" x14ac:dyDescent="0.25">
      <c r="A471" s="1">
        <f>Desgloce!A470</f>
        <v>464</v>
      </c>
      <c r="B471" s="14">
        <f>VLOOKUP(Tabla1[[#This Row],[No]],Tabla7[],7,FALSE)</f>
        <v>43.9</v>
      </c>
      <c r="C471" s="24">
        <v>42.4018106106424</v>
      </c>
      <c r="D471" s="15">
        <f>(B471-C471)/B471*100</f>
        <v>3.412732094208653</v>
      </c>
      <c r="E471" s="16" t="str">
        <f>IF(Tabla1[[#This Row],[% Error1]]&gt;$E$1,Tabla1[[#This Row],[No]],IF(Tabla1[[#This Row],[% Error1]]&lt;-$E$1,Tabla1[[#This Row],[No]],""))</f>
        <v/>
      </c>
      <c r="F471" s="16" t="str">
        <f>IF(Tabla1[[#This Row],[ID]]="","",VLOOKUP(Tabla1[[#This Row],[ID]],Tabla7[],2,FALSE))</f>
        <v/>
      </c>
      <c r="G471" s="14" t="str">
        <f>IF(Tabla1[[#This Row],[ID]]="","",VLOOKUP(Tabla1[[#This Row],[ID]],Tabla7[],36,FALSE))</f>
        <v/>
      </c>
      <c r="H471" s="16" t="str">
        <f>IF(Tabla1[[#This Row],[ID]]="","",VLOOKUP(Tabla1[[#This Row],[ID]],Tabla7[],4,FALSE))</f>
        <v/>
      </c>
      <c r="I471" s="16" t="str">
        <f>IF(Tabla1[[#This Row],[ID]]="","",VLOOKUP(Tabla1[[#This Row],[ID]],Tabla1[],4,FALSE))</f>
        <v/>
      </c>
      <c r="J471" s="16">
        <f>Tabla1[[#This Row],[CN Literatura]]-Tabla1[[#This Row],[CN Predicted]]</f>
        <v>1.4981893893575986</v>
      </c>
    </row>
    <row r="472" spans="1:10" x14ac:dyDescent="0.25">
      <c r="A472" s="1">
        <f>Desgloce!A471</f>
        <v>465</v>
      </c>
      <c r="B472" s="14">
        <f>VLOOKUP(Tabla1[[#This Row],[No]],Tabla7[],7,FALSE)</f>
        <v>44</v>
      </c>
      <c r="C472" s="24">
        <v>43.101821488005697</v>
      </c>
      <c r="D472" s="15">
        <f>(B472-C472)/B472*100</f>
        <v>2.0413147999870516</v>
      </c>
      <c r="E472" s="16" t="str">
        <f>IF(Tabla1[[#This Row],[% Error1]]&gt;$E$1,Tabla1[[#This Row],[No]],IF(Tabla1[[#This Row],[% Error1]]&lt;-$E$1,Tabla1[[#This Row],[No]],""))</f>
        <v/>
      </c>
      <c r="F472" s="16" t="str">
        <f>IF(Tabla1[[#This Row],[ID]]="","",VLOOKUP(Tabla1[[#This Row],[ID]],Tabla7[],2,FALSE))</f>
        <v/>
      </c>
      <c r="G472" s="14" t="str">
        <f>IF(Tabla1[[#This Row],[ID]]="","",VLOOKUP(Tabla1[[#This Row],[ID]],Tabla7[],36,FALSE))</f>
        <v/>
      </c>
      <c r="H472" s="16" t="str">
        <f>IF(Tabla1[[#This Row],[ID]]="","",VLOOKUP(Tabla1[[#This Row],[ID]],Tabla7[],4,FALSE))</f>
        <v/>
      </c>
      <c r="I472" s="16" t="str">
        <f>IF(Tabla1[[#This Row],[ID]]="","",VLOOKUP(Tabla1[[#This Row],[ID]],Tabla1[],4,FALSE))</f>
        <v/>
      </c>
      <c r="J472" s="16">
        <f>Tabla1[[#This Row],[CN Literatura]]-Tabla1[[#This Row],[CN Predicted]]</f>
        <v>0.89817851199430265</v>
      </c>
    </row>
    <row r="473" spans="1:10" x14ac:dyDescent="0.25">
      <c r="A473" s="1">
        <f>Desgloce!A472</f>
        <v>466</v>
      </c>
      <c r="B473" s="14">
        <f>VLOOKUP(Tabla1[[#This Row],[No]],Tabla7[],7,FALSE)</f>
        <v>44</v>
      </c>
      <c r="C473" s="24">
        <v>36.8353430961375</v>
      </c>
      <c r="D473" s="15">
        <f>(B473-C473)/B473*100</f>
        <v>16.283311145142047</v>
      </c>
      <c r="E473" s="16">
        <f>IF(Tabla1[[#This Row],[% Error1]]&gt;$E$1,Tabla1[[#This Row],[No]],IF(Tabla1[[#This Row],[% Error1]]&lt;-$E$1,Tabla1[[#This Row],[No]],""))</f>
        <v>466</v>
      </c>
      <c r="F473" s="16" t="str">
        <f>IF(Tabla1[[#This Row],[ID]]="","",VLOOKUP(Tabla1[[#This Row],[ID]],Tabla7[],2,FALSE))</f>
        <v>C(CCCCCCC\C=C/C\C=C/CCCCC)O</v>
      </c>
      <c r="G473" s="14" t="str">
        <f>IF(Tabla1[[#This Row],[ID]]="","",VLOOKUP(Tabla1[[#This Row],[ID]],Tabla7[],36,FALSE))</f>
        <v>Training</v>
      </c>
      <c r="H473" s="16" t="str">
        <f>IF(Tabla1[[#This Row],[ID]]="","",VLOOKUP(Tabla1[[#This Row],[ID]],Tabla7[],4,FALSE))</f>
        <v>Alcohol</v>
      </c>
      <c r="I473" s="16">
        <f>IF(Tabla1[[#This Row],[ID]]="","",VLOOKUP(Tabla1[[#This Row],[ID]],Tabla1[],4,FALSE))</f>
        <v>16.283311145142047</v>
      </c>
      <c r="J473" s="16">
        <f>Tabla1[[#This Row],[CN Literatura]]-Tabla1[[#This Row],[CN Predicted]]</f>
        <v>7.1646569038625003</v>
      </c>
    </row>
    <row r="474" spans="1:10" x14ac:dyDescent="0.25">
      <c r="A474" s="1">
        <f>Desgloce!A473</f>
        <v>467</v>
      </c>
      <c r="B474" s="14">
        <f>VLOOKUP(Tabla1[[#This Row],[No]],Tabla7[],7,FALSE)</f>
        <v>44</v>
      </c>
      <c r="C474" s="24">
        <v>36.8353430961375</v>
      </c>
      <c r="D474" s="15">
        <f>(B474-C474)/B474*100</f>
        <v>16.283311145142047</v>
      </c>
      <c r="E474" s="16">
        <f>IF(Tabla1[[#This Row],[% Error1]]&gt;$E$1,Tabla1[[#This Row],[No]],IF(Tabla1[[#This Row],[% Error1]]&lt;-$E$1,Tabla1[[#This Row],[No]],""))</f>
        <v>467</v>
      </c>
      <c r="F474" s="16" t="str">
        <f>IF(Tabla1[[#This Row],[ID]]="","",VLOOKUP(Tabla1[[#This Row],[ID]],Tabla7[],2,FALSE))</f>
        <v>CCCCC=CC</v>
      </c>
      <c r="G474" s="14" t="str">
        <f>IF(Tabla1[[#This Row],[ID]]="","",VLOOKUP(Tabla1[[#This Row],[ID]],Tabla7[],36,FALSE))</f>
        <v>Training</v>
      </c>
      <c r="H474" s="16" t="str">
        <f>IF(Tabla1[[#This Row],[ID]]="","",VLOOKUP(Tabla1[[#This Row],[ID]],Tabla7[],4,FALSE))</f>
        <v>Alkene</v>
      </c>
      <c r="I474" s="16">
        <f>IF(Tabla1[[#This Row],[ID]]="","",VLOOKUP(Tabla1[[#This Row],[ID]],Tabla1[],4,FALSE))</f>
        <v>16.283311145142047</v>
      </c>
      <c r="J474" s="16">
        <f>Tabla1[[#This Row],[CN Literatura]]-Tabla1[[#This Row],[CN Predicted]]</f>
        <v>7.1646569038625003</v>
      </c>
    </row>
    <row r="475" spans="1:10" x14ac:dyDescent="0.25">
      <c r="A475" s="1">
        <f>Desgloce!A474</f>
        <v>468</v>
      </c>
      <c r="B475" s="14">
        <f>VLOOKUP(Tabla1[[#This Row],[No]],Tabla7[],7,FALSE)</f>
        <v>44</v>
      </c>
      <c r="C475" s="24">
        <v>36.8353430961375</v>
      </c>
      <c r="D475" s="15">
        <f>(B475-C475)/B475*100</f>
        <v>16.283311145142047</v>
      </c>
      <c r="E475" s="16">
        <f>IF(Tabla1[[#This Row],[% Error1]]&gt;$E$1,Tabla1[[#This Row],[No]],IF(Tabla1[[#This Row],[% Error1]]&lt;-$E$1,Tabla1[[#This Row],[No]],""))</f>
        <v>468</v>
      </c>
      <c r="F475" s="16" t="str">
        <f>IF(Tabla1[[#This Row],[ID]]="","",VLOOKUP(Tabla1[[#This Row],[ID]],Tabla7[],2,FALSE))</f>
        <v>CCCC/C=C/C</v>
      </c>
      <c r="G475" s="14" t="str">
        <f>IF(Tabla1[[#This Row],[ID]]="","",VLOOKUP(Tabla1[[#This Row],[ID]],Tabla7[],36,FALSE))</f>
        <v>Training</v>
      </c>
      <c r="H475" s="16" t="str">
        <f>IF(Tabla1[[#This Row],[ID]]="","",VLOOKUP(Tabla1[[#This Row],[ID]],Tabla7[],4,FALSE))</f>
        <v>Alkene</v>
      </c>
      <c r="I475" s="16">
        <f>IF(Tabla1[[#This Row],[ID]]="","",VLOOKUP(Tabla1[[#This Row],[ID]],Tabla1[],4,FALSE))</f>
        <v>16.283311145142047</v>
      </c>
      <c r="J475" s="16">
        <f>Tabla1[[#This Row],[CN Literatura]]-Tabla1[[#This Row],[CN Predicted]]</f>
        <v>7.1646569038625003</v>
      </c>
    </row>
    <row r="476" spans="1:10" x14ac:dyDescent="0.25">
      <c r="A476" s="1">
        <f>Desgloce!A475</f>
        <v>469</v>
      </c>
      <c r="B476" s="14">
        <f>VLOOKUP(Tabla1[[#This Row],[No]],Tabla7[],7,FALSE)</f>
        <v>44</v>
      </c>
      <c r="C476" s="24">
        <v>36.8353430961375</v>
      </c>
      <c r="D476" s="15">
        <f>(B476-C476)/B476*100</f>
        <v>16.283311145142047</v>
      </c>
      <c r="E476" s="16">
        <f>IF(Tabla1[[#This Row],[% Error1]]&gt;$E$1,Tabla1[[#This Row],[No]],IF(Tabla1[[#This Row],[% Error1]]&lt;-$E$1,Tabla1[[#This Row],[No]],""))</f>
        <v>469</v>
      </c>
      <c r="F476" s="16" t="str">
        <f>IF(Tabla1[[#This Row],[ID]]="","",VLOOKUP(Tabla1[[#This Row],[ID]],Tabla7[],2,FALSE))</f>
        <v>CCCC/C=C\C</v>
      </c>
      <c r="G476" s="14" t="str">
        <f>IF(Tabla1[[#This Row],[ID]]="","",VLOOKUP(Tabla1[[#This Row],[ID]],Tabla7[],36,FALSE))</f>
        <v>Training</v>
      </c>
      <c r="H476" s="16" t="str">
        <f>IF(Tabla1[[#This Row],[ID]]="","",VLOOKUP(Tabla1[[#This Row],[ID]],Tabla7[],4,FALSE))</f>
        <v>Alkene</v>
      </c>
      <c r="I476" s="16">
        <f>IF(Tabla1[[#This Row],[ID]]="","",VLOOKUP(Tabla1[[#This Row],[ID]],Tabla1[],4,FALSE))</f>
        <v>16.283311145142047</v>
      </c>
      <c r="J476" s="16">
        <f>Tabla1[[#This Row],[CN Literatura]]-Tabla1[[#This Row],[CN Predicted]]</f>
        <v>7.1646569038625003</v>
      </c>
    </row>
    <row r="477" spans="1:10" x14ac:dyDescent="0.25">
      <c r="A477" s="1">
        <f>Desgloce!A476</f>
        <v>470</v>
      </c>
      <c r="B477" s="14">
        <f>VLOOKUP(Tabla1[[#This Row],[No]],Tabla7[],7,FALSE)</f>
        <v>44</v>
      </c>
      <c r="C477" s="24">
        <v>43.604732972778997</v>
      </c>
      <c r="D477" s="15">
        <f>(B477-C477)/B477*100</f>
        <v>0.8983341527750065</v>
      </c>
      <c r="E477" s="16" t="str">
        <f>IF(Tabla1[[#This Row],[% Error1]]&gt;$E$1,Tabla1[[#This Row],[No]],IF(Tabla1[[#This Row],[% Error1]]&lt;-$E$1,Tabla1[[#This Row],[No]],""))</f>
        <v/>
      </c>
      <c r="F477" s="16" t="str">
        <f>IF(Tabla1[[#This Row],[ID]]="","",VLOOKUP(Tabla1[[#This Row],[ID]],Tabla7[],2,FALSE))</f>
        <v/>
      </c>
      <c r="G477" s="14" t="str">
        <f>IF(Tabla1[[#This Row],[ID]]="","",VLOOKUP(Tabla1[[#This Row],[ID]],Tabla7[],36,FALSE))</f>
        <v/>
      </c>
      <c r="H477" s="16" t="str">
        <f>IF(Tabla1[[#This Row],[ID]]="","",VLOOKUP(Tabla1[[#This Row],[ID]],Tabla7[],4,FALSE))</f>
        <v/>
      </c>
      <c r="I477" s="16" t="str">
        <f>IF(Tabla1[[#This Row],[ID]]="","",VLOOKUP(Tabla1[[#This Row],[ID]],Tabla1[],4,FALSE))</f>
        <v/>
      </c>
      <c r="J477" s="16">
        <f>Tabla1[[#This Row],[CN Literatura]]-Tabla1[[#This Row],[CN Predicted]]</f>
        <v>0.39526702722100282</v>
      </c>
    </row>
    <row r="478" spans="1:10" x14ac:dyDescent="0.25">
      <c r="A478" s="1">
        <f>Desgloce!A477</f>
        <v>471</v>
      </c>
      <c r="B478" s="14">
        <f>VLOOKUP(Tabla1[[#This Row],[No]],Tabla7[],7,FALSE)</f>
        <v>44</v>
      </c>
      <c r="C478" s="24">
        <v>41.641640253275</v>
      </c>
      <c r="D478" s="15">
        <f>(B478-C478)/B478*100</f>
        <v>5.3599085152840908</v>
      </c>
      <c r="E478" s="16" t="str">
        <f>IF(Tabla1[[#This Row],[% Error1]]&gt;$E$1,Tabla1[[#This Row],[No]],IF(Tabla1[[#This Row],[% Error1]]&lt;-$E$1,Tabla1[[#This Row],[No]],""))</f>
        <v/>
      </c>
      <c r="F478" s="16" t="str">
        <f>IF(Tabla1[[#This Row],[ID]]="","",VLOOKUP(Tabla1[[#This Row],[ID]],Tabla7[],2,FALSE))</f>
        <v/>
      </c>
      <c r="G478" s="14" t="str">
        <f>IF(Tabla1[[#This Row],[ID]]="","",VLOOKUP(Tabla1[[#This Row],[ID]],Tabla7[],36,FALSE))</f>
        <v/>
      </c>
      <c r="H478" s="16" t="str">
        <f>IF(Tabla1[[#This Row],[ID]]="","",VLOOKUP(Tabla1[[#This Row],[ID]],Tabla7[],4,FALSE))</f>
        <v/>
      </c>
      <c r="I478" s="16" t="str">
        <f>IF(Tabla1[[#This Row],[ID]]="","",VLOOKUP(Tabla1[[#This Row],[ID]],Tabla1[],4,FALSE))</f>
        <v/>
      </c>
      <c r="J478" s="16">
        <f>Tabla1[[#This Row],[CN Literatura]]-Tabla1[[#This Row],[CN Predicted]]</f>
        <v>2.3583597467250002</v>
      </c>
    </row>
    <row r="479" spans="1:10" x14ac:dyDescent="0.25">
      <c r="A479" s="1">
        <f>Desgloce!A478</f>
        <v>472</v>
      </c>
      <c r="B479" s="14">
        <f>VLOOKUP(Tabla1[[#This Row],[No]],Tabla7[],7,FALSE)</f>
        <v>44</v>
      </c>
      <c r="C479" s="24">
        <v>41.210682531176197</v>
      </c>
      <c r="D479" s="15">
        <f>(B479-C479)/B479*100</f>
        <v>6.3393578836904618</v>
      </c>
      <c r="E479" s="16" t="str">
        <f>IF(Tabla1[[#This Row],[% Error1]]&gt;$E$1,Tabla1[[#This Row],[No]],IF(Tabla1[[#This Row],[% Error1]]&lt;-$E$1,Tabla1[[#This Row],[No]],""))</f>
        <v/>
      </c>
      <c r="F479" s="16" t="str">
        <f>IF(Tabla1[[#This Row],[ID]]="","",VLOOKUP(Tabla1[[#This Row],[ID]],Tabla7[],2,FALSE))</f>
        <v/>
      </c>
      <c r="G479" s="14" t="str">
        <f>IF(Tabla1[[#This Row],[ID]]="","",VLOOKUP(Tabla1[[#This Row],[ID]],Tabla7[],36,FALSE))</f>
        <v/>
      </c>
      <c r="H479" s="16" t="str">
        <f>IF(Tabla1[[#This Row],[ID]]="","",VLOOKUP(Tabla1[[#This Row],[ID]],Tabla7[],4,FALSE))</f>
        <v/>
      </c>
      <c r="I479" s="16" t="str">
        <f>IF(Tabla1[[#This Row],[ID]]="","",VLOOKUP(Tabla1[[#This Row],[ID]],Tabla1[],4,FALSE))</f>
        <v/>
      </c>
      <c r="J479" s="16">
        <f>Tabla1[[#This Row],[CN Literatura]]-Tabla1[[#This Row],[CN Predicted]]</f>
        <v>2.7893174688238034</v>
      </c>
    </row>
    <row r="480" spans="1:10" x14ac:dyDescent="0.25">
      <c r="A480" s="1">
        <f>Desgloce!A479</f>
        <v>473</v>
      </c>
      <c r="B480" s="14">
        <f>VLOOKUP(Tabla1[[#This Row],[No]],Tabla7[],7,FALSE)</f>
        <v>44.4</v>
      </c>
      <c r="C480" s="24">
        <v>51.737391120306697</v>
      </c>
      <c r="D480" s="15">
        <f>(B480-C480)/B480*100</f>
        <v>-16.525655676366437</v>
      </c>
      <c r="E480" s="16">
        <f>IF(Tabla1[[#This Row],[% Error1]]&gt;$E$1,Tabla1[[#This Row],[No]],IF(Tabla1[[#This Row],[% Error1]]&lt;-$E$1,Tabla1[[#This Row],[No]],""))</f>
        <v>473</v>
      </c>
      <c r="F480" s="16" t="str">
        <f>IF(Tabla1[[#This Row],[ID]]="","",VLOOKUP(Tabla1[[#This Row],[ID]],Tabla7[],2,FALSE))</f>
        <v>C(CCCCCCC\C=C/C\C=C/CCCCC)(=O)OCC</v>
      </c>
      <c r="G480" s="14" t="str">
        <f>IF(Tabla1[[#This Row],[ID]]="","",VLOOKUP(Tabla1[[#This Row],[ID]],Tabla7[],36,FALSE))</f>
        <v>Training</v>
      </c>
      <c r="H480" s="16" t="str">
        <f>IF(Tabla1[[#This Row],[ID]]="","",VLOOKUP(Tabla1[[#This Row],[ID]],Tabla7[],4,FALSE))</f>
        <v>Ester: Unsaturated</v>
      </c>
      <c r="I480" s="16">
        <f>IF(Tabla1[[#This Row],[ID]]="","",VLOOKUP(Tabla1[[#This Row],[ID]],Tabla1[],4,FALSE))</f>
        <v>-16.525655676366437</v>
      </c>
      <c r="J480" s="16">
        <f>Tabla1[[#This Row],[CN Literatura]]-Tabla1[[#This Row],[CN Predicted]]</f>
        <v>-7.3373911203066982</v>
      </c>
    </row>
    <row r="481" spans="1:10" x14ac:dyDescent="0.25">
      <c r="A481" s="1">
        <f>Desgloce!A480</f>
        <v>474</v>
      </c>
      <c r="B481" s="14">
        <f>VLOOKUP(Tabla1[[#This Row],[No]],Tabla7[],7,FALSE)</f>
        <v>45</v>
      </c>
      <c r="C481" s="24">
        <v>53.804052156840498</v>
      </c>
      <c r="D481" s="15">
        <f>(B481-C481)/B481*100</f>
        <v>-19.564560348534439</v>
      </c>
      <c r="E481" s="16">
        <f>IF(Tabla1[[#This Row],[% Error1]]&gt;$E$1,Tabla1[[#This Row],[No]],IF(Tabla1[[#This Row],[% Error1]]&lt;-$E$1,Tabla1[[#This Row],[No]],""))</f>
        <v>474</v>
      </c>
      <c r="F481" s="16" t="str">
        <f>IF(Tabla1[[#This Row],[ID]]="","",VLOOKUP(Tabla1[[#This Row],[ID]],Tabla7[],2,FALSE))</f>
        <v>C(CCC)C(CCC)=CCCCCCCC</v>
      </c>
      <c r="G481" s="14" t="str">
        <f>IF(Tabla1[[#This Row],[ID]]="","",VLOOKUP(Tabla1[[#This Row],[ID]],Tabla7[],36,FALSE))</f>
        <v>Training</v>
      </c>
      <c r="H481" s="16" t="str">
        <f>IF(Tabla1[[#This Row],[ID]]="","",VLOOKUP(Tabla1[[#This Row],[ID]],Tabla7[],4,FALSE))</f>
        <v>Alkene</v>
      </c>
      <c r="I481" s="16">
        <f>IF(Tabla1[[#This Row],[ID]]="","",VLOOKUP(Tabla1[[#This Row],[ID]],Tabla1[],4,FALSE))</f>
        <v>-19.564560348534439</v>
      </c>
      <c r="J481" s="16">
        <f>Tabla1[[#This Row],[CN Literatura]]-Tabla1[[#This Row],[CN Predicted]]</f>
        <v>-8.8040521568404984</v>
      </c>
    </row>
    <row r="482" spans="1:10" x14ac:dyDescent="0.25">
      <c r="A482" s="1">
        <f>Desgloce!A481</f>
        <v>475</v>
      </c>
      <c r="B482" s="14">
        <f>VLOOKUP(Tabla1[[#This Row],[No]],Tabla7[],7,FALSE)</f>
        <v>45</v>
      </c>
      <c r="C482" s="24">
        <v>52.894311114514998</v>
      </c>
      <c r="D482" s="15">
        <f>(B482-C482)/B482*100</f>
        <v>-17.542913587811107</v>
      </c>
      <c r="E482" s="16">
        <f>IF(Tabla1[[#This Row],[% Error1]]&gt;$E$1,Tabla1[[#This Row],[No]],IF(Tabla1[[#This Row],[% Error1]]&lt;-$E$1,Tabla1[[#This Row],[No]],""))</f>
        <v>475</v>
      </c>
      <c r="F482" s="16" t="str">
        <f>IF(Tabla1[[#This Row],[ID]]="","",VLOOKUP(Tabla1[[#This Row],[ID]],Tabla7[],2,FALSE))</f>
        <v>C(CC)C(CCCCCCC)=CCCCCCC</v>
      </c>
      <c r="G482" s="14" t="str">
        <f>IF(Tabla1[[#This Row],[ID]]="","",VLOOKUP(Tabla1[[#This Row],[ID]],Tabla7[],36,FALSE))</f>
        <v>Training</v>
      </c>
      <c r="H482" s="16" t="str">
        <f>IF(Tabla1[[#This Row],[ID]]="","",VLOOKUP(Tabla1[[#This Row],[ID]],Tabla7[],4,FALSE))</f>
        <v>Alkene</v>
      </c>
      <c r="I482" s="16">
        <f>IF(Tabla1[[#This Row],[ID]]="","",VLOOKUP(Tabla1[[#This Row],[ID]],Tabla1[],4,FALSE))</f>
        <v>-17.542913587811107</v>
      </c>
      <c r="J482" s="16">
        <f>Tabla1[[#This Row],[CN Literatura]]-Tabla1[[#This Row],[CN Predicted]]</f>
        <v>-7.8943111145149985</v>
      </c>
    </row>
    <row r="483" spans="1:10" x14ac:dyDescent="0.25">
      <c r="A483" s="1">
        <f>Desgloce!A482</f>
        <v>477</v>
      </c>
      <c r="B483" s="14">
        <f>VLOOKUP(Tabla1[[#This Row],[No]],Tabla7[],7,FALSE)</f>
        <v>45</v>
      </c>
      <c r="C483" s="24">
        <v>50.173336992153402</v>
      </c>
      <c r="D483" s="15">
        <f>(B483-C483)/B483*100</f>
        <v>-11.49630442700756</v>
      </c>
      <c r="E483" s="16">
        <f>IF(Tabla1[[#This Row],[% Error1]]&gt;$E$1,Tabla1[[#This Row],[No]],IF(Tabla1[[#This Row],[% Error1]]&lt;-$E$1,Tabla1[[#This Row],[No]],""))</f>
        <v>477</v>
      </c>
      <c r="F483" s="16" t="str">
        <f>IF(Tabla1[[#This Row],[ID]]="","",VLOOKUP(Tabla1[[#This Row],[ID]],Tabla7[],2,FALSE))</f>
        <v>CCCCCCC/C=C(/CCC)\CCCC</v>
      </c>
      <c r="G483" s="14" t="str">
        <f>IF(Tabla1[[#This Row],[ID]]="","",VLOOKUP(Tabla1[[#This Row],[ID]],Tabla7[],36,FALSE))</f>
        <v>Training</v>
      </c>
      <c r="H483" s="16" t="str">
        <f>IF(Tabla1[[#This Row],[ID]]="","",VLOOKUP(Tabla1[[#This Row],[ID]],Tabla7[],4,FALSE))</f>
        <v>Alkene</v>
      </c>
      <c r="I483" s="16">
        <f>IF(Tabla1[[#This Row],[ID]]="","",VLOOKUP(Tabla1[[#This Row],[ID]],Tabla1[],4,FALSE))</f>
        <v>-11.49630442700756</v>
      </c>
      <c r="J483" s="16">
        <f>Tabla1[[#This Row],[CN Literatura]]-Tabla1[[#This Row],[CN Predicted]]</f>
        <v>-5.173336992153402</v>
      </c>
    </row>
    <row r="484" spans="1:10" x14ac:dyDescent="0.25">
      <c r="A484" s="1">
        <f>Desgloce!A483</f>
        <v>478</v>
      </c>
      <c r="B484" s="14">
        <f>VLOOKUP(Tabla1[[#This Row],[No]],Tabla7[],7,FALSE)</f>
        <v>45</v>
      </c>
      <c r="C484" s="24">
        <v>50.173336992153402</v>
      </c>
      <c r="D484" s="15">
        <f>(B484-C484)/B484*100</f>
        <v>-11.49630442700756</v>
      </c>
      <c r="E484" s="16">
        <f>IF(Tabla1[[#This Row],[% Error1]]&gt;$E$1,Tabla1[[#This Row],[No]],IF(Tabla1[[#This Row],[% Error1]]&lt;-$E$1,Tabla1[[#This Row],[No]],""))</f>
        <v>478</v>
      </c>
      <c r="F484" s="16" t="str">
        <f>IF(Tabla1[[#This Row],[ID]]="","",VLOOKUP(Tabla1[[#This Row],[ID]],Tabla7[],2,FALSE))</f>
        <v>CCCCCCC/C(=C\CCC)/CCCC</v>
      </c>
      <c r="G484" s="14" t="str">
        <f>IF(Tabla1[[#This Row],[ID]]="","",VLOOKUP(Tabla1[[#This Row],[ID]],Tabla7[],36,FALSE))</f>
        <v>Training</v>
      </c>
      <c r="H484" s="16" t="str">
        <f>IF(Tabla1[[#This Row],[ID]]="","",VLOOKUP(Tabla1[[#This Row],[ID]],Tabla7[],4,FALSE))</f>
        <v>Alkene</v>
      </c>
      <c r="I484" s="16">
        <f>IF(Tabla1[[#This Row],[ID]]="","",VLOOKUP(Tabla1[[#This Row],[ID]],Tabla1[],4,FALSE))</f>
        <v>-11.49630442700756</v>
      </c>
      <c r="J484" s="16">
        <f>Tabla1[[#This Row],[CN Literatura]]-Tabla1[[#This Row],[CN Predicted]]</f>
        <v>-5.173336992153402</v>
      </c>
    </row>
    <row r="485" spans="1:10" x14ac:dyDescent="0.25">
      <c r="A485" s="1">
        <f>Desgloce!A484</f>
        <v>479</v>
      </c>
      <c r="B485" s="14">
        <f>VLOOKUP(Tabla1[[#This Row],[No]],Tabla7[],7,FALSE)</f>
        <v>45</v>
      </c>
      <c r="C485" s="24">
        <v>36.637089417767299</v>
      </c>
      <c r="D485" s="15">
        <f>(B485-C485)/B485*100</f>
        <v>18.584245738294889</v>
      </c>
      <c r="E485" s="16">
        <f>IF(Tabla1[[#This Row],[% Error1]]&gt;$E$1,Tabla1[[#This Row],[No]],IF(Tabla1[[#This Row],[% Error1]]&lt;-$E$1,Tabla1[[#This Row],[No]],""))</f>
        <v>479</v>
      </c>
      <c r="F485" s="16" t="str">
        <f>IF(Tabla1[[#This Row],[ID]]="","",VLOOKUP(Tabla1[[#This Row],[ID]],Tabla7[],2,FALSE))</f>
        <v>CCCCCCC/C(=C/CCC)/CCCC</v>
      </c>
      <c r="G485" s="14" t="str">
        <f>IF(Tabla1[[#This Row],[ID]]="","",VLOOKUP(Tabla1[[#This Row],[ID]],Tabla7[],36,FALSE))</f>
        <v>Training</v>
      </c>
      <c r="H485" s="16" t="str">
        <f>IF(Tabla1[[#This Row],[ID]]="","",VLOOKUP(Tabla1[[#This Row],[ID]],Tabla7[],4,FALSE))</f>
        <v>Alkene</v>
      </c>
      <c r="I485" s="16">
        <f>IF(Tabla1[[#This Row],[ID]]="","",VLOOKUP(Tabla1[[#This Row],[ID]],Tabla1[],4,FALSE))</f>
        <v>18.584245738294889</v>
      </c>
      <c r="J485" s="16">
        <f>Tabla1[[#This Row],[CN Literatura]]-Tabla1[[#This Row],[CN Predicted]]</f>
        <v>8.3629105822327006</v>
      </c>
    </row>
    <row r="486" spans="1:10" x14ac:dyDescent="0.25">
      <c r="A486" s="1">
        <f>Desgloce!A485</f>
        <v>482</v>
      </c>
      <c r="B486" s="14">
        <f>VLOOKUP(Tabla1[[#This Row],[No]],Tabla7[],7,FALSE)</f>
        <v>45</v>
      </c>
      <c r="C486" s="24">
        <v>47.615352936540397</v>
      </c>
      <c r="D486" s="15">
        <f>(B486-C486)/B486*100</f>
        <v>-5.8118954145342157</v>
      </c>
      <c r="E486" s="16" t="str">
        <f>IF(Tabla1[[#This Row],[% Error1]]&gt;$E$1,Tabla1[[#This Row],[No]],IF(Tabla1[[#This Row],[% Error1]]&lt;-$E$1,Tabla1[[#This Row],[No]],""))</f>
        <v/>
      </c>
      <c r="F486" s="16" t="str">
        <f>IF(Tabla1[[#This Row],[ID]]="","",VLOOKUP(Tabla1[[#This Row],[ID]],Tabla7[],2,FALSE))</f>
        <v/>
      </c>
      <c r="G486" s="14" t="str">
        <f>IF(Tabla1[[#This Row],[ID]]="","",VLOOKUP(Tabla1[[#This Row],[ID]],Tabla7[],36,FALSE))</f>
        <v/>
      </c>
      <c r="H486" s="16" t="str">
        <f>IF(Tabla1[[#This Row],[ID]]="","",VLOOKUP(Tabla1[[#This Row],[ID]],Tabla7[],4,FALSE))</f>
        <v/>
      </c>
      <c r="I486" s="16" t="str">
        <f>IF(Tabla1[[#This Row],[ID]]="","",VLOOKUP(Tabla1[[#This Row],[ID]],Tabla1[],4,FALSE))</f>
        <v/>
      </c>
      <c r="J486" s="16">
        <f>Tabla1[[#This Row],[CN Literatura]]-Tabla1[[#This Row],[CN Predicted]]</f>
        <v>-2.6153529365403969</v>
      </c>
    </row>
    <row r="487" spans="1:10" x14ac:dyDescent="0.25">
      <c r="A487" s="1">
        <f>Desgloce!A486</f>
        <v>483</v>
      </c>
      <c r="B487" s="14">
        <f>VLOOKUP(Tabla1[[#This Row],[No]],Tabla7[],7,FALSE)</f>
        <v>45</v>
      </c>
      <c r="C487" s="24">
        <v>42.762962513746302</v>
      </c>
      <c r="D487" s="15">
        <f>(B487-C487)/B487*100</f>
        <v>4.9711944138971056</v>
      </c>
      <c r="E487" s="16" t="str">
        <f>IF(Tabla1[[#This Row],[% Error1]]&gt;$E$1,Tabla1[[#This Row],[No]],IF(Tabla1[[#This Row],[% Error1]]&lt;-$E$1,Tabla1[[#This Row],[No]],""))</f>
        <v/>
      </c>
      <c r="F487" s="16" t="str">
        <f>IF(Tabla1[[#This Row],[ID]]="","",VLOOKUP(Tabla1[[#This Row],[ID]],Tabla7[],2,FALSE))</f>
        <v/>
      </c>
      <c r="G487" s="14" t="str">
        <f>IF(Tabla1[[#This Row],[ID]]="","",VLOOKUP(Tabla1[[#This Row],[ID]],Tabla7[],36,FALSE))</f>
        <v/>
      </c>
      <c r="H487" s="16" t="str">
        <f>IF(Tabla1[[#This Row],[ID]]="","",VLOOKUP(Tabla1[[#This Row],[ID]],Tabla7[],4,FALSE))</f>
        <v/>
      </c>
      <c r="I487" s="16" t="str">
        <f>IF(Tabla1[[#This Row],[ID]]="","",VLOOKUP(Tabla1[[#This Row],[ID]],Tabla1[],4,FALSE))</f>
        <v/>
      </c>
      <c r="J487" s="16">
        <f>Tabla1[[#This Row],[CN Literatura]]-Tabla1[[#This Row],[CN Predicted]]</f>
        <v>2.2370374862536977</v>
      </c>
    </row>
    <row r="488" spans="1:10" x14ac:dyDescent="0.25">
      <c r="A488" s="1">
        <f>Desgloce!A487</f>
        <v>486</v>
      </c>
      <c r="B488" s="14">
        <f>VLOOKUP(Tabla1[[#This Row],[No]],Tabla7[],7,FALSE)</f>
        <v>45</v>
      </c>
      <c r="C488" s="24">
        <v>54.213949721696302</v>
      </c>
      <c r="D488" s="15">
        <f>(B488-C488)/B488*100</f>
        <v>-20.475443825991782</v>
      </c>
      <c r="E488" s="16">
        <f>IF(Tabla1[[#This Row],[% Error1]]&gt;$E$1,Tabla1[[#This Row],[No]],IF(Tabla1[[#This Row],[% Error1]]&lt;-$E$1,Tabla1[[#This Row],[No]],""))</f>
        <v>486</v>
      </c>
      <c r="F488" s="16" t="str">
        <f>IF(Tabla1[[#This Row],[ID]]="","",VLOOKUP(Tabla1[[#This Row],[ID]],Tabla7[],2,FALSE))</f>
        <v>CCCCC(C)CC</v>
      </c>
      <c r="G488" s="14" t="str">
        <f>IF(Tabla1[[#This Row],[ID]]="","",VLOOKUP(Tabla1[[#This Row],[ID]],Tabla7[],36,FALSE))</f>
        <v>Training</v>
      </c>
      <c r="H488" s="16" t="str">
        <f>IF(Tabla1[[#This Row],[ID]]="","",VLOOKUP(Tabla1[[#This Row],[ID]],Tabla7[],4,FALSE))</f>
        <v>iso-alkane</v>
      </c>
      <c r="I488" s="16">
        <f>IF(Tabla1[[#This Row],[ID]]="","",VLOOKUP(Tabla1[[#This Row],[ID]],Tabla1[],4,FALSE))</f>
        <v>-20.475443825991782</v>
      </c>
      <c r="J488" s="16">
        <f>Tabla1[[#This Row],[CN Literatura]]-Tabla1[[#This Row],[CN Predicted]]</f>
        <v>-9.2139497216963022</v>
      </c>
    </row>
    <row r="489" spans="1:10" x14ac:dyDescent="0.25">
      <c r="A489" s="1">
        <f>Desgloce!A488</f>
        <v>487</v>
      </c>
      <c r="B489" s="14">
        <f>VLOOKUP(Tabla1[[#This Row],[No]],Tabla7[],7,FALSE)</f>
        <v>45</v>
      </c>
      <c r="C489" s="24">
        <v>27.738083637662601</v>
      </c>
      <c r="D489" s="15">
        <f>(B489-C489)/B489*100</f>
        <v>38.359814138527554</v>
      </c>
      <c r="E489" s="16">
        <f>IF(Tabla1[[#This Row],[% Error1]]&gt;$E$1,Tabla1[[#This Row],[No]],IF(Tabla1[[#This Row],[% Error1]]&lt;-$E$1,Tabla1[[#This Row],[No]],""))</f>
        <v>487</v>
      </c>
      <c r="F489" s="16" t="str">
        <f>IF(Tabla1[[#This Row],[ID]]="","",VLOOKUP(Tabla1[[#This Row],[ID]],Tabla7[],2,FALSE))</f>
        <v>C(CCC)C(CCCC)CCCCCCC</v>
      </c>
      <c r="G489" s="14" t="str">
        <f>IF(Tabla1[[#This Row],[ID]]="","",VLOOKUP(Tabla1[[#This Row],[ID]],Tabla7[],36,FALSE))</f>
        <v>Training</v>
      </c>
      <c r="H489" s="16" t="str">
        <f>IF(Tabla1[[#This Row],[ID]]="","",VLOOKUP(Tabla1[[#This Row],[ID]],Tabla7[],4,FALSE))</f>
        <v>iso-alkane</v>
      </c>
      <c r="I489" s="16">
        <f>IF(Tabla1[[#This Row],[ID]]="","",VLOOKUP(Tabla1[[#This Row],[ID]],Tabla1[],4,FALSE))</f>
        <v>38.359814138527554</v>
      </c>
      <c r="J489" s="16">
        <f>Tabla1[[#This Row],[CN Literatura]]-Tabla1[[#This Row],[CN Predicted]]</f>
        <v>17.261916362337399</v>
      </c>
    </row>
    <row r="490" spans="1:10" x14ac:dyDescent="0.25">
      <c r="A490" s="1">
        <f>Desgloce!A489</f>
        <v>490</v>
      </c>
      <c r="B490" s="14">
        <f>VLOOKUP(Tabla1[[#This Row],[No]],Tabla7[],7,FALSE)</f>
        <v>45.9</v>
      </c>
      <c r="C490" s="24">
        <v>51.817166430899398</v>
      </c>
      <c r="D490" s="15">
        <f>(B490-C490)/B490*100</f>
        <v>-12.89143013267843</v>
      </c>
      <c r="E490" s="16">
        <f>IF(Tabla1[[#This Row],[% Error1]]&gt;$E$1,Tabla1[[#This Row],[No]],IF(Tabla1[[#This Row],[% Error1]]&lt;-$E$1,Tabla1[[#This Row],[No]],""))</f>
        <v>490</v>
      </c>
      <c r="F490" s="16" t="str">
        <f>IF(Tabla1[[#This Row],[ID]]="","",VLOOKUP(Tabla1[[#This Row],[ID]],Tabla7[],2,FALSE))</f>
        <v>CCC=CCC=CCC=CCCCCCCCC(=O)OC</v>
      </c>
      <c r="G490" s="14" t="str">
        <f>IF(Tabla1[[#This Row],[ID]]="","",VLOOKUP(Tabla1[[#This Row],[ID]],Tabla7[],36,FALSE))</f>
        <v>Training</v>
      </c>
      <c r="H490" s="16" t="str">
        <f>IF(Tabla1[[#This Row],[ID]]="","",VLOOKUP(Tabla1[[#This Row],[ID]],Tabla7[],4,FALSE))</f>
        <v>Ester: Unsaturated</v>
      </c>
      <c r="I490" s="16">
        <f>IF(Tabla1[[#This Row],[ID]]="","",VLOOKUP(Tabla1[[#This Row],[ID]],Tabla1[],4,FALSE))</f>
        <v>-12.89143013267843</v>
      </c>
      <c r="J490" s="16">
        <f>Tabla1[[#This Row],[CN Literatura]]-Tabla1[[#This Row],[CN Predicted]]</f>
        <v>-5.9171664308993996</v>
      </c>
    </row>
    <row r="491" spans="1:10" x14ac:dyDescent="0.25">
      <c r="A491" s="1">
        <f>Desgloce!A490</f>
        <v>492</v>
      </c>
      <c r="B491" s="14">
        <f>VLOOKUP(Tabla1[[#This Row],[No]],Tabla7[],7,FALSE)</f>
        <v>46</v>
      </c>
      <c r="C491" s="24">
        <v>49.2101082390786</v>
      </c>
      <c r="D491" s="15">
        <f>(B491-C491)/B491*100</f>
        <v>-6.9784961719100007</v>
      </c>
      <c r="E491" s="16" t="str">
        <f>IF(Tabla1[[#This Row],[% Error1]]&gt;$E$1,Tabla1[[#This Row],[No]],IF(Tabla1[[#This Row],[% Error1]]&lt;-$E$1,Tabla1[[#This Row],[No]],""))</f>
        <v/>
      </c>
      <c r="F491" s="16" t="str">
        <f>IF(Tabla1[[#This Row],[ID]]="","",VLOOKUP(Tabla1[[#This Row],[ID]],Tabla7[],2,FALSE))</f>
        <v/>
      </c>
      <c r="G491" s="14" t="str">
        <f>IF(Tabla1[[#This Row],[ID]]="","",VLOOKUP(Tabla1[[#This Row],[ID]],Tabla7[],36,FALSE))</f>
        <v/>
      </c>
      <c r="H491" s="16" t="str">
        <f>IF(Tabla1[[#This Row],[ID]]="","",VLOOKUP(Tabla1[[#This Row],[ID]],Tabla7[],4,FALSE))</f>
        <v/>
      </c>
      <c r="I491" s="16" t="str">
        <f>IF(Tabla1[[#This Row],[ID]]="","",VLOOKUP(Tabla1[[#This Row],[ID]],Tabla1[],4,FALSE))</f>
        <v/>
      </c>
      <c r="J491" s="16">
        <f>Tabla1[[#This Row],[CN Literatura]]-Tabla1[[#This Row],[CN Predicted]]</f>
        <v>-3.2101082390786004</v>
      </c>
    </row>
    <row r="492" spans="1:10" x14ac:dyDescent="0.25">
      <c r="A492" s="1">
        <f>Desgloce!A491</f>
        <v>493</v>
      </c>
      <c r="B492" s="14">
        <f>VLOOKUP(Tabla1[[#This Row],[No]],Tabla7[],7,FALSE)</f>
        <v>46</v>
      </c>
      <c r="C492" s="24">
        <v>55.527759583163103</v>
      </c>
      <c r="D492" s="15">
        <f>(B492-C492)/B492*100</f>
        <v>-20.712520832963268</v>
      </c>
      <c r="E492" s="16">
        <f>IF(Tabla1[[#This Row],[% Error1]]&gt;$E$1,Tabla1[[#This Row],[No]],IF(Tabla1[[#This Row],[% Error1]]&lt;-$E$1,Tabla1[[#This Row],[No]],""))</f>
        <v>493</v>
      </c>
      <c r="F492" s="16" t="str">
        <f>IF(Tabla1[[#This Row],[ID]]="","",VLOOKUP(Tabla1[[#This Row],[ID]],Tabla7[],2,FALSE))</f>
        <v>C(CCCCCCC\C=C/CCCCCCCC)(=O)O</v>
      </c>
      <c r="G492" s="14" t="str">
        <f>IF(Tabla1[[#This Row],[ID]]="","",VLOOKUP(Tabla1[[#This Row],[ID]],Tabla7[],36,FALSE))</f>
        <v>Training</v>
      </c>
      <c r="H492" s="16" t="str">
        <f>IF(Tabla1[[#This Row],[ID]]="","",VLOOKUP(Tabla1[[#This Row],[ID]],Tabla7[],4,FALSE))</f>
        <v>Carboxylic Acids</v>
      </c>
      <c r="I492" s="16">
        <f>IF(Tabla1[[#This Row],[ID]]="","",VLOOKUP(Tabla1[[#This Row],[ID]],Tabla1[],4,FALSE))</f>
        <v>-20.712520832963268</v>
      </c>
      <c r="J492" s="16">
        <f>Tabla1[[#This Row],[CN Literatura]]-Tabla1[[#This Row],[CN Predicted]]</f>
        <v>-9.5277595831631032</v>
      </c>
    </row>
    <row r="493" spans="1:10" x14ac:dyDescent="0.25">
      <c r="A493" s="1">
        <f>Desgloce!A492</f>
        <v>494</v>
      </c>
      <c r="B493" s="14">
        <f>VLOOKUP(Tabla1[[#This Row],[No]],Tabla7[],7,FALSE)</f>
        <v>46.1</v>
      </c>
      <c r="C493" s="24">
        <v>45.827619416394903</v>
      </c>
      <c r="D493" s="15">
        <f>(B493-C493)/B493*100</f>
        <v>0.59084725293947615</v>
      </c>
      <c r="E493" s="16" t="str">
        <f>IF(Tabla1[[#This Row],[% Error1]]&gt;$E$1,Tabla1[[#This Row],[No]],IF(Tabla1[[#This Row],[% Error1]]&lt;-$E$1,Tabla1[[#This Row],[No]],""))</f>
        <v/>
      </c>
      <c r="F493" s="16" t="str">
        <f>IF(Tabla1[[#This Row],[ID]]="","",VLOOKUP(Tabla1[[#This Row],[ID]],Tabla7[],2,FALSE))</f>
        <v/>
      </c>
      <c r="G493" s="14" t="str">
        <f>IF(Tabla1[[#This Row],[ID]]="","",VLOOKUP(Tabla1[[#This Row],[ID]],Tabla7[],36,FALSE))</f>
        <v/>
      </c>
      <c r="H493" s="16" t="str">
        <f>IF(Tabla1[[#This Row],[ID]]="","",VLOOKUP(Tabla1[[#This Row],[ID]],Tabla7[],4,FALSE))</f>
        <v/>
      </c>
      <c r="I493" s="16" t="str">
        <f>IF(Tabla1[[#This Row],[ID]]="","",VLOOKUP(Tabla1[[#This Row],[ID]],Tabla1[],4,FALSE))</f>
        <v/>
      </c>
      <c r="J493" s="16">
        <f>Tabla1[[#This Row],[CN Literatura]]-Tabla1[[#This Row],[CN Predicted]]</f>
        <v>0.27238058360509854</v>
      </c>
    </row>
    <row r="494" spans="1:10" x14ac:dyDescent="0.25">
      <c r="A494" s="1">
        <f>Desgloce!A493</f>
        <v>495</v>
      </c>
      <c r="B494" s="14">
        <f>VLOOKUP(Tabla1[[#This Row],[No]],Tabla7[],7,FALSE)</f>
        <v>46.1</v>
      </c>
      <c r="C494" s="24">
        <v>41.296138807347901</v>
      </c>
      <c r="D494" s="15">
        <f>(B494-C494)/B494*100</f>
        <v>10.420523194473102</v>
      </c>
      <c r="E494" s="16">
        <f>IF(Tabla1[[#This Row],[% Error1]]&gt;$E$1,Tabla1[[#This Row],[No]],IF(Tabla1[[#This Row],[% Error1]]&lt;-$E$1,Tabla1[[#This Row],[No]],""))</f>
        <v>495</v>
      </c>
      <c r="F494" s="16" t="str">
        <f>IF(Tabla1[[#This Row],[ID]]="","",VLOOKUP(Tabla1[[#This Row],[ID]],Tabla7[],2,FALSE))</f>
        <v>CCCCCCCC(=O)C</v>
      </c>
      <c r="G494" s="14" t="str">
        <f>IF(Tabla1[[#This Row],[ID]]="","",VLOOKUP(Tabla1[[#This Row],[ID]],Tabla7[],36,FALSE))</f>
        <v>Training</v>
      </c>
      <c r="H494" s="16" t="str">
        <f>IF(Tabla1[[#This Row],[ID]]="","",VLOOKUP(Tabla1[[#This Row],[ID]],Tabla7[],4,FALSE))</f>
        <v>Ketone</v>
      </c>
      <c r="I494" s="16">
        <f>IF(Tabla1[[#This Row],[ID]]="","",VLOOKUP(Tabla1[[#This Row],[ID]],Tabla1[],4,FALSE))</f>
        <v>10.420523194473102</v>
      </c>
      <c r="J494" s="16">
        <f>Tabla1[[#This Row],[CN Literatura]]-Tabla1[[#This Row],[CN Predicted]]</f>
        <v>4.8038611926521</v>
      </c>
    </row>
    <row r="495" spans="1:10" x14ac:dyDescent="0.25">
      <c r="A495" s="1">
        <f>Desgloce!A494</f>
        <v>496</v>
      </c>
      <c r="B495" s="14">
        <f>VLOOKUP(Tabla1[[#This Row],[No]],Tabla7[],7,FALSE)</f>
        <v>46.1</v>
      </c>
      <c r="C495" s="24">
        <v>54.037588365399102</v>
      </c>
      <c r="D495" s="15">
        <f>(B495-C495)/B495*100</f>
        <v>-17.218196020388504</v>
      </c>
      <c r="E495" s="16">
        <f>IF(Tabla1[[#This Row],[% Error1]]&gt;$E$1,Tabla1[[#This Row],[No]],IF(Tabla1[[#This Row],[% Error1]]&lt;-$E$1,Tabla1[[#This Row],[No]],""))</f>
        <v>496</v>
      </c>
      <c r="F495" s="16" t="str">
        <f>IF(Tabla1[[#This Row],[ID]]="","",VLOOKUP(Tabla1[[#This Row],[ID]],Tabla7[],2,FALSE))</f>
        <v>CC(CCCCCCC)=O</v>
      </c>
      <c r="G495" s="14" t="str">
        <f>IF(Tabla1[[#This Row],[ID]]="","",VLOOKUP(Tabla1[[#This Row],[ID]],Tabla7[],36,FALSE))</f>
        <v>Training</v>
      </c>
      <c r="H495" s="16" t="str">
        <f>IF(Tabla1[[#This Row],[ID]]="","",VLOOKUP(Tabla1[[#This Row],[ID]],Tabla7[],4,FALSE))</f>
        <v>Ketone</v>
      </c>
      <c r="I495" s="16">
        <f>IF(Tabla1[[#This Row],[ID]]="","",VLOOKUP(Tabla1[[#This Row],[ID]],Tabla1[],4,FALSE))</f>
        <v>-17.218196020388504</v>
      </c>
      <c r="J495" s="16">
        <f>Tabla1[[#This Row],[CN Literatura]]-Tabla1[[#This Row],[CN Predicted]]</f>
        <v>-7.9375883653991011</v>
      </c>
    </row>
    <row r="496" spans="1:10" x14ac:dyDescent="0.25">
      <c r="A496" s="1">
        <f>Desgloce!A495</f>
        <v>497</v>
      </c>
      <c r="B496" s="14">
        <f>VLOOKUP(Tabla1[[#This Row],[No]],Tabla7[],7,FALSE)</f>
        <v>46.1</v>
      </c>
      <c r="C496" s="24">
        <v>44.480469949584098</v>
      </c>
      <c r="D496" s="15">
        <f>(B496-C496)/B496*100</f>
        <v>3.5130803696657344</v>
      </c>
      <c r="E496" s="16" t="str">
        <f>IF(Tabla1[[#This Row],[% Error1]]&gt;$E$1,Tabla1[[#This Row],[No]],IF(Tabla1[[#This Row],[% Error1]]&lt;-$E$1,Tabla1[[#This Row],[No]],""))</f>
        <v/>
      </c>
      <c r="F496" s="16" t="str">
        <f>IF(Tabla1[[#This Row],[ID]]="","",VLOOKUP(Tabla1[[#This Row],[ID]],Tabla7[],2,FALSE))</f>
        <v/>
      </c>
      <c r="G496" s="14" t="str">
        <f>IF(Tabla1[[#This Row],[ID]]="","",VLOOKUP(Tabla1[[#This Row],[ID]],Tabla7[],36,FALSE))</f>
        <v/>
      </c>
      <c r="H496" s="16" t="str">
        <f>IF(Tabla1[[#This Row],[ID]]="","",VLOOKUP(Tabla1[[#This Row],[ID]],Tabla7[],4,FALSE))</f>
        <v/>
      </c>
      <c r="I496" s="16" t="str">
        <f>IF(Tabla1[[#This Row],[ID]]="","",VLOOKUP(Tabla1[[#This Row],[ID]],Tabla1[],4,FALSE))</f>
        <v/>
      </c>
      <c r="J496" s="16">
        <f>Tabla1[[#This Row],[CN Literatura]]-Tabla1[[#This Row],[CN Predicted]]</f>
        <v>1.6195300504159036</v>
      </c>
    </row>
    <row r="497" spans="1:10" x14ac:dyDescent="0.25">
      <c r="A497" s="1">
        <f>Desgloce!A496</f>
        <v>498</v>
      </c>
      <c r="B497" s="14">
        <f>VLOOKUP(Tabla1[[#This Row],[No]],Tabla7[],7,FALSE)</f>
        <v>46.2</v>
      </c>
      <c r="C497" s="24">
        <v>50.0821884092773</v>
      </c>
      <c r="D497" s="15">
        <f>(B497-C497)/B497*100</f>
        <v>-8.4030052148859244</v>
      </c>
      <c r="E497" s="16" t="str">
        <f>IF(Tabla1[[#This Row],[% Error1]]&gt;$E$1,Tabla1[[#This Row],[No]],IF(Tabla1[[#This Row],[% Error1]]&lt;-$E$1,Tabla1[[#This Row],[No]],""))</f>
        <v/>
      </c>
      <c r="F497" s="16" t="str">
        <f>IF(Tabla1[[#This Row],[ID]]="","",VLOOKUP(Tabla1[[#This Row],[ID]],Tabla7[],2,FALSE))</f>
        <v/>
      </c>
      <c r="G497" s="14" t="str">
        <f>IF(Tabla1[[#This Row],[ID]]="","",VLOOKUP(Tabla1[[#This Row],[ID]],Tabla7[],36,FALSE))</f>
        <v/>
      </c>
      <c r="H497" s="16" t="str">
        <f>IF(Tabla1[[#This Row],[ID]]="","",VLOOKUP(Tabla1[[#This Row],[ID]],Tabla7[],4,FALSE))</f>
        <v/>
      </c>
      <c r="I497" s="16" t="str">
        <f>IF(Tabla1[[#This Row],[ID]]="","",VLOOKUP(Tabla1[[#This Row],[ID]],Tabla1[],4,FALSE))</f>
        <v/>
      </c>
      <c r="J497" s="16">
        <f>Tabla1[[#This Row],[CN Literatura]]-Tabla1[[#This Row],[CN Predicted]]</f>
        <v>-3.8821884092772976</v>
      </c>
    </row>
    <row r="498" spans="1:10" x14ac:dyDescent="0.25">
      <c r="A498" s="1">
        <f>Desgloce!A497</f>
        <v>499</v>
      </c>
      <c r="B498" s="14">
        <f>VLOOKUP(Tabla1[[#This Row],[No]],Tabla7[],7,FALSE)</f>
        <v>46.5</v>
      </c>
      <c r="C498" s="24">
        <v>52.409422354851102</v>
      </c>
      <c r="D498" s="15">
        <f>(B498-C498)/B498*100</f>
        <v>-12.708435171722801</v>
      </c>
      <c r="E498" s="16">
        <f>IF(Tabla1[[#This Row],[% Error1]]&gt;$E$1,Tabla1[[#This Row],[No]],IF(Tabla1[[#This Row],[% Error1]]&lt;-$E$1,Tabla1[[#This Row],[No]],""))</f>
        <v>499</v>
      </c>
      <c r="F498" s="16" t="str">
        <f>IF(Tabla1[[#This Row],[ID]]="","",VLOOKUP(Tabla1[[#This Row],[ID]],Tabla7[],2,FALSE))</f>
        <v>CCCCC1CCCCC1</v>
      </c>
      <c r="G498" s="14" t="str">
        <f>IF(Tabla1[[#This Row],[ID]]="","",VLOOKUP(Tabla1[[#This Row],[ID]],Tabla7[],36,FALSE))</f>
        <v>Training</v>
      </c>
      <c r="H498" s="16" t="str">
        <f>IF(Tabla1[[#This Row],[ID]]="","",VLOOKUP(Tabla1[[#This Row],[ID]],Tabla7[],4,FALSE))</f>
        <v>cyclo-alkane</v>
      </c>
      <c r="I498" s="16">
        <f>IF(Tabla1[[#This Row],[ID]]="","",VLOOKUP(Tabla1[[#This Row],[ID]],Tabla1[],4,FALSE))</f>
        <v>-12.708435171722801</v>
      </c>
      <c r="J498" s="16">
        <f>Tabla1[[#This Row],[CN Literatura]]-Tabla1[[#This Row],[CN Predicted]]</f>
        <v>-5.9094223548511025</v>
      </c>
    </row>
    <row r="499" spans="1:10" x14ac:dyDescent="0.25">
      <c r="A499" s="1">
        <f>Desgloce!A498</f>
        <v>500</v>
      </c>
      <c r="B499" s="14">
        <f>VLOOKUP(Tabla1[[#This Row],[No]],Tabla7[],7,FALSE)</f>
        <v>46.6</v>
      </c>
      <c r="C499" s="24">
        <v>57.604130129800502</v>
      </c>
      <c r="D499" s="15">
        <f>(B499-C499)/B499*100</f>
        <v>-23.614013154078329</v>
      </c>
      <c r="E499" s="16">
        <f>IF(Tabla1[[#This Row],[% Error1]]&gt;$E$1,Tabla1[[#This Row],[No]],IF(Tabla1[[#This Row],[% Error1]]&lt;-$E$1,Tabla1[[#This Row],[No]],""))</f>
        <v>500</v>
      </c>
      <c r="F499" s="16" t="str">
        <f>IF(Tabla1[[#This Row],[ID]]="","",VLOOKUP(Tabla1[[#This Row],[ID]],Tabla7[],2,FALSE))</f>
        <v>CCCCCCCCCC(=O)OC(C)C</v>
      </c>
      <c r="G499" s="14" t="str">
        <f>IF(Tabla1[[#This Row],[ID]]="","",VLOOKUP(Tabla1[[#This Row],[ID]],Tabla7[],36,FALSE))</f>
        <v>Training</v>
      </c>
      <c r="H499" s="16" t="str">
        <f>IF(Tabla1[[#This Row],[ID]]="","",VLOOKUP(Tabla1[[#This Row],[ID]],Tabla7[],4,FALSE))</f>
        <v>Ester</v>
      </c>
      <c r="I499" s="16">
        <f>IF(Tabla1[[#This Row],[ID]]="","",VLOOKUP(Tabla1[[#This Row],[ID]],Tabla1[],4,FALSE))</f>
        <v>-23.614013154078329</v>
      </c>
      <c r="J499" s="16">
        <f>Tabla1[[#This Row],[CN Literatura]]-Tabla1[[#This Row],[CN Predicted]]</f>
        <v>-11.004130129800501</v>
      </c>
    </row>
    <row r="500" spans="1:10" x14ac:dyDescent="0.25">
      <c r="A500" s="1">
        <f>Desgloce!A499</f>
        <v>501</v>
      </c>
      <c r="B500" s="14">
        <f>VLOOKUP(Tabla1[[#This Row],[No]],Tabla7[],7,FALSE)</f>
        <v>47</v>
      </c>
      <c r="C500" s="24">
        <v>42.983988547819003</v>
      </c>
      <c r="D500" s="15">
        <f>(B500-C500)/B500*100</f>
        <v>8.5447052174063778</v>
      </c>
      <c r="E500" s="16" t="str">
        <f>IF(Tabla1[[#This Row],[% Error1]]&gt;$E$1,Tabla1[[#This Row],[No]],IF(Tabla1[[#This Row],[% Error1]]&lt;-$E$1,Tabla1[[#This Row],[No]],""))</f>
        <v/>
      </c>
      <c r="F500" s="16" t="str">
        <f>IF(Tabla1[[#This Row],[ID]]="","",VLOOKUP(Tabla1[[#This Row],[ID]],Tabla7[],2,FALSE))</f>
        <v/>
      </c>
      <c r="G500" s="14" t="str">
        <f>IF(Tabla1[[#This Row],[ID]]="","",VLOOKUP(Tabla1[[#This Row],[ID]],Tabla7[],36,FALSE))</f>
        <v/>
      </c>
      <c r="H500" s="16" t="str">
        <f>IF(Tabla1[[#This Row],[ID]]="","",VLOOKUP(Tabla1[[#This Row],[ID]],Tabla7[],4,FALSE))</f>
        <v/>
      </c>
      <c r="I500" s="16" t="str">
        <f>IF(Tabla1[[#This Row],[ID]]="","",VLOOKUP(Tabla1[[#This Row],[ID]],Tabla1[],4,FALSE))</f>
        <v/>
      </c>
      <c r="J500" s="16">
        <f>Tabla1[[#This Row],[CN Literatura]]-Tabla1[[#This Row],[CN Predicted]]</f>
        <v>4.0160114521809973</v>
      </c>
    </row>
    <row r="501" spans="1:10" x14ac:dyDescent="0.25">
      <c r="A501" s="1">
        <f>Desgloce!A500</f>
        <v>503</v>
      </c>
      <c r="B501" s="14">
        <f>VLOOKUP(Tabla1[[#This Row],[No]],Tabla7[],7,FALSE)</f>
        <v>47</v>
      </c>
      <c r="C501" s="24">
        <v>39.984675278281202</v>
      </c>
      <c r="D501" s="15">
        <f>(B501-C501)/B501*100</f>
        <v>14.926222812167655</v>
      </c>
      <c r="E501" s="16">
        <f>IF(Tabla1[[#This Row],[% Error1]]&gt;$E$1,Tabla1[[#This Row],[No]],IF(Tabla1[[#This Row],[% Error1]]&lt;-$E$1,Tabla1[[#This Row],[No]],""))</f>
        <v>503</v>
      </c>
      <c r="F501" s="16" t="str">
        <f>IF(Tabla1[[#This Row],[ID]]="","",VLOOKUP(Tabla1[[#This Row],[ID]],Tabla7[],2,FALSE))</f>
        <v>CCCCCCCCCC(=O)OC</v>
      </c>
      <c r="G501" s="14" t="str">
        <f>IF(Tabla1[[#This Row],[ID]]="","",VLOOKUP(Tabla1[[#This Row],[ID]],Tabla7[],36,FALSE))</f>
        <v>Training</v>
      </c>
      <c r="H501" s="16" t="str">
        <f>IF(Tabla1[[#This Row],[ID]]="","",VLOOKUP(Tabla1[[#This Row],[ID]],Tabla7[],4,FALSE))</f>
        <v>Ester</v>
      </c>
      <c r="I501" s="16">
        <f>IF(Tabla1[[#This Row],[ID]]="","",VLOOKUP(Tabla1[[#This Row],[ID]],Tabla1[],4,FALSE))</f>
        <v>14.926222812167655</v>
      </c>
      <c r="J501" s="16">
        <f>Tabla1[[#This Row],[CN Literatura]]-Tabla1[[#This Row],[CN Predicted]]</f>
        <v>7.0153247217187982</v>
      </c>
    </row>
    <row r="502" spans="1:10" x14ac:dyDescent="0.25">
      <c r="A502" s="1">
        <f>Desgloce!A501</f>
        <v>504</v>
      </c>
      <c r="B502" s="14">
        <f>VLOOKUP(Tabla1[[#This Row],[No]],Tabla7[],7,FALSE)</f>
        <v>47</v>
      </c>
      <c r="C502" s="24">
        <v>46.859757826952801</v>
      </c>
      <c r="D502" s="15">
        <f>(B502-C502)/B502*100</f>
        <v>0.29838760222808203</v>
      </c>
      <c r="E502" s="16" t="str">
        <f>IF(Tabla1[[#This Row],[% Error1]]&gt;$E$1,Tabla1[[#This Row],[No]],IF(Tabla1[[#This Row],[% Error1]]&lt;-$E$1,Tabla1[[#This Row],[No]],""))</f>
        <v/>
      </c>
      <c r="F502" s="16" t="str">
        <f>IF(Tabla1[[#This Row],[ID]]="","",VLOOKUP(Tabla1[[#This Row],[ID]],Tabla7[],2,FALSE))</f>
        <v/>
      </c>
      <c r="G502" s="14" t="str">
        <f>IF(Tabla1[[#This Row],[ID]]="","",VLOOKUP(Tabla1[[#This Row],[ID]],Tabla7[],36,FALSE))</f>
        <v/>
      </c>
      <c r="H502" s="16" t="str">
        <f>IF(Tabla1[[#This Row],[ID]]="","",VLOOKUP(Tabla1[[#This Row],[ID]],Tabla7[],4,FALSE))</f>
        <v/>
      </c>
      <c r="I502" s="16" t="str">
        <f>IF(Tabla1[[#This Row],[ID]]="","",VLOOKUP(Tabla1[[#This Row],[ID]],Tabla1[],4,FALSE))</f>
        <v/>
      </c>
      <c r="J502" s="16">
        <f>Tabla1[[#This Row],[CN Literatura]]-Tabla1[[#This Row],[CN Predicted]]</f>
        <v>0.14024217304719855</v>
      </c>
    </row>
    <row r="503" spans="1:10" x14ac:dyDescent="0.25">
      <c r="A503" s="1">
        <f>Desgloce!A502</f>
        <v>505</v>
      </c>
      <c r="B503" s="14">
        <f>VLOOKUP(Tabla1[[#This Row],[No]],Tabla7[],7,FALSE)</f>
        <v>47</v>
      </c>
      <c r="C503" s="24">
        <v>65.033806093480294</v>
      </c>
      <c r="D503" s="15">
        <f>(B503-C503)/B503*100</f>
        <v>-38.369800198894247</v>
      </c>
      <c r="E503" s="16">
        <f>IF(Tabla1[[#This Row],[% Error1]]&gt;$E$1,Tabla1[[#This Row],[No]],IF(Tabla1[[#This Row],[% Error1]]&lt;-$E$1,Tabla1[[#This Row],[No]],""))</f>
        <v>505</v>
      </c>
      <c r="F503" s="16" t="str">
        <f>IF(Tabla1[[#This Row],[ID]]="","",VLOOKUP(Tabla1[[#This Row],[ID]],Tabla7[],2,FALSE))</f>
        <v>C(CCCCCCCCC(=O)OCC)(=O)OCC</v>
      </c>
      <c r="G503" s="14" t="str">
        <f>IF(Tabla1[[#This Row],[ID]]="","",VLOOKUP(Tabla1[[#This Row],[ID]],Tabla7[],36,FALSE))</f>
        <v>Training</v>
      </c>
      <c r="H503" s="16" t="str">
        <f>IF(Tabla1[[#This Row],[ID]]="","",VLOOKUP(Tabla1[[#This Row],[ID]],Tabla7[],4,FALSE))</f>
        <v>Ester of Dicarboxylic Acids</v>
      </c>
      <c r="I503" s="16">
        <f>IF(Tabla1[[#This Row],[ID]]="","",VLOOKUP(Tabla1[[#This Row],[ID]],Tabla1[],4,FALSE))</f>
        <v>-38.369800198894247</v>
      </c>
      <c r="J503" s="16">
        <f>Tabla1[[#This Row],[CN Literatura]]-Tabla1[[#This Row],[CN Predicted]]</f>
        <v>-18.033806093480294</v>
      </c>
    </row>
    <row r="504" spans="1:10" x14ac:dyDescent="0.25">
      <c r="A504" s="1">
        <f>Desgloce!A503</f>
        <v>508</v>
      </c>
      <c r="B504" s="14">
        <f>VLOOKUP(Tabla1[[#This Row],[No]],Tabla7[],7,FALSE)</f>
        <v>47</v>
      </c>
      <c r="C504" s="24">
        <v>49.017393642766997</v>
      </c>
      <c r="D504" s="15">
        <f>(B504-C504)/B504*100</f>
        <v>-4.2923268995042489</v>
      </c>
      <c r="E504" s="16" t="str">
        <f>IF(Tabla1[[#This Row],[% Error1]]&gt;$E$1,Tabla1[[#This Row],[No]],IF(Tabla1[[#This Row],[% Error1]]&lt;-$E$1,Tabla1[[#This Row],[No]],""))</f>
        <v/>
      </c>
      <c r="F504" s="16" t="str">
        <f>IF(Tabla1[[#This Row],[ID]]="","",VLOOKUP(Tabla1[[#This Row],[ID]],Tabla7[],2,FALSE))</f>
        <v/>
      </c>
      <c r="G504" s="14" t="str">
        <f>IF(Tabla1[[#This Row],[ID]]="","",VLOOKUP(Tabla1[[#This Row],[ID]],Tabla7[],36,FALSE))</f>
        <v/>
      </c>
      <c r="H504" s="16" t="str">
        <f>IF(Tabla1[[#This Row],[ID]]="","",VLOOKUP(Tabla1[[#This Row],[ID]],Tabla7[],4,FALSE))</f>
        <v/>
      </c>
      <c r="I504" s="16" t="str">
        <f>IF(Tabla1[[#This Row],[ID]]="","",VLOOKUP(Tabla1[[#This Row],[ID]],Tabla1[],4,FALSE))</f>
        <v/>
      </c>
      <c r="J504" s="16">
        <f>Tabla1[[#This Row],[CN Literatura]]-Tabla1[[#This Row],[CN Predicted]]</f>
        <v>-2.0173936427669972</v>
      </c>
    </row>
    <row r="505" spans="1:10" x14ac:dyDescent="0.25">
      <c r="A505" s="1">
        <f>Desgloce!A504</f>
        <v>511</v>
      </c>
      <c r="B505" s="14">
        <f>VLOOKUP(Tabla1[[#This Row],[No]],Tabla7[],7,FALSE)</f>
        <v>47.3</v>
      </c>
      <c r="C505" s="24">
        <v>46.411231829587699</v>
      </c>
      <c r="D505" s="15">
        <f>(B505-C505)/B505*100</f>
        <v>1.8790024744446052</v>
      </c>
      <c r="E505" s="16" t="str">
        <f>IF(Tabla1[[#This Row],[% Error1]]&gt;$E$1,Tabla1[[#This Row],[No]],IF(Tabla1[[#This Row],[% Error1]]&lt;-$E$1,Tabla1[[#This Row],[No]],""))</f>
        <v/>
      </c>
      <c r="F505" s="16" t="str">
        <f>IF(Tabla1[[#This Row],[ID]]="","",VLOOKUP(Tabla1[[#This Row],[ID]],Tabla7[],2,FALSE))</f>
        <v/>
      </c>
      <c r="G505" s="14" t="str">
        <f>IF(Tabla1[[#This Row],[ID]]="","",VLOOKUP(Tabla1[[#This Row],[ID]],Tabla7[],36,FALSE))</f>
        <v/>
      </c>
      <c r="H505" s="16" t="str">
        <f>IF(Tabla1[[#This Row],[ID]]="","",VLOOKUP(Tabla1[[#This Row],[ID]],Tabla7[],4,FALSE))</f>
        <v/>
      </c>
      <c r="I505" s="16" t="str">
        <f>IF(Tabla1[[#This Row],[ID]]="","",VLOOKUP(Tabla1[[#This Row],[ID]],Tabla1[],4,FALSE))</f>
        <v/>
      </c>
      <c r="J505" s="16">
        <f>Tabla1[[#This Row],[CN Literatura]]-Tabla1[[#This Row],[CN Predicted]]</f>
        <v>0.88876817041229828</v>
      </c>
    </row>
    <row r="506" spans="1:10" x14ac:dyDescent="0.25">
      <c r="A506" s="1">
        <f>Desgloce!A505</f>
        <v>512</v>
      </c>
      <c r="B506" s="14">
        <f>VLOOKUP(Tabla1[[#This Row],[No]],Tabla7[],7,FALSE)</f>
        <v>47.55</v>
      </c>
      <c r="C506" s="24">
        <v>46.568441656098898</v>
      </c>
      <c r="D506" s="15">
        <f>(B506-C506)/B506*100</f>
        <v>2.0642657074681372</v>
      </c>
      <c r="E506" s="16" t="str">
        <f>IF(Tabla1[[#This Row],[% Error1]]&gt;$E$1,Tabla1[[#This Row],[No]],IF(Tabla1[[#This Row],[% Error1]]&lt;-$E$1,Tabla1[[#This Row],[No]],""))</f>
        <v/>
      </c>
      <c r="F506" s="16" t="str">
        <f>IF(Tabla1[[#This Row],[ID]]="","",VLOOKUP(Tabla1[[#This Row],[ID]],Tabla7[],2,FALSE))</f>
        <v/>
      </c>
      <c r="G506" s="14" t="str">
        <f>IF(Tabla1[[#This Row],[ID]]="","",VLOOKUP(Tabla1[[#This Row],[ID]],Tabla7[],36,FALSE))</f>
        <v/>
      </c>
      <c r="H506" s="16" t="str">
        <f>IF(Tabla1[[#This Row],[ID]]="","",VLOOKUP(Tabla1[[#This Row],[ID]],Tabla7[],4,FALSE))</f>
        <v/>
      </c>
      <c r="I506" s="16" t="str">
        <f>IF(Tabla1[[#This Row],[ID]]="","",VLOOKUP(Tabla1[[#This Row],[ID]],Tabla1[],4,FALSE))</f>
        <v/>
      </c>
      <c r="J506" s="16">
        <f>Tabla1[[#This Row],[CN Literatura]]-Tabla1[[#This Row],[CN Predicted]]</f>
        <v>0.98155834390109931</v>
      </c>
    </row>
    <row r="507" spans="1:10" x14ac:dyDescent="0.25">
      <c r="A507" s="1">
        <f>Desgloce!A506</f>
        <v>514</v>
      </c>
      <c r="B507" s="14">
        <f>VLOOKUP(Tabla1[[#This Row],[No]],Tabla7[],7,FALSE)</f>
        <v>47.6</v>
      </c>
      <c r="C507" s="24">
        <v>40.6618913139352</v>
      </c>
      <c r="D507" s="15">
        <f>(B507-C507)/B507*100</f>
        <v>14.575858584169749</v>
      </c>
      <c r="E507" s="16">
        <f>IF(Tabla1[[#This Row],[% Error1]]&gt;$E$1,Tabla1[[#This Row],[No]],IF(Tabla1[[#This Row],[% Error1]]&lt;-$E$1,Tabla1[[#This Row],[No]],""))</f>
        <v>514</v>
      </c>
      <c r="F507" s="16" t="str">
        <f>IF(Tabla1[[#This Row],[ID]]="","",VLOOKUP(Tabla1[[#This Row],[ID]],Tabla7[],2,FALSE))</f>
        <v>C(CCC)C1CCCCC1</v>
      </c>
      <c r="G507" s="14" t="str">
        <f>IF(Tabla1[[#This Row],[ID]]="","",VLOOKUP(Tabla1[[#This Row],[ID]],Tabla7[],36,FALSE))</f>
        <v>Training</v>
      </c>
      <c r="H507" s="16" t="str">
        <f>IF(Tabla1[[#This Row],[ID]]="","",VLOOKUP(Tabla1[[#This Row],[ID]],Tabla7[],4,FALSE))</f>
        <v>cyclo-alkane</v>
      </c>
      <c r="I507" s="16">
        <f>IF(Tabla1[[#This Row],[ID]]="","",VLOOKUP(Tabla1[[#This Row],[ID]],Tabla1[],4,FALSE))</f>
        <v>14.575858584169749</v>
      </c>
      <c r="J507" s="16">
        <f>Tabla1[[#This Row],[CN Literatura]]-Tabla1[[#This Row],[CN Predicted]]</f>
        <v>6.9381086860648011</v>
      </c>
    </row>
    <row r="508" spans="1:10" x14ac:dyDescent="0.25">
      <c r="A508" s="1">
        <f>Desgloce!A507</f>
        <v>515</v>
      </c>
      <c r="B508" s="14">
        <f>VLOOKUP(Tabla1[[#This Row],[No]],Tabla7[],7,FALSE)</f>
        <v>47.8</v>
      </c>
      <c r="C508" s="24">
        <v>57.911890927155902</v>
      </c>
      <c r="D508" s="15">
        <f>(B508-C508)/B508*100</f>
        <v>-21.154583529614865</v>
      </c>
      <c r="E508" s="16">
        <f>IF(Tabla1[[#This Row],[% Error1]]&gt;$E$1,Tabla1[[#This Row],[No]],IF(Tabla1[[#This Row],[% Error1]]&lt;-$E$1,Tabla1[[#This Row],[No]],""))</f>
        <v>515</v>
      </c>
      <c r="F508" s="16" t="str">
        <f>IF(Tabla1[[#This Row],[ID]]="","",VLOOKUP(Tabla1[[#This Row],[ID]],Tabla7[],2,FALSE))</f>
        <v>C(C(C)C)C1CCCC1</v>
      </c>
      <c r="G508" s="14" t="str">
        <f>IF(Tabla1[[#This Row],[ID]]="","",VLOOKUP(Tabla1[[#This Row],[ID]],Tabla7[],36,FALSE))</f>
        <v>Training</v>
      </c>
      <c r="H508" s="16" t="str">
        <f>IF(Tabla1[[#This Row],[ID]]="","",VLOOKUP(Tabla1[[#This Row],[ID]],Tabla7[],4,FALSE))</f>
        <v>cyclo-alkane</v>
      </c>
      <c r="I508" s="16">
        <f>IF(Tabla1[[#This Row],[ID]]="","",VLOOKUP(Tabla1[[#This Row],[ID]],Tabla1[],4,FALSE))</f>
        <v>-21.154583529614865</v>
      </c>
      <c r="J508" s="16">
        <f>Tabla1[[#This Row],[CN Literatura]]-Tabla1[[#This Row],[CN Predicted]]</f>
        <v>-10.111890927155905</v>
      </c>
    </row>
    <row r="509" spans="1:10" x14ac:dyDescent="0.25">
      <c r="A509" s="1">
        <f>Desgloce!A508</f>
        <v>516</v>
      </c>
      <c r="B509" s="14">
        <f>VLOOKUP(Tabla1[[#This Row],[No]],Tabla7[],7,FALSE)</f>
        <v>48</v>
      </c>
      <c r="C509" s="24">
        <v>50.088618451300398</v>
      </c>
      <c r="D509" s="15">
        <f>(B509-C509)/B509*100</f>
        <v>-4.3512884402091636</v>
      </c>
      <c r="E509" s="16" t="str">
        <f>IF(Tabla1[[#This Row],[% Error1]]&gt;$E$1,Tabla1[[#This Row],[No]],IF(Tabla1[[#This Row],[% Error1]]&lt;-$E$1,Tabla1[[#This Row],[No]],""))</f>
        <v/>
      </c>
      <c r="F509" s="16" t="str">
        <f>IF(Tabla1[[#This Row],[ID]]="","",VLOOKUP(Tabla1[[#This Row],[ID]],Tabla7[],2,FALSE))</f>
        <v/>
      </c>
      <c r="G509" s="14" t="str">
        <f>IF(Tabla1[[#This Row],[ID]]="","",VLOOKUP(Tabla1[[#This Row],[ID]],Tabla7[],36,FALSE))</f>
        <v/>
      </c>
      <c r="H509" s="16" t="str">
        <f>IF(Tabla1[[#This Row],[ID]]="","",VLOOKUP(Tabla1[[#This Row],[ID]],Tabla7[],4,FALSE))</f>
        <v/>
      </c>
      <c r="I509" s="16" t="str">
        <f>IF(Tabla1[[#This Row],[ID]]="","",VLOOKUP(Tabla1[[#This Row],[ID]],Tabla1[],4,FALSE))</f>
        <v/>
      </c>
      <c r="J509" s="16">
        <f>Tabla1[[#This Row],[CN Literatura]]-Tabla1[[#This Row],[CN Predicted]]</f>
        <v>-2.0886184513003982</v>
      </c>
    </row>
    <row r="510" spans="1:10" x14ac:dyDescent="0.25">
      <c r="A510" s="1">
        <f>Desgloce!A509</f>
        <v>517</v>
      </c>
      <c r="B510" s="14">
        <f>VLOOKUP(Tabla1[[#This Row],[No]],Tabla7[],7,FALSE)</f>
        <v>48</v>
      </c>
      <c r="C510" s="24">
        <v>60.850732195761999</v>
      </c>
      <c r="D510" s="15">
        <f>(B510-C510)/B510*100</f>
        <v>-26.772358741170834</v>
      </c>
      <c r="E510" s="16">
        <f>IF(Tabla1[[#This Row],[% Error1]]&gt;$E$1,Tabla1[[#This Row],[No]],IF(Tabla1[[#This Row],[% Error1]]&lt;-$E$1,Tabla1[[#This Row],[No]],""))</f>
        <v>517</v>
      </c>
      <c r="F510" s="16" t="str">
        <f>IF(Tabla1[[#This Row],[ID]]="","",VLOOKUP(Tabla1[[#This Row],[ID]],Tabla7[],2,FALSE))</f>
        <v>C(C=1C(C(=O)OCCCCCC)=CC=CC1)(=O)OCCCCCC</v>
      </c>
      <c r="G510" s="14" t="str">
        <f>IF(Tabla1[[#This Row],[ID]]="","",VLOOKUP(Tabla1[[#This Row],[ID]],Tabla7[],36,FALSE))</f>
        <v>Training</v>
      </c>
      <c r="H510" s="16" t="str">
        <f>IF(Tabla1[[#This Row],[ID]]="","",VLOOKUP(Tabla1[[#This Row],[ID]],Tabla7[],4,FALSE))</f>
        <v>Ester of Dicarboxylic Acids</v>
      </c>
      <c r="I510" s="16">
        <f>IF(Tabla1[[#This Row],[ID]]="","",VLOOKUP(Tabla1[[#This Row],[ID]],Tabla1[],4,FALSE))</f>
        <v>-26.772358741170834</v>
      </c>
      <c r="J510" s="16">
        <f>Tabla1[[#This Row],[CN Literatura]]-Tabla1[[#This Row],[CN Predicted]]</f>
        <v>-12.850732195761999</v>
      </c>
    </row>
    <row r="511" spans="1:10" x14ac:dyDescent="0.25">
      <c r="A511" s="1">
        <f>Desgloce!A510</f>
        <v>519</v>
      </c>
      <c r="B511" s="14">
        <f>VLOOKUP(Tabla1[[#This Row],[No]],Tabla7[],7,FALSE)</f>
        <v>48</v>
      </c>
      <c r="C511" s="24">
        <v>42.828442880461502</v>
      </c>
      <c r="D511" s="15">
        <f>(B511-C511)/B511*100</f>
        <v>10.774077332371872</v>
      </c>
      <c r="E511" s="16">
        <f>IF(Tabla1[[#This Row],[% Error1]]&gt;$E$1,Tabla1[[#This Row],[No]],IF(Tabla1[[#This Row],[% Error1]]&lt;-$E$1,Tabla1[[#This Row],[No]],""))</f>
        <v>519</v>
      </c>
      <c r="F511" s="16" t="str">
        <f>IF(Tabla1[[#This Row],[ID]]="","",VLOOKUP(Tabla1[[#This Row],[ID]],Tabla7[],2,FALSE))</f>
        <v>CCCCCCCC(CCC)CCCCCCC</v>
      </c>
      <c r="G511" s="14" t="str">
        <f>IF(Tabla1[[#This Row],[ID]]="","",VLOOKUP(Tabla1[[#This Row],[ID]],Tabla7[],36,FALSE))</f>
        <v>Training</v>
      </c>
      <c r="H511" s="16" t="str">
        <f>IF(Tabla1[[#This Row],[ID]]="","",VLOOKUP(Tabla1[[#This Row],[ID]],Tabla7[],4,FALSE))</f>
        <v>iso-alkane</v>
      </c>
      <c r="I511" s="16">
        <f>IF(Tabla1[[#This Row],[ID]]="","",VLOOKUP(Tabla1[[#This Row],[ID]],Tabla1[],4,FALSE))</f>
        <v>10.774077332371872</v>
      </c>
      <c r="J511" s="16">
        <f>Tabla1[[#This Row],[CN Literatura]]-Tabla1[[#This Row],[CN Predicted]]</f>
        <v>5.1715571195384982</v>
      </c>
    </row>
    <row r="512" spans="1:10" x14ac:dyDescent="0.25">
      <c r="A512" s="1">
        <f>Desgloce!A511</f>
        <v>522</v>
      </c>
      <c r="B512" s="14">
        <f>VLOOKUP(Tabla1[[#This Row],[No]],Tabla7[],7,FALSE)</f>
        <v>48.7</v>
      </c>
      <c r="C512" s="24">
        <v>49.689851080080203</v>
      </c>
      <c r="D512" s="15">
        <f>(B512-C512)/B512*100</f>
        <v>-2.032548419055852</v>
      </c>
      <c r="E512" s="16" t="str">
        <f>IF(Tabla1[[#This Row],[% Error1]]&gt;$E$1,Tabla1[[#This Row],[No]],IF(Tabla1[[#This Row],[% Error1]]&lt;-$E$1,Tabla1[[#This Row],[No]],""))</f>
        <v/>
      </c>
      <c r="F512" s="16" t="str">
        <f>IF(Tabla1[[#This Row],[ID]]="","",VLOOKUP(Tabla1[[#This Row],[ID]],Tabla7[],2,FALSE))</f>
        <v/>
      </c>
      <c r="G512" s="14" t="str">
        <f>IF(Tabla1[[#This Row],[ID]]="","",VLOOKUP(Tabla1[[#This Row],[ID]],Tabla7[],36,FALSE))</f>
        <v/>
      </c>
      <c r="H512" s="16" t="str">
        <f>IF(Tabla1[[#This Row],[ID]]="","",VLOOKUP(Tabla1[[#This Row],[ID]],Tabla7[],4,FALSE))</f>
        <v/>
      </c>
      <c r="I512" s="16" t="str">
        <f>IF(Tabla1[[#This Row],[ID]]="","",VLOOKUP(Tabla1[[#This Row],[ID]],Tabla1[],4,FALSE))</f>
        <v/>
      </c>
      <c r="J512" s="16">
        <f>Tabla1[[#This Row],[CN Literatura]]-Tabla1[[#This Row],[CN Predicted]]</f>
        <v>-0.98985108008020006</v>
      </c>
    </row>
    <row r="513" spans="1:10" x14ac:dyDescent="0.25">
      <c r="A513" s="1">
        <f>Desgloce!A512</f>
        <v>523</v>
      </c>
      <c r="B513" s="14">
        <f>VLOOKUP(Tabla1[[#This Row],[No]],Tabla7[],7,FALSE)</f>
        <v>49</v>
      </c>
      <c r="C513" s="24">
        <v>49.689851080080203</v>
      </c>
      <c r="D513" s="15">
        <f>(B513-C513)/B513*100</f>
        <v>-1.407859347102455</v>
      </c>
      <c r="E513" s="16" t="str">
        <f>IF(Tabla1[[#This Row],[% Error1]]&gt;$E$1,Tabla1[[#This Row],[No]],IF(Tabla1[[#This Row],[% Error1]]&lt;-$E$1,Tabla1[[#This Row],[No]],""))</f>
        <v/>
      </c>
      <c r="F513" s="16" t="str">
        <f>IF(Tabla1[[#This Row],[ID]]="","",VLOOKUP(Tabla1[[#This Row],[ID]],Tabla7[],2,FALSE))</f>
        <v/>
      </c>
      <c r="G513" s="14" t="str">
        <f>IF(Tabla1[[#This Row],[ID]]="","",VLOOKUP(Tabla1[[#This Row],[ID]],Tabla7[],36,FALSE))</f>
        <v/>
      </c>
      <c r="H513" s="16" t="str">
        <f>IF(Tabla1[[#This Row],[ID]]="","",VLOOKUP(Tabla1[[#This Row],[ID]],Tabla7[],4,FALSE))</f>
        <v/>
      </c>
      <c r="I513" s="24" t="str">
        <f>IF(Tabla1[[#This Row],[ID]]="","",VLOOKUP(Tabla1[[#This Row],[ID]],Tabla1[],4,FALSE))</f>
        <v/>
      </c>
      <c r="J513" s="16">
        <f>Tabla1[[#This Row],[CN Literatura]]-Tabla1[[#This Row],[CN Predicted]]</f>
        <v>-0.68985108008020291</v>
      </c>
    </row>
    <row r="514" spans="1:10" x14ac:dyDescent="0.25">
      <c r="A514" s="1">
        <f>Desgloce!A513</f>
        <v>524</v>
      </c>
      <c r="B514" s="14">
        <f>VLOOKUP(Tabla1[[#This Row],[No]],Tabla7[],7,FALSE)</f>
        <v>49</v>
      </c>
      <c r="C514" s="24">
        <v>51.355163849122803</v>
      </c>
      <c r="D514" s="15">
        <f>(B514-C514)/B514*100</f>
        <v>-4.8064568349444965</v>
      </c>
      <c r="E514" s="16" t="str">
        <f>IF(Tabla1[[#This Row],[% Error1]]&gt;$E$1,Tabla1[[#This Row],[No]],IF(Tabla1[[#This Row],[% Error1]]&lt;-$E$1,Tabla1[[#This Row],[No]],""))</f>
        <v/>
      </c>
      <c r="F514" s="16" t="str">
        <f>IF(Tabla1[[#This Row],[ID]]="","",VLOOKUP(Tabla1[[#This Row],[ID]],Tabla7[],2,FALSE))</f>
        <v/>
      </c>
      <c r="G514" s="14" t="str">
        <f>IF(Tabla1[[#This Row],[ID]]="","",VLOOKUP(Tabla1[[#This Row],[ID]],Tabla7[],36,FALSE))</f>
        <v/>
      </c>
      <c r="H514" s="16" t="str">
        <f>IF(Tabla1[[#This Row],[ID]]="","",VLOOKUP(Tabla1[[#This Row],[ID]],Tabla7[],4,FALSE))</f>
        <v/>
      </c>
      <c r="I514" s="24" t="str">
        <f>IF(Tabla1[[#This Row],[ID]]="","",VLOOKUP(Tabla1[[#This Row],[ID]],Tabla1[],4,FALSE))</f>
        <v/>
      </c>
      <c r="J514" s="16">
        <f>Tabla1[[#This Row],[CN Literatura]]-Tabla1[[#This Row],[CN Predicted]]</f>
        <v>-2.3551638491228033</v>
      </c>
    </row>
    <row r="515" spans="1:10" x14ac:dyDescent="0.25">
      <c r="A515" s="1">
        <f>Desgloce!A514</f>
        <v>527</v>
      </c>
      <c r="B515" s="14">
        <f>VLOOKUP(Tabla1[[#This Row],[No]],Tabla7[],7,FALSE)</f>
        <v>49</v>
      </c>
      <c r="C515" s="24">
        <v>54.921813539281104</v>
      </c>
      <c r="D515" s="15">
        <f>(B515-C515)/B515*100</f>
        <v>-12.085333753634906</v>
      </c>
      <c r="E515" s="16">
        <f>IF(Tabla1[[#This Row],[% Error1]]&gt;$E$1,Tabla1[[#This Row],[No]],IF(Tabla1[[#This Row],[% Error1]]&lt;-$E$1,Tabla1[[#This Row],[No]],""))</f>
        <v>527</v>
      </c>
      <c r="F515" s="16" t="str">
        <f>IF(Tabla1[[#This Row],[ID]]="","",VLOOKUP(Tabla1[[#This Row],[ID]],Tabla7[],2,FALSE))</f>
        <v>CCCCCC(CCCCC)=O</v>
      </c>
      <c r="G515" s="14" t="str">
        <f>IF(Tabla1[[#This Row],[ID]]="","",VLOOKUP(Tabla1[[#This Row],[ID]],Tabla7[],36,FALSE))</f>
        <v>Training</v>
      </c>
      <c r="H515" s="16" t="str">
        <f>IF(Tabla1[[#This Row],[ID]]="","",VLOOKUP(Tabla1[[#This Row],[ID]],Tabla7[],4,FALSE))</f>
        <v>Ketone</v>
      </c>
      <c r="I515" s="16">
        <f>IF(Tabla1[[#This Row],[ID]]="","",VLOOKUP(Tabla1[[#This Row],[ID]],Tabla1[],4,FALSE))</f>
        <v>-12.085333753634906</v>
      </c>
      <c r="J515" s="16">
        <f>Tabla1[[#This Row],[CN Literatura]]-Tabla1[[#This Row],[CN Predicted]]</f>
        <v>-5.9218135392811035</v>
      </c>
    </row>
    <row r="516" spans="1:10" x14ac:dyDescent="0.25">
      <c r="A516" s="1">
        <f>Desgloce!A515</f>
        <v>528</v>
      </c>
      <c r="B516" s="14">
        <f>VLOOKUP(Tabla1[[#This Row],[No]],Tabla7[],7,FALSE)</f>
        <v>49.1</v>
      </c>
      <c r="C516" s="24">
        <v>44.467895649432897</v>
      </c>
      <c r="D516" s="15">
        <f>(B516-C516)/B516*100</f>
        <v>9.4340210805847331</v>
      </c>
      <c r="E516" s="16" t="str">
        <f>IF(Tabla1[[#This Row],[% Error1]]&gt;$E$1,Tabla1[[#This Row],[No]],IF(Tabla1[[#This Row],[% Error1]]&lt;-$E$1,Tabla1[[#This Row],[No]],""))</f>
        <v/>
      </c>
      <c r="F516" s="16" t="str">
        <f>IF(Tabla1[[#This Row],[ID]]="","",VLOOKUP(Tabla1[[#This Row],[ID]],Tabla7[],2,FALSE))</f>
        <v/>
      </c>
      <c r="G516" s="14" t="str">
        <f>IF(Tabla1[[#This Row],[ID]]="","",VLOOKUP(Tabla1[[#This Row],[ID]],Tabla7[],36,FALSE))</f>
        <v/>
      </c>
      <c r="H516" s="16" t="str">
        <f>IF(Tabla1[[#This Row],[ID]]="","",VLOOKUP(Tabla1[[#This Row],[ID]],Tabla7[],4,FALSE))</f>
        <v/>
      </c>
      <c r="I516" s="16" t="str">
        <f>IF(Tabla1[[#This Row],[ID]]="","",VLOOKUP(Tabla1[[#This Row],[ID]],Tabla1[],4,FALSE))</f>
        <v/>
      </c>
      <c r="J516" s="16">
        <f>Tabla1[[#This Row],[CN Literatura]]-Tabla1[[#This Row],[CN Predicted]]</f>
        <v>4.6321043505671042</v>
      </c>
    </row>
    <row r="517" spans="1:10" x14ac:dyDescent="0.25">
      <c r="A517" s="1">
        <f>Desgloce!A516</f>
        <v>529</v>
      </c>
      <c r="B517" s="14">
        <f>VLOOKUP(Tabla1[[#This Row],[No]],Tabla7[],7,FALSE)</f>
        <v>49.1</v>
      </c>
      <c r="C517" s="24">
        <v>46.283701845001197</v>
      </c>
      <c r="D517" s="15">
        <f>(B517-C517)/B517*100</f>
        <v>5.7358414562093776</v>
      </c>
      <c r="E517" s="16" t="str">
        <f>IF(Tabla1[[#This Row],[% Error1]]&gt;$E$1,Tabla1[[#This Row],[No]],IF(Tabla1[[#This Row],[% Error1]]&lt;-$E$1,Tabla1[[#This Row],[No]],""))</f>
        <v/>
      </c>
      <c r="F517" s="16" t="str">
        <f>IF(Tabla1[[#This Row],[ID]]="","",VLOOKUP(Tabla1[[#This Row],[ID]],Tabla7[],2,FALSE))</f>
        <v/>
      </c>
      <c r="G517" s="14" t="str">
        <f>IF(Tabla1[[#This Row],[ID]]="","",VLOOKUP(Tabla1[[#This Row],[ID]],Tabla7[],36,FALSE))</f>
        <v/>
      </c>
      <c r="H517" s="16" t="str">
        <f>IF(Tabla1[[#This Row],[ID]]="","",VLOOKUP(Tabla1[[#This Row],[ID]],Tabla7[],4,FALSE))</f>
        <v/>
      </c>
      <c r="I517" s="16" t="str">
        <f>IF(Tabla1[[#This Row],[ID]]="","",VLOOKUP(Tabla1[[#This Row],[ID]],Tabla1[],4,FALSE))</f>
        <v/>
      </c>
      <c r="J517" s="16">
        <f>Tabla1[[#This Row],[CN Literatura]]-Tabla1[[#This Row],[CN Predicted]]</f>
        <v>2.8162981549988046</v>
      </c>
    </row>
    <row r="518" spans="1:10" x14ac:dyDescent="0.25">
      <c r="A518" s="1">
        <f>Desgloce!A517</f>
        <v>530</v>
      </c>
      <c r="B518" s="14">
        <f>VLOOKUP(Tabla1[[#This Row],[No]],Tabla7[],7,FALSE)</f>
        <v>50</v>
      </c>
      <c r="C518" s="24">
        <v>46.152943387392597</v>
      </c>
      <c r="D518" s="15">
        <f>(B518-C518)/B518*100</f>
        <v>7.6941132252148066</v>
      </c>
      <c r="E518" s="16" t="str">
        <f>IF(Tabla1[[#This Row],[% Error1]]&gt;$E$1,Tabla1[[#This Row],[No]],IF(Tabla1[[#This Row],[% Error1]]&lt;-$E$1,Tabla1[[#This Row],[No]],""))</f>
        <v/>
      </c>
      <c r="F518" s="16" t="str">
        <f>IF(Tabla1[[#This Row],[ID]]="","",VLOOKUP(Tabla1[[#This Row],[ID]],Tabla7[],2,FALSE))</f>
        <v/>
      </c>
      <c r="G518" s="14" t="str">
        <f>IF(Tabla1[[#This Row],[ID]]="","",VLOOKUP(Tabla1[[#This Row],[ID]],Tabla7[],36,FALSE))</f>
        <v/>
      </c>
      <c r="H518" s="16" t="str">
        <f>IF(Tabla1[[#This Row],[ID]]="","",VLOOKUP(Tabla1[[#This Row],[ID]],Tabla7[],4,FALSE))</f>
        <v/>
      </c>
      <c r="I518" s="24" t="str">
        <f>IF(Tabla1[[#This Row],[ID]]="","",VLOOKUP(Tabla1[[#This Row],[ID]],Tabla1[],4,FALSE))</f>
        <v/>
      </c>
      <c r="J518" s="16">
        <f>Tabla1[[#This Row],[CN Literatura]]-Tabla1[[#This Row],[CN Predicted]]</f>
        <v>3.8470566126074033</v>
      </c>
    </row>
    <row r="519" spans="1:10" x14ac:dyDescent="0.25">
      <c r="A519" s="1">
        <f>Desgloce!A518</f>
        <v>531</v>
      </c>
      <c r="B519" s="14">
        <f>VLOOKUP(Tabla1[[#This Row],[No]],Tabla7[],7,FALSE)</f>
        <v>50</v>
      </c>
      <c r="C519" s="24">
        <v>43.472932646481297</v>
      </c>
      <c r="D519" s="15">
        <f>(B519-C519)/B519*100</f>
        <v>13.054134707037408</v>
      </c>
      <c r="E519" s="16">
        <f>IF(Tabla1[[#This Row],[% Error1]]&gt;$E$1,Tabla1[[#This Row],[No]],IF(Tabla1[[#This Row],[% Error1]]&lt;-$E$1,Tabla1[[#This Row],[No]],""))</f>
        <v>531</v>
      </c>
      <c r="F519" s="16" t="str">
        <f>IF(Tabla1[[#This Row],[ID]]="","",VLOOKUP(Tabla1[[#This Row],[ID]],Tabla7[],2,FALSE))</f>
        <v>C(CCCCCCCC)C1=CC=CC=C1</v>
      </c>
      <c r="G519" s="14" t="str">
        <f>IF(Tabla1[[#This Row],[ID]]="","",VLOOKUP(Tabla1[[#This Row],[ID]],Tabla7[],36,FALSE))</f>
        <v>Training</v>
      </c>
      <c r="H519" s="16" t="str">
        <f>IF(Tabla1[[#This Row],[ID]]="","",VLOOKUP(Tabla1[[#This Row],[ID]],Tabla7[],4,FALSE))</f>
        <v>Aromatic</v>
      </c>
      <c r="I519" s="24">
        <f>IF(Tabla1[[#This Row],[ID]]="","",VLOOKUP(Tabla1[[#This Row],[ID]],Tabla1[],4,FALSE))</f>
        <v>13.054134707037408</v>
      </c>
      <c r="J519" s="16">
        <f>Tabla1[[#This Row],[CN Literatura]]-Tabla1[[#This Row],[CN Predicted]]</f>
        <v>6.5270673535187029</v>
      </c>
    </row>
    <row r="520" spans="1:10" x14ac:dyDescent="0.25">
      <c r="A520" s="1">
        <f>Desgloce!A519</f>
        <v>532</v>
      </c>
      <c r="B520" s="14">
        <f>VLOOKUP(Tabla1[[#This Row],[No]],Tabla7[],7,FALSE)</f>
        <v>50</v>
      </c>
      <c r="C520" s="24">
        <v>49.4450497792715</v>
      </c>
      <c r="D520" s="15">
        <f>(B520-C520)/B520*100</f>
        <v>1.1099004414570004</v>
      </c>
      <c r="E520" s="16" t="str">
        <f>IF(Tabla1[[#This Row],[% Error1]]&gt;$E$1,Tabla1[[#This Row],[No]],IF(Tabla1[[#This Row],[% Error1]]&lt;-$E$1,Tabla1[[#This Row],[No]],""))</f>
        <v/>
      </c>
      <c r="F520" s="16" t="str">
        <f>IF(Tabla1[[#This Row],[ID]]="","",VLOOKUP(Tabla1[[#This Row],[ID]],Tabla7[],2,FALSE))</f>
        <v/>
      </c>
      <c r="G520" s="14" t="str">
        <f>IF(Tabla1[[#This Row],[ID]]="","",VLOOKUP(Tabla1[[#This Row],[ID]],Tabla7[],36,FALSE))</f>
        <v/>
      </c>
      <c r="H520" s="16" t="str">
        <f>IF(Tabla1[[#This Row],[ID]]="","",VLOOKUP(Tabla1[[#This Row],[ID]],Tabla7[],4,FALSE))</f>
        <v/>
      </c>
      <c r="I520" s="16" t="str">
        <f>IF(Tabla1[[#This Row],[ID]]="","",VLOOKUP(Tabla1[[#This Row],[ID]],Tabla1[],4,FALSE))</f>
        <v/>
      </c>
      <c r="J520" s="16">
        <f>Tabla1[[#This Row],[CN Literatura]]-Tabla1[[#This Row],[CN Predicted]]</f>
        <v>0.5549502207285002</v>
      </c>
    </row>
    <row r="521" spans="1:10" x14ac:dyDescent="0.25">
      <c r="A521" s="1">
        <f>Desgloce!A520</f>
        <v>533</v>
      </c>
      <c r="B521" s="14">
        <f>VLOOKUP(Tabla1[[#This Row],[No]],Tabla7[],7,FALSE)</f>
        <v>50.3</v>
      </c>
      <c r="C521" s="24">
        <v>49.4450497792715</v>
      </c>
      <c r="D521" s="15">
        <f>(B521-C521)/B521*100</f>
        <v>1.6997022280884639</v>
      </c>
      <c r="E521" s="16" t="str">
        <f>IF(Tabla1[[#This Row],[% Error1]]&gt;$E$1,Tabla1[[#This Row],[No]],IF(Tabla1[[#This Row],[% Error1]]&lt;-$E$1,Tabla1[[#This Row],[No]],""))</f>
        <v/>
      </c>
      <c r="F521" s="16" t="str">
        <f>IF(Tabla1[[#This Row],[ID]]="","",VLOOKUP(Tabla1[[#This Row],[ID]],Tabla7[],2,FALSE))</f>
        <v/>
      </c>
      <c r="G521" s="14" t="str">
        <f>IF(Tabla1[[#This Row],[ID]]="","",VLOOKUP(Tabla1[[#This Row],[ID]],Tabla7[],36,FALSE))</f>
        <v/>
      </c>
      <c r="H521" s="16" t="str">
        <f>IF(Tabla1[[#This Row],[ID]]="","",VLOOKUP(Tabla1[[#This Row],[ID]],Tabla7[],4,FALSE))</f>
        <v/>
      </c>
      <c r="I521" s="16" t="str">
        <f>IF(Tabla1[[#This Row],[ID]]="","",VLOOKUP(Tabla1[[#This Row],[ID]],Tabla1[],4,FALSE))</f>
        <v/>
      </c>
      <c r="J521" s="16">
        <f>Tabla1[[#This Row],[CN Literatura]]-Tabla1[[#This Row],[CN Predicted]]</f>
        <v>0.85495022072849736</v>
      </c>
    </row>
    <row r="522" spans="1:10" x14ac:dyDescent="0.25">
      <c r="A522" s="1">
        <f>Desgloce!A521</f>
        <v>534</v>
      </c>
      <c r="B522" s="14">
        <f>VLOOKUP(Tabla1[[#This Row],[No]],Tabla7[],7,FALSE)</f>
        <v>50.3</v>
      </c>
      <c r="C522" s="24">
        <v>54.555935828279203</v>
      </c>
      <c r="D522" s="15">
        <f>(B522-C522)/B522*100</f>
        <v>-8.4611050264000127</v>
      </c>
      <c r="E522" s="16" t="str">
        <f>IF(Tabla1[[#This Row],[% Error1]]&gt;$E$1,Tabla1[[#This Row],[No]],IF(Tabla1[[#This Row],[% Error1]]&lt;-$E$1,Tabla1[[#This Row],[No]],""))</f>
        <v/>
      </c>
      <c r="F522" s="16" t="str">
        <f>IF(Tabla1[[#This Row],[ID]]="","",VLOOKUP(Tabla1[[#This Row],[ID]],Tabla7[],2,FALSE))</f>
        <v/>
      </c>
      <c r="G522" s="14" t="str">
        <f>IF(Tabla1[[#This Row],[ID]]="","",VLOOKUP(Tabla1[[#This Row],[ID]],Tabla7[],36,FALSE))</f>
        <v/>
      </c>
      <c r="H522" s="16" t="str">
        <f>IF(Tabla1[[#This Row],[ID]]="","",VLOOKUP(Tabla1[[#This Row],[ID]],Tabla7[],4,FALSE))</f>
        <v/>
      </c>
      <c r="I522" s="16" t="str">
        <f>IF(Tabla1[[#This Row],[ID]]="","",VLOOKUP(Tabla1[[#This Row],[ID]],Tabla1[],4,FALSE))</f>
        <v/>
      </c>
      <c r="J522" s="16">
        <f>Tabla1[[#This Row],[CN Literatura]]-Tabla1[[#This Row],[CN Predicted]]</f>
        <v>-4.2559358282792061</v>
      </c>
    </row>
    <row r="523" spans="1:10" x14ac:dyDescent="0.25">
      <c r="A523" s="1">
        <f>Desgloce!A522</f>
        <v>535</v>
      </c>
      <c r="B523" s="14">
        <f>VLOOKUP(Tabla1[[#This Row],[No]],Tabla7[],7,FALSE)</f>
        <v>51</v>
      </c>
      <c r="C523" s="24">
        <v>36.544959182136203</v>
      </c>
      <c r="D523" s="15">
        <f>(B523-C523)/B523*100</f>
        <v>28.343217289929012</v>
      </c>
      <c r="E523" s="16">
        <f>IF(Tabla1[[#This Row],[% Error1]]&gt;$E$1,Tabla1[[#This Row],[No]],IF(Tabla1[[#This Row],[% Error1]]&lt;-$E$1,Tabla1[[#This Row],[No]],""))</f>
        <v>535</v>
      </c>
      <c r="F523" s="16" t="str">
        <f>IF(Tabla1[[#This Row],[ID]]="","",VLOOKUP(Tabla1[[#This Row],[ID]],Tabla7[],2,FALSE))</f>
        <v>CCCCCCCC/C=C\CCCCCCCCO</v>
      </c>
      <c r="G523" s="14" t="str">
        <f>IF(Tabla1[[#This Row],[ID]]="","",VLOOKUP(Tabla1[[#This Row],[ID]],Tabla7[],36,FALSE))</f>
        <v>Training</v>
      </c>
      <c r="H523" s="16" t="str">
        <f>IF(Tabla1[[#This Row],[ID]]="","",VLOOKUP(Tabla1[[#This Row],[ID]],Tabla7[],4,FALSE))</f>
        <v>Alcohol</v>
      </c>
      <c r="I523" s="16">
        <f>IF(Tabla1[[#This Row],[ID]]="","",VLOOKUP(Tabla1[[#This Row],[ID]],Tabla1[],4,FALSE))</f>
        <v>28.343217289929012</v>
      </c>
      <c r="J523" s="16">
        <f>Tabla1[[#This Row],[CN Literatura]]-Tabla1[[#This Row],[CN Predicted]]</f>
        <v>14.455040817863797</v>
      </c>
    </row>
    <row r="524" spans="1:10" x14ac:dyDescent="0.25">
      <c r="A524" s="1">
        <f>Desgloce!A523</f>
        <v>537</v>
      </c>
      <c r="B524" s="14">
        <f>VLOOKUP(Tabla1[[#This Row],[No]],Tabla7[],7,FALSE)</f>
        <v>51</v>
      </c>
      <c r="C524" s="24">
        <v>37.850522103213898</v>
      </c>
      <c r="D524" s="15">
        <f>(B524-C524)/B524*100</f>
        <v>25.78328999369824</v>
      </c>
      <c r="E524" s="16">
        <f>IF(Tabla1[[#This Row],[% Error1]]&gt;$E$1,Tabla1[[#This Row],[No]],IF(Tabla1[[#This Row],[% Error1]]&lt;-$E$1,Tabla1[[#This Row],[No]],""))</f>
        <v>537</v>
      </c>
      <c r="F524" s="16" t="str">
        <f>IF(Tabla1[[#This Row],[ID]]="","",VLOOKUP(Tabla1[[#This Row],[ID]],Tabla7[],2,FALSE))</f>
        <v>CC(C)CCCC(=C)C</v>
      </c>
      <c r="G524" s="14" t="str">
        <f>IF(Tabla1[[#This Row],[ID]]="","",VLOOKUP(Tabla1[[#This Row],[ID]],Tabla7[],36,FALSE))</f>
        <v>Training</v>
      </c>
      <c r="H524" s="16" t="str">
        <f>IF(Tabla1[[#This Row],[ID]]="","",VLOOKUP(Tabla1[[#This Row],[ID]],Tabla7[],4,FALSE))</f>
        <v>Alkene</v>
      </c>
      <c r="I524" s="16">
        <f>IF(Tabla1[[#This Row],[ID]]="","",VLOOKUP(Tabla1[[#This Row],[ID]],Tabla1[],4,FALSE))</f>
        <v>25.78328999369824</v>
      </c>
      <c r="J524" s="16">
        <f>Tabla1[[#This Row],[CN Literatura]]-Tabla1[[#This Row],[CN Predicted]]</f>
        <v>13.149477896786102</v>
      </c>
    </row>
    <row r="525" spans="1:10" x14ac:dyDescent="0.25">
      <c r="A525" s="1">
        <f>Desgloce!A524</f>
        <v>540</v>
      </c>
      <c r="B525" s="14">
        <f>VLOOKUP(Tabla1[[#This Row],[No]],Tabla7[],7,FALSE)</f>
        <v>51</v>
      </c>
      <c r="C525" s="24">
        <v>40.123390564611697</v>
      </c>
      <c r="D525" s="15">
        <f>(B525-C525)/B525*100</f>
        <v>21.326685167428046</v>
      </c>
      <c r="E525" s="16">
        <f>IF(Tabla1[[#This Row],[% Error1]]&gt;$E$1,Tabla1[[#This Row],[No]],IF(Tabla1[[#This Row],[% Error1]]&lt;-$E$1,Tabla1[[#This Row],[No]],""))</f>
        <v>540</v>
      </c>
      <c r="F525" s="16" t="str">
        <f>IF(Tabla1[[#This Row],[ID]]="","",VLOOKUP(Tabla1[[#This Row],[ID]],Tabla7[],2,FALSE))</f>
        <v>CC(=C)CCCC(C)C</v>
      </c>
      <c r="G525" s="14" t="str">
        <f>IF(Tabla1[[#This Row],[ID]]="","",VLOOKUP(Tabla1[[#This Row],[ID]],Tabla7[],36,FALSE))</f>
        <v>Training</v>
      </c>
      <c r="H525" s="16" t="str">
        <f>IF(Tabla1[[#This Row],[ID]]="","",VLOOKUP(Tabla1[[#This Row],[ID]],Tabla7[],4,FALSE))</f>
        <v>Alkene</v>
      </c>
      <c r="I525" s="16">
        <f>IF(Tabla1[[#This Row],[ID]]="","",VLOOKUP(Tabla1[[#This Row],[ID]],Tabla1[],4,FALSE))</f>
        <v>21.326685167428046</v>
      </c>
      <c r="J525" s="16">
        <f>Tabla1[[#This Row],[CN Literatura]]-Tabla1[[#This Row],[CN Predicted]]</f>
        <v>10.876609435388303</v>
      </c>
    </row>
    <row r="526" spans="1:10" x14ac:dyDescent="0.25">
      <c r="A526" s="1">
        <f>Desgloce!A525</f>
        <v>542</v>
      </c>
      <c r="B526" s="14">
        <f>VLOOKUP(Tabla1[[#This Row],[No]],Tabla7[],7,FALSE)</f>
        <v>51</v>
      </c>
      <c r="C526" s="24">
        <v>50.715697815863003</v>
      </c>
      <c r="D526" s="15">
        <f>(B526-C526)/B526*100</f>
        <v>0.5574552630137205</v>
      </c>
      <c r="E526" s="16" t="str">
        <f>IF(Tabla1[[#This Row],[% Error1]]&gt;$E$1,Tabla1[[#This Row],[No]],IF(Tabla1[[#This Row],[% Error1]]&lt;-$E$1,Tabla1[[#This Row],[No]],""))</f>
        <v/>
      </c>
      <c r="F526" s="16" t="str">
        <f>IF(Tabla1[[#This Row],[ID]]="","",VLOOKUP(Tabla1[[#This Row],[ID]],Tabla7[],2,FALSE))</f>
        <v/>
      </c>
      <c r="G526" s="14" t="str">
        <f>IF(Tabla1[[#This Row],[ID]]="","",VLOOKUP(Tabla1[[#This Row],[ID]],Tabla7[],36,FALSE))</f>
        <v/>
      </c>
      <c r="H526" s="16" t="str">
        <f>IF(Tabla1[[#This Row],[ID]]="","",VLOOKUP(Tabla1[[#This Row],[ID]],Tabla7[],4,FALSE))</f>
        <v/>
      </c>
      <c r="I526" s="24" t="str">
        <f>IF(Tabla1[[#This Row],[ID]]="","",VLOOKUP(Tabla1[[#This Row],[ID]],Tabla1[],4,FALSE))</f>
        <v/>
      </c>
      <c r="J526" s="16">
        <f>Tabla1[[#This Row],[CN Literatura]]-Tabla1[[#This Row],[CN Predicted]]</f>
        <v>0.28430218413699748</v>
      </c>
    </row>
    <row r="527" spans="1:10" x14ac:dyDescent="0.25">
      <c r="A527" s="1">
        <f>Desgloce!A526</f>
        <v>545</v>
      </c>
      <c r="B527" s="14">
        <f>VLOOKUP(Tabla1[[#This Row],[No]],Tabla7[],7,FALSE)</f>
        <v>51</v>
      </c>
      <c r="C527" s="24">
        <v>50.668087846545497</v>
      </c>
      <c r="D527" s="15">
        <f>(B527-C527)/B527*100</f>
        <v>0.6508081440284379</v>
      </c>
      <c r="E527" s="16" t="str">
        <f>IF(Tabla1[[#This Row],[% Error1]]&gt;$E$1,Tabla1[[#This Row],[No]],IF(Tabla1[[#This Row],[% Error1]]&lt;-$E$1,Tabla1[[#This Row],[No]],""))</f>
        <v/>
      </c>
      <c r="F527" s="16" t="str">
        <f>IF(Tabla1[[#This Row],[ID]]="","",VLOOKUP(Tabla1[[#This Row],[ID]],Tabla7[],2,FALSE))</f>
        <v/>
      </c>
      <c r="G527" s="14" t="str">
        <f>IF(Tabla1[[#This Row],[ID]]="","",VLOOKUP(Tabla1[[#This Row],[ID]],Tabla7[],36,FALSE))</f>
        <v/>
      </c>
      <c r="H527" s="16" t="str">
        <f>IF(Tabla1[[#This Row],[ID]]="","",VLOOKUP(Tabla1[[#This Row],[ID]],Tabla7[],4,FALSE))</f>
        <v/>
      </c>
      <c r="I527" s="16" t="str">
        <f>IF(Tabla1[[#This Row],[ID]]="","",VLOOKUP(Tabla1[[#This Row],[ID]],Tabla1[],4,FALSE))</f>
        <v/>
      </c>
      <c r="J527" s="16">
        <f>Tabla1[[#This Row],[CN Literatura]]-Tabla1[[#This Row],[CN Predicted]]</f>
        <v>0.33191215345450331</v>
      </c>
    </row>
    <row r="528" spans="1:10" x14ac:dyDescent="0.25">
      <c r="A528" s="1">
        <f>Desgloce!A527</f>
        <v>546</v>
      </c>
      <c r="B528" s="14">
        <f>VLOOKUP(Tabla1[[#This Row],[No]],Tabla7[],7,FALSE)</f>
        <v>51</v>
      </c>
      <c r="C528" s="24">
        <v>54.555935828279203</v>
      </c>
      <c r="D528" s="15">
        <f>(B528-C528)/B528*100</f>
        <v>-6.9724231927043201</v>
      </c>
      <c r="E528" s="16" t="str">
        <f>IF(Tabla1[[#This Row],[% Error1]]&gt;$E$1,Tabla1[[#This Row],[No]],IF(Tabla1[[#This Row],[% Error1]]&lt;-$E$1,Tabla1[[#This Row],[No]],""))</f>
        <v/>
      </c>
      <c r="F528" s="16" t="str">
        <f>IF(Tabla1[[#This Row],[ID]]="","",VLOOKUP(Tabla1[[#This Row],[ID]],Tabla7[],2,FALSE))</f>
        <v/>
      </c>
      <c r="G528" s="14" t="str">
        <f>IF(Tabla1[[#This Row],[ID]]="","",VLOOKUP(Tabla1[[#This Row],[ID]],Tabla7[],36,FALSE))</f>
        <v/>
      </c>
      <c r="H528" s="16" t="str">
        <f>IF(Tabla1[[#This Row],[ID]]="","",VLOOKUP(Tabla1[[#This Row],[ID]],Tabla7[],4,FALSE))</f>
        <v/>
      </c>
      <c r="I528" s="16" t="str">
        <f>IF(Tabla1[[#This Row],[ID]]="","",VLOOKUP(Tabla1[[#This Row],[ID]],Tabla1[],4,FALSE))</f>
        <v/>
      </c>
      <c r="J528" s="16">
        <f>Tabla1[[#This Row],[CN Literatura]]-Tabla1[[#This Row],[CN Predicted]]</f>
        <v>-3.5559358282792033</v>
      </c>
    </row>
    <row r="529" spans="1:10" x14ac:dyDescent="0.25">
      <c r="A529" s="1">
        <f>Desgloce!A528</f>
        <v>547</v>
      </c>
      <c r="B529" s="14">
        <f>VLOOKUP(Tabla1[[#This Row],[No]],Tabla7[],7,FALSE)</f>
        <v>51</v>
      </c>
      <c r="C529" s="24">
        <v>32.4799354001658</v>
      </c>
      <c r="D529" s="15">
        <f>(B529-C529)/B529*100</f>
        <v>36.313852156537649</v>
      </c>
      <c r="E529" s="16">
        <f>IF(Tabla1[[#This Row],[% Error1]]&gt;$E$1,Tabla1[[#This Row],[No]],IF(Tabla1[[#This Row],[% Error1]]&lt;-$E$1,Tabla1[[#This Row],[No]],""))</f>
        <v>547</v>
      </c>
      <c r="F529" s="16" t="str">
        <f>IF(Tabla1[[#This Row],[ID]]="","",VLOOKUP(Tabla1[[#This Row],[ID]],Tabla7[],2,FALSE))</f>
        <v>CCCCCCCCC=CCCCCCCCCO</v>
      </c>
      <c r="G529" s="14" t="str">
        <f>IF(Tabla1[[#This Row],[ID]]="","",VLOOKUP(Tabla1[[#This Row],[ID]],Tabla7[],36,FALSE))</f>
        <v>Training</v>
      </c>
      <c r="H529" s="16" t="str">
        <f>IF(Tabla1[[#This Row],[ID]]="","",VLOOKUP(Tabla1[[#This Row],[ID]],Tabla7[],4,FALSE))</f>
        <v>Polyfunctional</v>
      </c>
      <c r="I529" s="16">
        <f>IF(Tabla1[[#This Row],[ID]]="","",VLOOKUP(Tabla1[[#This Row],[ID]],Tabla1[],4,FALSE))</f>
        <v>36.313852156537649</v>
      </c>
      <c r="J529" s="16">
        <f>Tabla1[[#This Row],[CN Literatura]]-Tabla1[[#This Row],[CN Predicted]]</f>
        <v>18.5200645998342</v>
      </c>
    </row>
    <row r="530" spans="1:10" x14ac:dyDescent="0.25">
      <c r="A530" s="1">
        <f>Desgloce!A529</f>
        <v>549</v>
      </c>
      <c r="B530" s="14">
        <f>VLOOKUP(Tabla1[[#This Row],[No]],Tabla7[],7,FALSE)</f>
        <v>51.7</v>
      </c>
      <c r="C530" s="24">
        <v>44.778134458867399</v>
      </c>
      <c r="D530" s="15">
        <f>(B530-C530)/B530*100</f>
        <v>13.388521356155906</v>
      </c>
      <c r="E530" s="16">
        <f>IF(Tabla1[[#This Row],[% Error1]]&gt;$E$1,Tabla1[[#This Row],[No]],IF(Tabla1[[#This Row],[% Error1]]&lt;-$E$1,Tabla1[[#This Row],[No]],""))</f>
        <v>549</v>
      </c>
      <c r="F530" s="16" t="str">
        <f>IF(Tabla1[[#This Row],[ID]]="","",VLOOKUP(Tabla1[[#This Row],[ID]],Tabla7[],2,FALSE))</f>
        <v>CCC(C)CCCC(C)C</v>
      </c>
      <c r="G530" s="14" t="str">
        <f>IF(Tabla1[[#This Row],[ID]]="","",VLOOKUP(Tabla1[[#This Row],[ID]],Tabla7[],36,FALSE))</f>
        <v>Training</v>
      </c>
      <c r="H530" s="16" t="str">
        <f>IF(Tabla1[[#This Row],[ID]]="","",VLOOKUP(Tabla1[[#This Row],[ID]],Tabla7[],4,FALSE))</f>
        <v>iso-alkane</v>
      </c>
      <c r="I530" s="16">
        <f>IF(Tabla1[[#This Row],[ID]]="","",VLOOKUP(Tabla1[[#This Row],[ID]],Tabla1[],4,FALSE))</f>
        <v>13.388521356155906</v>
      </c>
      <c r="J530" s="16">
        <f>Tabla1[[#This Row],[CN Literatura]]-Tabla1[[#This Row],[CN Predicted]]</f>
        <v>6.921865541132604</v>
      </c>
    </row>
    <row r="531" spans="1:10" x14ac:dyDescent="0.25">
      <c r="A531" s="1">
        <f>Desgloce!A530</f>
        <v>550</v>
      </c>
      <c r="B531" s="14">
        <f>VLOOKUP(Tabla1[[#This Row],[No]],Tabla7[],7,FALSE)</f>
        <v>52</v>
      </c>
      <c r="C531" s="24">
        <v>44.270969829768802</v>
      </c>
      <c r="D531" s="15">
        <f>(B531-C531)/B531*100</f>
        <v>14.86351955813692</v>
      </c>
      <c r="E531" s="16">
        <f>IF(Tabla1[[#This Row],[% Error1]]&gt;$E$1,Tabla1[[#This Row],[No]],IF(Tabla1[[#This Row],[% Error1]]&lt;-$E$1,Tabla1[[#This Row],[No]],""))</f>
        <v>550</v>
      </c>
      <c r="F531" s="16" t="str">
        <f>IF(Tabla1[[#This Row],[ID]]="","",VLOOKUP(Tabla1[[#This Row],[ID]],Tabla7[],2,FALSE))</f>
        <v>CCCC1CCCCC1</v>
      </c>
      <c r="G531" s="14" t="str">
        <f>IF(Tabla1[[#This Row],[ID]]="","",VLOOKUP(Tabla1[[#This Row],[ID]],Tabla7[],36,FALSE))</f>
        <v>Training</v>
      </c>
      <c r="H531" s="16" t="str">
        <f>IF(Tabla1[[#This Row],[ID]]="","",VLOOKUP(Tabla1[[#This Row],[ID]],Tabla7[],4,FALSE))</f>
        <v>cyclo-alkane</v>
      </c>
      <c r="I531" s="16">
        <f>IF(Tabla1[[#This Row],[ID]]="","",VLOOKUP(Tabla1[[#This Row],[ID]],Tabla1[],4,FALSE))</f>
        <v>14.86351955813692</v>
      </c>
      <c r="J531" s="16">
        <f>Tabla1[[#This Row],[CN Literatura]]-Tabla1[[#This Row],[CN Predicted]]</f>
        <v>7.7290301702311979</v>
      </c>
    </row>
    <row r="532" spans="1:10" x14ac:dyDescent="0.25">
      <c r="A532" s="1">
        <f>Desgloce!A531</f>
        <v>551</v>
      </c>
      <c r="B532" s="14">
        <f>VLOOKUP(Tabla1[[#This Row],[No]],Tabla7[],7,FALSE)</f>
        <v>52</v>
      </c>
      <c r="C532" s="24">
        <v>42.038372386052401</v>
      </c>
      <c r="D532" s="15">
        <f>(B532-C532)/B532*100</f>
        <v>19.156976180668458</v>
      </c>
      <c r="E532" s="16">
        <f>IF(Tabla1[[#This Row],[% Error1]]&gt;$E$1,Tabla1[[#This Row],[No]],IF(Tabla1[[#This Row],[% Error1]]&lt;-$E$1,Tabla1[[#This Row],[No]],""))</f>
        <v>551</v>
      </c>
      <c r="F532" s="16" t="str">
        <f>IF(Tabla1[[#This Row],[ID]]="","",VLOOKUP(Tabla1[[#This Row],[ID]],Tabla7[],2,FALSE))</f>
        <v>C(CC)C1CCCCC1</v>
      </c>
      <c r="G532" s="14" t="str">
        <f>IF(Tabla1[[#This Row],[ID]]="","",VLOOKUP(Tabla1[[#This Row],[ID]],Tabla7[],36,FALSE))</f>
        <v>Training</v>
      </c>
      <c r="H532" s="16" t="str">
        <f>IF(Tabla1[[#This Row],[ID]]="","",VLOOKUP(Tabla1[[#This Row],[ID]],Tabla7[],4,FALSE))</f>
        <v>cyclo-alkane</v>
      </c>
      <c r="I532" s="16">
        <f>IF(Tabla1[[#This Row],[ID]]="","",VLOOKUP(Tabla1[[#This Row],[ID]],Tabla1[],4,FALSE))</f>
        <v>19.156976180668458</v>
      </c>
      <c r="J532" s="16">
        <f>Tabla1[[#This Row],[CN Literatura]]-Tabla1[[#This Row],[CN Predicted]]</f>
        <v>9.9616276139475985</v>
      </c>
    </row>
    <row r="533" spans="1:10" x14ac:dyDescent="0.25">
      <c r="A533" s="1">
        <f>Desgloce!A532</f>
        <v>552</v>
      </c>
      <c r="B533" s="14">
        <f>VLOOKUP(Tabla1[[#This Row],[No]],Tabla7[],7,FALSE)</f>
        <v>52.6</v>
      </c>
      <c r="C533" s="24">
        <v>54.630895153603397</v>
      </c>
      <c r="D533" s="15">
        <f>(B533-C533)/B533*100</f>
        <v>-3.8610174022878243</v>
      </c>
      <c r="E533" s="16" t="str">
        <f>IF(Tabla1[[#This Row],[% Error1]]&gt;$E$1,Tabla1[[#This Row],[No]],IF(Tabla1[[#This Row],[% Error1]]&lt;-$E$1,Tabla1[[#This Row],[No]],""))</f>
        <v/>
      </c>
      <c r="F533" s="16" t="str">
        <f>IF(Tabla1[[#This Row],[ID]]="","",VLOOKUP(Tabla1[[#This Row],[ID]],Tabla7[],2,FALSE))</f>
        <v/>
      </c>
      <c r="G533" s="14" t="str">
        <f>IF(Tabla1[[#This Row],[ID]]="","",VLOOKUP(Tabla1[[#This Row],[ID]],Tabla7[],36,FALSE))</f>
        <v/>
      </c>
      <c r="H533" s="16" t="str">
        <f>IF(Tabla1[[#This Row],[ID]]="","",VLOOKUP(Tabla1[[#This Row],[ID]],Tabla7[],4,FALSE))</f>
        <v/>
      </c>
      <c r="I533" s="16" t="str">
        <f>IF(Tabla1[[#This Row],[ID]]="","",VLOOKUP(Tabla1[[#This Row],[ID]],Tabla1[],4,FALSE))</f>
        <v/>
      </c>
      <c r="J533" s="16">
        <f>Tabla1[[#This Row],[CN Literatura]]-Tabla1[[#This Row],[CN Predicted]]</f>
        <v>-2.0308951536033959</v>
      </c>
    </row>
    <row r="534" spans="1:10" x14ac:dyDescent="0.25">
      <c r="A534" s="1">
        <f>Desgloce!A533</f>
        <v>553</v>
      </c>
      <c r="B534" s="14">
        <f>VLOOKUP(Tabla1[[#This Row],[No]],Tabla7[],7,FALSE)</f>
        <v>52.9</v>
      </c>
      <c r="C534" s="24">
        <v>53.594121600923302</v>
      </c>
      <c r="D534" s="15">
        <f>(B534-C534)/B534*100</f>
        <v>-1.3121391321801572</v>
      </c>
      <c r="E534" s="16" t="str">
        <f>IF(Tabla1[[#This Row],[% Error1]]&gt;$E$1,Tabla1[[#This Row],[No]],IF(Tabla1[[#This Row],[% Error1]]&lt;-$E$1,Tabla1[[#This Row],[No]],""))</f>
        <v/>
      </c>
      <c r="F534" s="16" t="str">
        <f>IF(Tabla1[[#This Row],[ID]]="","",VLOOKUP(Tabla1[[#This Row],[ID]],Tabla7[],2,FALSE))</f>
        <v/>
      </c>
      <c r="G534" s="14" t="str">
        <f>IF(Tabla1[[#This Row],[ID]]="","",VLOOKUP(Tabla1[[#This Row],[ID]],Tabla7[],36,FALSE))</f>
        <v/>
      </c>
      <c r="H534" s="16" t="str">
        <f>IF(Tabla1[[#This Row],[ID]]="","",VLOOKUP(Tabla1[[#This Row],[ID]],Tabla7[],4,FALSE))</f>
        <v/>
      </c>
      <c r="I534" s="16" t="str">
        <f>IF(Tabla1[[#This Row],[ID]]="","",VLOOKUP(Tabla1[[#This Row],[ID]],Tabla1[],4,FALSE))</f>
        <v/>
      </c>
      <c r="J534" s="16">
        <f>Tabla1[[#This Row],[CN Literatura]]-Tabla1[[#This Row],[CN Predicted]]</f>
        <v>-0.69412160092330311</v>
      </c>
    </row>
    <row r="535" spans="1:10" x14ac:dyDescent="0.25">
      <c r="A535" s="1">
        <f>Desgloce!A534</f>
        <v>556</v>
      </c>
      <c r="B535" s="14">
        <f>VLOOKUP(Tabla1[[#This Row],[No]],Tabla7[],7,FALSE)</f>
        <v>53.2</v>
      </c>
      <c r="C535" s="24">
        <v>60.396742189495903</v>
      </c>
      <c r="D535" s="15">
        <f>(B535-C535)/B535*100</f>
        <v>-13.527710882511091</v>
      </c>
      <c r="E535" s="16">
        <f>IF(Tabla1[[#This Row],[% Error1]]&gt;$E$1,Tabla1[[#This Row],[No]],IF(Tabla1[[#This Row],[% Error1]]&lt;-$E$1,Tabla1[[#This Row],[No]],""))</f>
        <v>556</v>
      </c>
      <c r="F535" s="16" t="str">
        <f>IF(Tabla1[[#This Row],[ID]]="","",VLOOKUP(Tabla1[[#This Row],[ID]],Tabla7[],2,FALSE))</f>
        <v>CCCCCCCCCCCO</v>
      </c>
      <c r="G535" s="14" t="str">
        <f>IF(Tabla1[[#This Row],[ID]]="","",VLOOKUP(Tabla1[[#This Row],[ID]],Tabla7[],36,FALSE))</f>
        <v>Training</v>
      </c>
      <c r="H535" s="16" t="str">
        <f>IF(Tabla1[[#This Row],[ID]]="","",VLOOKUP(Tabla1[[#This Row],[ID]],Tabla7[],4,FALSE))</f>
        <v>Alcohol</v>
      </c>
      <c r="I535" s="16">
        <f>IF(Tabla1[[#This Row],[ID]]="","",VLOOKUP(Tabla1[[#This Row],[ID]],Tabla1[],4,FALSE))</f>
        <v>-13.527710882511091</v>
      </c>
      <c r="J535" s="16">
        <f>Tabla1[[#This Row],[CN Literatura]]-Tabla1[[#This Row],[CN Predicted]]</f>
        <v>-7.1967421894959003</v>
      </c>
    </row>
    <row r="536" spans="1:10" x14ac:dyDescent="0.25">
      <c r="A536" s="1">
        <f>Desgloce!A535</f>
        <v>560</v>
      </c>
      <c r="B536" s="14">
        <f>VLOOKUP(Tabla1[[#This Row],[No]],Tabla7[],7,FALSE)</f>
        <v>54.6</v>
      </c>
      <c r="C536" s="24">
        <v>50.698665297708402</v>
      </c>
      <c r="D536" s="15">
        <f>(B536-C536)/B536*100</f>
        <v>7.1453016525487163</v>
      </c>
      <c r="E536" s="16" t="str">
        <f>IF(Tabla1[[#This Row],[% Error1]]&gt;$E$1,Tabla1[[#This Row],[No]],IF(Tabla1[[#This Row],[% Error1]]&lt;-$E$1,Tabla1[[#This Row],[No]],""))</f>
        <v/>
      </c>
      <c r="F536" s="16" t="str">
        <f>IF(Tabla1[[#This Row],[ID]]="","",VLOOKUP(Tabla1[[#This Row],[ID]],Tabla7[],2,FALSE))</f>
        <v/>
      </c>
      <c r="G536" s="14" t="str">
        <f>IF(Tabla1[[#This Row],[ID]]="","",VLOOKUP(Tabla1[[#This Row],[ID]],Tabla7[],36,FALSE))</f>
        <v/>
      </c>
      <c r="H536" s="16" t="str">
        <f>IF(Tabla1[[#This Row],[ID]]="","",VLOOKUP(Tabla1[[#This Row],[ID]],Tabla7[],4,FALSE))</f>
        <v/>
      </c>
      <c r="I536" s="16" t="str">
        <f>IF(Tabla1[[#This Row],[ID]]="","",VLOOKUP(Tabla1[[#This Row],[ID]],Tabla1[],4,FALSE))</f>
        <v/>
      </c>
      <c r="J536" s="16">
        <f>Tabla1[[#This Row],[CN Literatura]]-Tabla1[[#This Row],[CN Predicted]]</f>
        <v>3.9013347022915994</v>
      </c>
    </row>
    <row r="537" spans="1:10" x14ac:dyDescent="0.25">
      <c r="A537" s="1">
        <f>Desgloce!A536</f>
        <v>561</v>
      </c>
      <c r="B537" s="14">
        <f>VLOOKUP(Tabla1[[#This Row],[No]],Tabla7[],7,FALSE)</f>
        <v>55</v>
      </c>
      <c r="C537" s="24">
        <v>56.492958063732203</v>
      </c>
      <c r="D537" s="15">
        <f>(B537-C537)/B537*100</f>
        <v>-2.7144692067858243</v>
      </c>
      <c r="E537" s="16" t="str">
        <f>IF(Tabla1[[#This Row],[% Error1]]&gt;$E$1,Tabla1[[#This Row],[No]],IF(Tabla1[[#This Row],[% Error1]]&lt;-$E$1,Tabla1[[#This Row],[No]],""))</f>
        <v/>
      </c>
      <c r="F537" s="16" t="str">
        <f>IF(Tabla1[[#This Row],[ID]]="","",VLOOKUP(Tabla1[[#This Row],[ID]],Tabla7[],2,FALSE))</f>
        <v/>
      </c>
      <c r="G537" s="14" t="str">
        <f>IF(Tabla1[[#This Row],[ID]]="","",VLOOKUP(Tabla1[[#This Row],[ID]],Tabla7[],36,FALSE))</f>
        <v/>
      </c>
      <c r="H537" s="16" t="str">
        <f>IF(Tabla1[[#This Row],[ID]]="","",VLOOKUP(Tabla1[[#This Row],[ID]],Tabla7[],4,FALSE))</f>
        <v/>
      </c>
      <c r="I537" s="16" t="str">
        <f>IF(Tabla1[[#This Row],[ID]]="","",VLOOKUP(Tabla1[[#This Row],[ID]],Tabla1[],4,FALSE))</f>
        <v/>
      </c>
      <c r="J537" s="16">
        <f>Tabla1[[#This Row],[CN Literatura]]-Tabla1[[#This Row],[CN Predicted]]</f>
        <v>-1.4929580637322033</v>
      </c>
    </row>
    <row r="538" spans="1:10" x14ac:dyDescent="0.25">
      <c r="A538" s="1">
        <f>Desgloce!A537</f>
        <v>565</v>
      </c>
      <c r="B538" s="14">
        <f>VLOOKUP(Tabla1[[#This Row],[No]],Tabla7[],7,FALSE)</f>
        <v>56</v>
      </c>
      <c r="C538" s="24">
        <v>53.688315645605101</v>
      </c>
      <c r="D538" s="15">
        <f>(B538-C538)/B538*100</f>
        <v>4.1280077757051767</v>
      </c>
      <c r="E538" s="16" t="str">
        <f>IF(Tabla1[[#This Row],[% Error1]]&gt;$E$1,Tabla1[[#This Row],[No]],IF(Tabla1[[#This Row],[% Error1]]&lt;-$E$1,Tabla1[[#This Row],[No]],""))</f>
        <v/>
      </c>
      <c r="F538" s="16" t="str">
        <f>IF(Tabla1[[#This Row],[ID]]="","",VLOOKUP(Tabla1[[#This Row],[ID]],Tabla7[],2,FALSE))</f>
        <v/>
      </c>
      <c r="G538" s="14" t="str">
        <f>IF(Tabla1[[#This Row],[ID]]="","",VLOOKUP(Tabla1[[#This Row],[ID]],Tabla7[],36,FALSE))</f>
        <v/>
      </c>
      <c r="H538" s="16" t="str">
        <f>IF(Tabla1[[#This Row],[ID]]="","",VLOOKUP(Tabla1[[#This Row],[ID]],Tabla7[],4,FALSE))</f>
        <v/>
      </c>
      <c r="I538" s="16" t="str">
        <f>IF(Tabla1[[#This Row],[ID]]="","",VLOOKUP(Tabla1[[#This Row],[ID]],Tabla1[],4,FALSE))</f>
        <v/>
      </c>
      <c r="J538" s="16">
        <f>Tabla1[[#This Row],[CN Literatura]]-Tabla1[[#This Row],[CN Predicted]]</f>
        <v>2.3116843543948988</v>
      </c>
    </row>
    <row r="539" spans="1:10" x14ac:dyDescent="0.25">
      <c r="A539" s="1">
        <f>Desgloce!A538</f>
        <v>566</v>
      </c>
      <c r="B539" s="14">
        <f>VLOOKUP(Tabla1[[#This Row],[No]],Tabla7[],7,FALSE)</f>
        <v>56</v>
      </c>
      <c r="C539" s="24">
        <v>53.333914502698697</v>
      </c>
      <c r="D539" s="15">
        <f>(B539-C539)/B539*100</f>
        <v>4.7608669594666129</v>
      </c>
      <c r="E539" s="16" t="str">
        <f>IF(Tabla1[[#This Row],[% Error1]]&gt;$E$1,Tabla1[[#This Row],[No]],IF(Tabla1[[#This Row],[% Error1]]&lt;-$E$1,Tabla1[[#This Row],[No]],""))</f>
        <v/>
      </c>
      <c r="F539" s="16" t="str">
        <f>IF(Tabla1[[#This Row],[ID]]="","",VLOOKUP(Tabla1[[#This Row],[ID]],Tabla7[],2,FALSE))</f>
        <v/>
      </c>
      <c r="G539" s="14" t="str">
        <f>IF(Tabla1[[#This Row],[ID]]="","",VLOOKUP(Tabla1[[#This Row],[ID]],Tabla7[],36,FALSE))</f>
        <v/>
      </c>
      <c r="H539" s="16" t="str">
        <f>IF(Tabla1[[#This Row],[ID]]="","",VLOOKUP(Tabla1[[#This Row],[ID]],Tabla7[],4,FALSE))</f>
        <v/>
      </c>
      <c r="I539" s="16" t="str">
        <f>IF(Tabla1[[#This Row],[ID]]="","",VLOOKUP(Tabla1[[#This Row],[ID]],Tabla1[],4,FALSE))</f>
        <v/>
      </c>
      <c r="J539" s="16">
        <f>Tabla1[[#This Row],[CN Literatura]]-Tabla1[[#This Row],[CN Predicted]]</f>
        <v>2.6660854973013031</v>
      </c>
    </row>
    <row r="540" spans="1:10" x14ac:dyDescent="0.25">
      <c r="A540" s="1">
        <f>Desgloce!A539</f>
        <v>568</v>
      </c>
      <c r="B540" s="14">
        <f>VLOOKUP(Tabla1[[#This Row],[No]],Tabla7[],7,FALSE)</f>
        <v>56</v>
      </c>
      <c r="C540" s="24">
        <v>53.333914502698697</v>
      </c>
      <c r="D540" s="15">
        <f>(B540-C540)/B540*100</f>
        <v>4.7608669594666129</v>
      </c>
      <c r="E540" s="16" t="str">
        <f>IF(Tabla1[[#This Row],[% Error1]]&gt;$E$1,Tabla1[[#This Row],[No]],IF(Tabla1[[#This Row],[% Error1]]&lt;-$E$1,Tabla1[[#This Row],[No]],""))</f>
        <v/>
      </c>
      <c r="F540" s="16" t="str">
        <f>IF(Tabla1[[#This Row],[ID]]="","",VLOOKUP(Tabla1[[#This Row],[ID]],Tabla7[],2,FALSE))</f>
        <v/>
      </c>
      <c r="G540" s="14" t="str">
        <f>IF(Tabla1[[#This Row],[ID]]="","",VLOOKUP(Tabla1[[#This Row],[ID]],Tabla7[],36,FALSE))</f>
        <v/>
      </c>
      <c r="H540" s="16" t="str">
        <f>IF(Tabla1[[#This Row],[ID]]="","",VLOOKUP(Tabla1[[#This Row],[ID]],Tabla7[],4,FALSE))</f>
        <v/>
      </c>
      <c r="I540" s="16" t="str">
        <f>IF(Tabla1[[#This Row],[ID]]="","",VLOOKUP(Tabla1[[#This Row],[ID]],Tabla1[],4,FALSE))</f>
        <v/>
      </c>
      <c r="J540" s="16">
        <f>Tabla1[[#This Row],[CN Literatura]]-Tabla1[[#This Row],[CN Predicted]]</f>
        <v>2.6660854973013031</v>
      </c>
    </row>
    <row r="541" spans="1:10" x14ac:dyDescent="0.25">
      <c r="A541" s="1">
        <f>Desgloce!A540</f>
        <v>569</v>
      </c>
      <c r="B541" s="14">
        <f>VLOOKUP(Tabla1[[#This Row],[No]],Tabla7[],7,FALSE)</f>
        <v>56</v>
      </c>
      <c r="C541" s="24">
        <v>52.994142963073998</v>
      </c>
      <c r="D541" s="15">
        <f>(B541-C541)/B541*100</f>
        <v>5.3676018516535757</v>
      </c>
      <c r="E541" s="16" t="str">
        <f>IF(Tabla1[[#This Row],[% Error1]]&gt;$E$1,Tabla1[[#This Row],[No]],IF(Tabla1[[#This Row],[% Error1]]&lt;-$E$1,Tabla1[[#This Row],[No]],""))</f>
        <v/>
      </c>
      <c r="F541" s="16" t="str">
        <f>IF(Tabla1[[#This Row],[ID]]="","",VLOOKUP(Tabla1[[#This Row],[ID]],Tabla7[],2,FALSE))</f>
        <v/>
      </c>
      <c r="G541" s="14" t="str">
        <f>IF(Tabla1[[#This Row],[ID]]="","",VLOOKUP(Tabla1[[#This Row],[ID]],Tabla7[],36,FALSE))</f>
        <v/>
      </c>
      <c r="H541" s="16" t="str">
        <f>IF(Tabla1[[#This Row],[ID]]="","",VLOOKUP(Tabla1[[#This Row],[ID]],Tabla7[],4,FALSE))</f>
        <v/>
      </c>
      <c r="I541" s="16" t="str">
        <f>IF(Tabla1[[#This Row],[ID]]="","",VLOOKUP(Tabla1[[#This Row],[ID]],Tabla1[],4,FALSE))</f>
        <v/>
      </c>
      <c r="J541" s="16">
        <f>Tabla1[[#This Row],[CN Literatura]]-Tabla1[[#This Row],[CN Predicted]]</f>
        <v>3.0058570369260025</v>
      </c>
    </row>
    <row r="542" spans="1:10" x14ac:dyDescent="0.25">
      <c r="A542" s="1">
        <f>Desgloce!A541</f>
        <v>570</v>
      </c>
      <c r="B542" s="14">
        <f>VLOOKUP(Tabla1[[#This Row],[No]],Tabla7[],7,FALSE)</f>
        <v>56</v>
      </c>
      <c r="C542" s="24">
        <v>53.333914502698697</v>
      </c>
      <c r="D542" s="15">
        <f>(B542-C542)/B542*100</f>
        <v>4.7608669594666129</v>
      </c>
      <c r="E542" s="16" t="str">
        <f>IF(Tabla1[[#This Row],[% Error1]]&gt;$E$1,Tabla1[[#This Row],[No]],IF(Tabla1[[#This Row],[% Error1]]&lt;-$E$1,Tabla1[[#This Row],[No]],""))</f>
        <v/>
      </c>
      <c r="F542" s="16" t="str">
        <f>IF(Tabla1[[#This Row],[ID]]="","",VLOOKUP(Tabla1[[#This Row],[ID]],Tabla7[],2,FALSE))</f>
        <v/>
      </c>
      <c r="G542" s="14" t="str">
        <f>IF(Tabla1[[#This Row],[ID]]="","",VLOOKUP(Tabla1[[#This Row],[ID]],Tabla7[],36,FALSE))</f>
        <v/>
      </c>
      <c r="H542" s="16" t="str">
        <f>IF(Tabla1[[#This Row],[ID]]="","",VLOOKUP(Tabla1[[#This Row],[ID]],Tabla7[],4,FALSE))</f>
        <v/>
      </c>
      <c r="I542" s="16" t="str">
        <f>IF(Tabla1[[#This Row],[ID]]="","",VLOOKUP(Tabla1[[#This Row],[ID]],Tabla1[],4,FALSE))</f>
        <v/>
      </c>
      <c r="J542" s="16">
        <f>Tabla1[[#This Row],[CN Literatura]]-Tabla1[[#This Row],[CN Predicted]]</f>
        <v>2.6660854973013031</v>
      </c>
    </row>
    <row r="543" spans="1:10" x14ac:dyDescent="0.25">
      <c r="A543" s="1">
        <f>Desgloce!A542</f>
        <v>571</v>
      </c>
      <c r="B543" s="14">
        <f>VLOOKUP(Tabla1[[#This Row],[No]],Tabla7[],7,FALSE)</f>
        <v>56</v>
      </c>
      <c r="C543" s="24">
        <v>60.028875864593701</v>
      </c>
      <c r="D543" s="15">
        <f>(B543-C543)/B543*100</f>
        <v>-7.1944211867744663</v>
      </c>
      <c r="E543" s="16" t="str">
        <f>IF(Tabla1[[#This Row],[% Error1]]&gt;$E$1,Tabla1[[#This Row],[No]],IF(Tabla1[[#This Row],[% Error1]]&lt;-$E$1,Tabla1[[#This Row],[No]],""))</f>
        <v/>
      </c>
      <c r="F543" s="16" t="str">
        <f>IF(Tabla1[[#This Row],[ID]]="","",VLOOKUP(Tabla1[[#This Row],[ID]],Tabla7[],2,FALSE))</f>
        <v/>
      </c>
      <c r="G543" s="14" t="str">
        <f>IF(Tabla1[[#This Row],[ID]]="","",VLOOKUP(Tabla1[[#This Row],[ID]],Tabla7[],36,FALSE))</f>
        <v/>
      </c>
      <c r="H543" s="16" t="str">
        <f>IF(Tabla1[[#This Row],[ID]]="","",VLOOKUP(Tabla1[[#This Row],[ID]],Tabla7[],4,FALSE))</f>
        <v/>
      </c>
      <c r="I543" s="16" t="str">
        <f>IF(Tabla1[[#This Row],[ID]]="","",VLOOKUP(Tabla1[[#This Row],[ID]],Tabla1[],4,FALSE))</f>
        <v/>
      </c>
      <c r="J543" s="16">
        <f>Tabla1[[#This Row],[CN Literatura]]-Tabla1[[#This Row],[CN Predicted]]</f>
        <v>-4.0288758645937008</v>
      </c>
    </row>
    <row r="544" spans="1:10" x14ac:dyDescent="0.25">
      <c r="A544" s="1">
        <f>Desgloce!A543</f>
        <v>572</v>
      </c>
      <c r="B544" s="14">
        <f>VLOOKUP(Tabla1[[#This Row],[No]],Tabla7[],7,FALSE)</f>
        <v>56</v>
      </c>
      <c r="C544" s="24">
        <v>65.132839423358007</v>
      </c>
      <c r="D544" s="15">
        <f>(B544-C544)/B544*100</f>
        <v>-16.308641827425014</v>
      </c>
      <c r="E544" s="16">
        <f>IF(Tabla1[[#This Row],[% Error1]]&gt;$E$1,Tabla1[[#This Row],[No]],IF(Tabla1[[#This Row],[% Error1]]&lt;-$E$1,Tabla1[[#This Row],[No]],""))</f>
        <v>572</v>
      </c>
      <c r="F544" s="16" t="str">
        <f>IF(Tabla1[[#This Row],[ID]]="","",VLOOKUP(Tabla1[[#This Row],[ID]],Tabla7[],2,FALSE))</f>
        <v>C(CCCCCCC\C=C/CCCCCCCC)(=O)OC</v>
      </c>
      <c r="G544" s="14" t="str">
        <f>IF(Tabla1[[#This Row],[ID]]="","",VLOOKUP(Tabla1[[#This Row],[ID]],Tabla7[],36,FALSE))</f>
        <v>Training</v>
      </c>
      <c r="H544" s="16" t="str">
        <f>IF(Tabla1[[#This Row],[ID]]="","",VLOOKUP(Tabla1[[#This Row],[ID]],Tabla7[],4,FALSE))</f>
        <v>Ester: Unsaturated</v>
      </c>
      <c r="I544" s="16">
        <f>IF(Tabla1[[#This Row],[ID]]="","",VLOOKUP(Tabla1[[#This Row],[ID]],Tabla1[],4,FALSE))</f>
        <v>-16.308641827425014</v>
      </c>
      <c r="J544" s="16">
        <f>Tabla1[[#This Row],[CN Literatura]]-Tabla1[[#This Row],[CN Predicted]]</f>
        <v>-9.132839423358007</v>
      </c>
    </row>
    <row r="545" spans="1:10" x14ac:dyDescent="0.25">
      <c r="A545" s="1">
        <f>Desgloce!A544</f>
        <v>573</v>
      </c>
      <c r="B545" s="14">
        <f>VLOOKUP(Tabla1[[#This Row],[No]],Tabla7[],7,FALSE)</f>
        <v>56</v>
      </c>
      <c r="C545" s="24">
        <v>64.713456666001207</v>
      </c>
      <c r="D545" s="15">
        <f>(B545-C545)/B545*100</f>
        <v>-15.559744046430726</v>
      </c>
      <c r="E545" s="16">
        <f>IF(Tabla1[[#This Row],[% Error1]]&gt;$E$1,Tabla1[[#This Row],[No]],IF(Tabla1[[#This Row],[% Error1]]&lt;-$E$1,Tabla1[[#This Row],[No]],""))</f>
        <v>573</v>
      </c>
      <c r="F545" s="16" t="str">
        <f>IF(Tabla1[[#This Row],[ID]]="","",VLOOKUP(Tabla1[[#This Row],[ID]],Tabla7[],2,FALSE))</f>
        <v>CC(CCCCCCCCC)CCC(CCCCCCCCC)C</v>
      </c>
      <c r="G545" s="14" t="str">
        <f>IF(Tabla1[[#This Row],[ID]]="","",VLOOKUP(Tabla1[[#This Row],[ID]],Tabla7[],36,FALSE))</f>
        <v>Training</v>
      </c>
      <c r="H545" s="16" t="str">
        <f>IF(Tabla1[[#This Row],[ID]]="","",VLOOKUP(Tabla1[[#This Row],[ID]],Tabla7[],4,FALSE))</f>
        <v>iso-alkane</v>
      </c>
      <c r="I545" s="16">
        <f>IF(Tabla1[[#This Row],[ID]]="","",VLOOKUP(Tabla1[[#This Row],[ID]],Tabla1[],4,FALSE))</f>
        <v>-15.559744046430726</v>
      </c>
      <c r="J545" s="16">
        <f>Tabla1[[#This Row],[CN Literatura]]-Tabla1[[#This Row],[CN Predicted]]</f>
        <v>-8.7134566660012069</v>
      </c>
    </row>
    <row r="546" spans="1:10" x14ac:dyDescent="0.25">
      <c r="A546" s="1">
        <f>Desgloce!A545</f>
        <v>574</v>
      </c>
      <c r="B546" s="14">
        <f>VLOOKUP(Tabla1[[#This Row],[No]],Tabla7[],7,FALSE)</f>
        <v>56</v>
      </c>
      <c r="C546" s="24">
        <v>64.713456666001207</v>
      </c>
      <c r="D546" s="15">
        <f>(B546-C546)/B546*100</f>
        <v>-15.559744046430726</v>
      </c>
      <c r="E546" s="16">
        <f>IF(Tabla1[[#This Row],[% Error1]]&gt;$E$1,Tabla1[[#This Row],[No]],IF(Tabla1[[#This Row],[% Error1]]&lt;-$E$1,Tabla1[[#This Row],[No]],""))</f>
        <v>574</v>
      </c>
      <c r="F546" s="16" t="str">
        <f>IF(Tabla1[[#This Row],[ID]]="","",VLOOKUP(Tabla1[[#This Row],[ID]],Tabla7[],2,FALSE))</f>
        <v>CCCCCCCCC[C@@H](C)CC[C@H](C)CCCCCCCCC</v>
      </c>
      <c r="G546" s="14" t="str">
        <f>IF(Tabla1[[#This Row],[ID]]="","",VLOOKUP(Tabla1[[#This Row],[ID]],Tabla7[],36,FALSE))</f>
        <v>Training</v>
      </c>
      <c r="H546" s="16" t="str">
        <f>IF(Tabla1[[#This Row],[ID]]="","",VLOOKUP(Tabla1[[#This Row],[ID]],Tabla7[],4,FALSE))</f>
        <v>n-Alkane</v>
      </c>
      <c r="I546" s="16">
        <f>IF(Tabla1[[#This Row],[ID]]="","",VLOOKUP(Tabla1[[#This Row],[ID]],Tabla1[],4,FALSE))</f>
        <v>-15.559744046430726</v>
      </c>
      <c r="J546" s="16">
        <f>Tabla1[[#This Row],[CN Literatura]]-Tabla1[[#This Row],[CN Predicted]]</f>
        <v>-8.7134566660012069</v>
      </c>
    </row>
    <row r="547" spans="1:10" x14ac:dyDescent="0.25">
      <c r="A547" s="1">
        <f>Desgloce!A546</f>
        <v>576</v>
      </c>
      <c r="B547" s="14">
        <f>VLOOKUP(Tabla1[[#This Row],[No]],Tabla7[],7,FALSE)</f>
        <v>56</v>
      </c>
      <c r="C547" s="24">
        <v>53.193614020359</v>
      </c>
      <c r="D547" s="15">
        <f>(B547-C547)/B547*100</f>
        <v>5.0114035350732147</v>
      </c>
      <c r="E547" s="16" t="str">
        <f>IF(Tabla1[[#This Row],[% Error1]]&gt;$E$1,Tabla1[[#This Row],[No]],IF(Tabla1[[#This Row],[% Error1]]&lt;-$E$1,Tabla1[[#This Row],[No]],""))</f>
        <v/>
      </c>
      <c r="F547" s="16" t="str">
        <f>IF(Tabla1[[#This Row],[ID]]="","",VLOOKUP(Tabla1[[#This Row],[ID]],Tabla7[],2,FALSE))</f>
        <v/>
      </c>
      <c r="G547" s="14" t="str">
        <f>IF(Tabla1[[#This Row],[ID]]="","",VLOOKUP(Tabla1[[#This Row],[ID]],Tabla7[],36,FALSE))</f>
        <v/>
      </c>
      <c r="H547" s="16" t="str">
        <f>IF(Tabla1[[#This Row],[ID]]="","",VLOOKUP(Tabla1[[#This Row],[ID]],Tabla7[],4,FALSE))</f>
        <v/>
      </c>
      <c r="I547" s="16" t="str">
        <f>IF(Tabla1[[#This Row],[ID]]="","",VLOOKUP(Tabla1[[#This Row],[ID]],Tabla1[],4,FALSE))</f>
        <v/>
      </c>
      <c r="J547" s="16">
        <f>Tabla1[[#This Row],[CN Literatura]]-Tabla1[[#This Row],[CN Predicted]]</f>
        <v>2.806385979641</v>
      </c>
    </row>
    <row r="548" spans="1:10" x14ac:dyDescent="0.25">
      <c r="A548" s="1">
        <f>Desgloce!A547</f>
        <v>577</v>
      </c>
      <c r="B548" s="14">
        <f>VLOOKUP(Tabla1[[#This Row],[No]],Tabla7[],7,FALSE)</f>
        <v>56.6</v>
      </c>
      <c r="C548" s="24">
        <v>65.792108438102304</v>
      </c>
      <c r="D548" s="15">
        <f>(B548-C548)/B548*100</f>
        <v>-16.240474272265551</v>
      </c>
      <c r="E548" s="16">
        <f>IF(Tabla1[[#This Row],[% Error1]]&gt;$E$1,Tabla1[[#This Row],[No]],IF(Tabla1[[#This Row],[% Error1]]&lt;-$E$1,Tabla1[[#This Row],[No]],""))</f>
        <v>577</v>
      </c>
      <c r="F548" s="16" t="str">
        <f>IF(Tabla1[[#This Row],[ID]]="","",VLOOKUP(Tabla1[[#This Row],[ID]],Tabla7[],2,FALSE))</f>
        <v>C(CCCCCCC\C=C/CCCCCC)(=O)OC</v>
      </c>
      <c r="G548" s="14" t="str">
        <f>IF(Tabla1[[#This Row],[ID]]="","",VLOOKUP(Tabla1[[#This Row],[ID]],Tabla7[],36,FALSE))</f>
        <v>Training</v>
      </c>
      <c r="H548" s="16" t="str">
        <f>IF(Tabla1[[#This Row],[ID]]="","",VLOOKUP(Tabla1[[#This Row],[ID]],Tabla7[],4,FALSE))</f>
        <v>Ester: Unsaturated</v>
      </c>
      <c r="I548" s="16">
        <f>IF(Tabla1[[#This Row],[ID]]="","",VLOOKUP(Tabla1[[#This Row],[ID]],Tabla1[],4,FALSE))</f>
        <v>-16.240474272265551</v>
      </c>
      <c r="J548" s="16">
        <f>Tabla1[[#This Row],[CN Literatura]]-Tabla1[[#This Row],[CN Predicted]]</f>
        <v>-9.1921084381023022</v>
      </c>
    </row>
    <row r="549" spans="1:10" x14ac:dyDescent="0.25">
      <c r="A549" s="1">
        <f>Desgloce!A548</f>
        <v>578</v>
      </c>
      <c r="B549" s="14">
        <f>VLOOKUP(Tabla1[[#This Row],[No]],Tabla7[],7,FALSE)</f>
        <v>56.8</v>
      </c>
      <c r="C549" s="24">
        <v>54.893864126074</v>
      </c>
      <c r="D549" s="15">
        <f>(B549-C549)/B549*100</f>
        <v>3.3558730174753477</v>
      </c>
      <c r="E549" s="16" t="str">
        <f>IF(Tabla1[[#This Row],[% Error1]]&gt;$E$1,Tabla1[[#This Row],[No]],IF(Tabla1[[#This Row],[% Error1]]&lt;-$E$1,Tabla1[[#This Row],[No]],""))</f>
        <v/>
      </c>
      <c r="F549" s="16" t="str">
        <f>IF(Tabla1[[#This Row],[ID]]="","",VLOOKUP(Tabla1[[#This Row],[ID]],Tabla7[],2,FALSE))</f>
        <v/>
      </c>
      <c r="G549" s="14" t="str">
        <f>IF(Tabla1[[#This Row],[ID]]="","",VLOOKUP(Tabla1[[#This Row],[ID]],Tabla7[],36,FALSE))</f>
        <v/>
      </c>
      <c r="H549" s="16" t="str">
        <f>IF(Tabla1[[#This Row],[ID]]="","",VLOOKUP(Tabla1[[#This Row],[ID]],Tabla7[],4,FALSE))</f>
        <v/>
      </c>
      <c r="I549" s="16" t="str">
        <f>IF(Tabla1[[#This Row],[ID]]="","",VLOOKUP(Tabla1[[#This Row],[ID]],Tabla1[],4,FALSE))</f>
        <v/>
      </c>
      <c r="J549" s="16">
        <f>Tabla1[[#This Row],[CN Literatura]]-Tabla1[[#This Row],[CN Predicted]]</f>
        <v>1.9061358739259973</v>
      </c>
    </row>
    <row r="550" spans="1:10" x14ac:dyDescent="0.25">
      <c r="A550" s="1">
        <f>Desgloce!A549</f>
        <v>579</v>
      </c>
      <c r="B550" s="14">
        <f>VLOOKUP(Tabla1[[#This Row],[No]],Tabla7[],7,FALSE)</f>
        <v>57</v>
      </c>
      <c r="C550" s="24">
        <v>54.8638475101015</v>
      </c>
      <c r="D550" s="15">
        <f>(B550-C550)/B550*100</f>
        <v>3.7476359471903504</v>
      </c>
      <c r="E550" s="16" t="str">
        <f>IF(Tabla1[[#This Row],[% Error1]]&gt;$E$1,Tabla1[[#This Row],[No]],IF(Tabla1[[#This Row],[% Error1]]&lt;-$E$1,Tabla1[[#This Row],[No]],""))</f>
        <v/>
      </c>
      <c r="F550" s="16" t="str">
        <f>IF(Tabla1[[#This Row],[ID]]="","",VLOOKUP(Tabla1[[#This Row],[ID]],Tabla7[],2,FALSE))</f>
        <v/>
      </c>
      <c r="G550" s="14" t="str">
        <f>IF(Tabla1[[#This Row],[ID]]="","",VLOOKUP(Tabla1[[#This Row],[ID]],Tabla7[],36,FALSE))</f>
        <v/>
      </c>
      <c r="H550" s="16" t="str">
        <f>IF(Tabla1[[#This Row],[ID]]="","",VLOOKUP(Tabla1[[#This Row],[ID]],Tabla7[],4,FALSE))</f>
        <v/>
      </c>
      <c r="I550" s="16" t="str">
        <f>IF(Tabla1[[#This Row],[ID]]="","",VLOOKUP(Tabla1[[#This Row],[ID]],Tabla1[],4,FALSE))</f>
        <v/>
      </c>
      <c r="J550" s="16">
        <f>Tabla1[[#This Row],[CN Literatura]]-Tabla1[[#This Row],[CN Predicted]]</f>
        <v>2.1361524898984996</v>
      </c>
    </row>
    <row r="551" spans="1:10" x14ac:dyDescent="0.25">
      <c r="A551" s="1">
        <f>Desgloce!A550</f>
        <v>581</v>
      </c>
      <c r="B551" s="14">
        <f>VLOOKUP(Tabla1[[#This Row],[No]],Tabla7[],7,FALSE)</f>
        <v>57</v>
      </c>
      <c r="C551" s="24">
        <v>60.028875864593701</v>
      </c>
      <c r="D551" s="15">
        <f>(B551-C551)/B551*100</f>
        <v>-5.3138173063047383</v>
      </c>
      <c r="E551" s="16" t="str">
        <f>IF(Tabla1[[#This Row],[% Error1]]&gt;$E$1,Tabla1[[#This Row],[No]],IF(Tabla1[[#This Row],[% Error1]]&lt;-$E$1,Tabla1[[#This Row],[No]],""))</f>
        <v/>
      </c>
      <c r="F551" s="16" t="str">
        <f>IF(Tabla1[[#This Row],[ID]]="","",VLOOKUP(Tabla1[[#This Row],[ID]],Tabla7[],2,FALSE))</f>
        <v/>
      </c>
      <c r="G551" s="14" t="str">
        <f>IF(Tabla1[[#This Row],[ID]]="","",VLOOKUP(Tabla1[[#This Row],[ID]],Tabla7[],36,FALSE))</f>
        <v/>
      </c>
      <c r="H551" s="16" t="str">
        <f>IF(Tabla1[[#This Row],[ID]]="","",VLOOKUP(Tabla1[[#This Row],[ID]],Tabla7[],4,FALSE))</f>
        <v/>
      </c>
      <c r="I551" s="16" t="str">
        <f>IF(Tabla1[[#This Row],[ID]]="","",VLOOKUP(Tabla1[[#This Row],[ID]],Tabla1[],4,FALSE))</f>
        <v/>
      </c>
      <c r="J551" s="16">
        <f>Tabla1[[#This Row],[CN Literatura]]-Tabla1[[#This Row],[CN Predicted]]</f>
        <v>-3.0288758645937008</v>
      </c>
    </row>
    <row r="552" spans="1:10" x14ac:dyDescent="0.25">
      <c r="A552" s="1">
        <f>Desgloce!A551</f>
        <v>582</v>
      </c>
      <c r="B552" s="14">
        <f>VLOOKUP(Tabla1[[#This Row],[No]],Tabla7[],7,FALSE)</f>
        <v>57.2</v>
      </c>
      <c r="C552" s="24">
        <v>61.826825305319801</v>
      </c>
      <c r="D552" s="15">
        <f>(B552-C552)/B552*100</f>
        <v>-8.0888554288807661</v>
      </c>
      <c r="E552" s="16" t="str">
        <f>IF(Tabla1[[#This Row],[% Error1]]&gt;$E$1,Tabla1[[#This Row],[No]],IF(Tabla1[[#This Row],[% Error1]]&lt;-$E$1,Tabla1[[#This Row],[No]],""))</f>
        <v/>
      </c>
      <c r="F552" s="16" t="str">
        <f>IF(Tabla1[[#This Row],[ID]]="","",VLOOKUP(Tabla1[[#This Row],[ID]],Tabla7[],2,FALSE))</f>
        <v/>
      </c>
      <c r="G552" s="14" t="str">
        <f>IF(Tabla1[[#This Row],[ID]]="","",VLOOKUP(Tabla1[[#This Row],[ID]],Tabla7[],36,FALSE))</f>
        <v/>
      </c>
      <c r="H552" s="16" t="str">
        <f>IF(Tabla1[[#This Row],[ID]]="","",VLOOKUP(Tabla1[[#This Row],[ID]],Tabla7[],4,FALSE))</f>
        <v/>
      </c>
      <c r="I552" s="16" t="str">
        <f>IF(Tabla1[[#This Row],[ID]]="","",VLOOKUP(Tabla1[[#This Row],[ID]],Tabla1[],4,FALSE))</f>
        <v/>
      </c>
      <c r="J552" s="16">
        <f>Tabla1[[#This Row],[CN Literatura]]-Tabla1[[#This Row],[CN Predicted]]</f>
        <v>-4.6268253053197981</v>
      </c>
    </row>
    <row r="553" spans="1:10" x14ac:dyDescent="0.25">
      <c r="A553" s="1">
        <f>Desgloce!A552</f>
        <v>583</v>
      </c>
      <c r="B553" s="14">
        <f>VLOOKUP(Tabla1[[#This Row],[No]],Tabla7[],7,FALSE)</f>
        <v>57.3</v>
      </c>
      <c r="C553" s="24">
        <v>62.440353930835002</v>
      </c>
      <c r="D553" s="15">
        <f>(B553-C553)/B553*100</f>
        <v>-8.9709492684729586</v>
      </c>
      <c r="E553" s="16" t="str">
        <f>IF(Tabla1[[#This Row],[% Error1]]&gt;$E$1,Tabla1[[#This Row],[No]],IF(Tabla1[[#This Row],[% Error1]]&lt;-$E$1,Tabla1[[#This Row],[No]],""))</f>
        <v/>
      </c>
      <c r="F553" s="16" t="str">
        <f>IF(Tabla1[[#This Row],[ID]]="","",VLOOKUP(Tabla1[[#This Row],[ID]],Tabla7[],2,FALSE))</f>
        <v/>
      </c>
      <c r="G553" s="14" t="str">
        <f>IF(Tabla1[[#This Row],[ID]]="","",VLOOKUP(Tabla1[[#This Row],[ID]],Tabla7[],36,FALSE))</f>
        <v/>
      </c>
      <c r="H553" s="16" t="str">
        <f>IF(Tabla1[[#This Row],[ID]]="","",VLOOKUP(Tabla1[[#This Row],[ID]],Tabla7[],4,FALSE))</f>
        <v/>
      </c>
      <c r="I553" s="16" t="str">
        <f>IF(Tabla1[[#This Row],[ID]]="","",VLOOKUP(Tabla1[[#This Row],[ID]],Tabla1[],4,FALSE))</f>
        <v/>
      </c>
      <c r="J553" s="16">
        <f>Tabla1[[#This Row],[CN Literatura]]-Tabla1[[#This Row],[CN Predicted]]</f>
        <v>-5.1403539308350048</v>
      </c>
    </row>
    <row r="554" spans="1:10" x14ac:dyDescent="0.25">
      <c r="A554" s="1">
        <f>Desgloce!A553</f>
        <v>584</v>
      </c>
      <c r="B554" s="14">
        <f>VLOOKUP(Tabla1[[#This Row],[No]],Tabla7[],7,FALSE)</f>
        <v>57.3</v>
      </c>
      <c r="C554" s="24">
        <v>48.075483484553303</v>
      </c>
      <c r="D554" s="15">
        <f>(B554-C554)/B554*100</f>
        <v>16.098632662210637</v>
      </c>
      <c r="E554" s="16">
        <f>IF(Tabla1[[#This Row],[% Error1]]&gt;$E$1,Tabla1[[#This Row],[No]],IF(Tabla1[[#This Row],[% Error1]]&lt;-$E$1,Tabla1[[#This Row],[No]],""))</f>
        <v>584</v>
      </c>
      <c r="F554" s="16" t="str">
        <f>IF(Tabla1[[#This Row],[ID]]="","",VLOOKUP(Tabla1[[#This Row],[ID]],Tabla7[],2,FALSE))</f>
        <v>C(C)OC(C)OCC</v>
      </c>
      <c r="G554" s="14" t="str">
        <f>IF(Tabla1[[#This Row],[ID]]="","",VLOOKUP(Tabla1[[#This Row],[ID]],Tabla7[],36,FALSE))</f>
        <v>Training</v>
      </c>
      <c r="H554" s="16" t="str">
        <f>IF(Tabla1[[#This Row],[ID]]="","",VLOOKUP(Tabla1[[#This Row],[ID]],Tabla7[],4,FALSE))</f>
        <v>Ether</v>
      </c>
      <c r="I554" s="16">
        <f>IF(Tabla1[[#This Row],[ID]]="","",VLOOKUP(Tabla1[[#This Row],[ID]],Tabla1[],4,FALSE))</f>
        <v>16.098632662210637</v>
      </c>
      <c r="J554" s="16">
        <f>Tabla1[[#This Row],[CN Literatura]]-Tabla1[[#This Row],[CN Predicted]]</f>
        <v>9.2245165154466946</v>
      </c>
    </row>
    <row r="555" spans="1:10" x14ac:dyDescent="0.25">
      <c r="A555" s="1">
        <f>Desgloce!A554</f>
        <v>585</v>
      </c>
      <c r="B555" s="14">
        <f>VLOOKUP(Tabla1[[#This Row],[No]],Tabla7[],7,FALSE)</f>
        <v>58</v>
      </c>
      <c r="C555" s="24">
        <v>42.350515464634697</v>
      </c>
      <c r="D555" s="15">
        <f>(B555-C555)/B555*100</f>
        <v>26.981869888560865</v>
      </c>
      <c r="E555" s="16">
        <f>IF(Tabla1[[#This Row],[% Error1]]&gt;$E$1,Tabla1[[#This Row],[No]],IF(Tabla1[[#This Row],[% Error1]]&lt;-$E$1,Tabla1[[#This Row],[No]],""))</f>
        <v>585</v>
      </c>
      <c r="F555" s="16" t="str">
        <f>IF(Tabla1[[#This Row],[ID]]="","",VLOOKUP(Tabla1[[#This Row],[ID]],Tabla7[],2,FALSE))</f>
        <v>C(CCC)C(CCCC)(CCCCCCCCC)C1=CC=CC=C1</v>
      </c>
      <c r="G555" s="14" t="str">
        <f>IF(Tabla1[[#This Row],[ID]]="","",VLOOKUP(Tabla1[[#This Row],[ID]],Tabla7[],36,FALSE))</f>
        <v>Training</v>
      </c>
      <c r="H555" s="16" t="str">
        <f>IF(Tabla1[[#This Row],[ID]]="","",VLOOKUP(Tabla1[[#This Row],[ID]],Tabla7[],4,FALSE))</f>
        <v>Aromatic</v>
      </c>
      <c r="I555" s="24">
        <f>IF(Tabla1[[#This Row],[ID]]="","",VLOOKUP(Tabla1[[#This Row],[ID]],Tabla1[],4,FALSE))</f>
        <v>26.981869888560865</v>
      </c>
      <c r="J555" s="16">
        <f>Tabla1[[#This Row],[CN Literatura]]-Tabla1[[#This Row],[CN Predicted]]</f>
        <v>15.649484535365303</v>
      </c>
    </row>
    <row r="556" spans="1:10" x14ac:dyDescent="0.25">
      <c r="A556" s="1">
        <f>Desgloce!A555</f>
        <v>586</v>
      </c>
      <c r="B556" s="14">
        <f>VLOOKUP(Tabla1[[#This Row],[No]],Tabla7[],7,FALSE)</f>
        <v>58</v>
      </c>
      <c r="C556" s="24">
        <v>37.471040785562302</v>
      </c>
      <c r="D556" s="15">
        <f>(B556-C556)/B556*100</f>
        <v>35.394757266271895</v>
      </c>
      <c r="E556" s="16">
        <f>IF(Tabla1[[#This Row],[% Error1]]&gt;$E$1,Tabla1[[#This Row],[No]],IF(Tabla1[[#This Row],[% Error1]]&lt;-$E$1,Tabla1[[#This Row],[No]],""))</f>
        <v>586</v>
      </c>
      <c r="F556" s="16" t="str">
        <f>IF(Tabla1[[#This Row],[ID]]="","",VLOOKUP(Tabla1[[#This Row],[ID]],Tabla7[],2,FALSE))</f>
        <v>CC1C(CCCC1)CCC</v>
      </c>
      <c r="G556" s="14" t="str">
        <f>IF(Tabla1[[#This Row],[ID]]="","",VLOOKUP(Tabla1[[#This Row],[ID]],Tabla7[],36,FALSE))</f>
        <v>Training</v>
      </c>
      <c r="H556" s="16" t="str">
        <f>IF(Tabla1[[#This Row],[ID]]="","",VLOOKUP(Tabla1[[#This Row],[ID]],Tabla7[],4,FALSE))</f>
        <v>cyclo-alkane</v>
      </c>
      <c r="I556" s="16">
        <f>IF(Tabla1[[#This Row],[ID]]="","",VLOOKUP(Tabla1[[#This Row],[ID]],Tabla1[],4,FALSE))</f>
        <v>35.394757266271895</v>
      </c>
      <c r="J556" s="16">
        <f>Tabla1[[#This Row],[CN Literatura]]-Tabla1[[#This Row],[CN Predicted]]</f>
        <v>20.528959214437698</v>
      </c>
    </row>
    <row r="557" spans="1:10" x14ac:dyDescent="0.25">
      <c r="A557" s="1">
        <f>Desgloce!A556</f>
        <v>589</v>
      </c>
      <c r="B557" s="14">
        <f>VLOOKUP(Tabla1[[#This Row],[No]],Tabla7[],7,FALSE)</f>
        <v>58</v>
      </c>
      <c r="C557" s="24">
        <v>60.110757753749297</v>
      </c>
      <c r="D557" s="15">
        <f>(B557-C557)/B557*100</f>
        <v>-3.6392375064643052</v>
      </c>
      <c r="E557" s="16" t="str">
        <f>IF(Tabla1[[#This Row],[% Error1]]&gt;$E$1,Tabla1[[#This Row],[No]],IF(Tabla1[[#This Row],[% Error1]]&lt;-$E$1,Tabla1[[#This Row],[No]],""))</f>
        <v/>
      </c>
      <c r="F557" s="16" t="str">
        <f>IF(Tabla1[[#This Row],[ID]]="","",VLOOKUP(Tabla1[[#This Row],[ID]],Tabla7[],2,FALSE))</f>
        <v/>
      </c>
      <c r="G557" s="14" t="str">
        <f>IF(Tabla1[[#This Row],[ID]]="","",VLOOKUP(Tabla1[[#This Row],[ID]],Tabla7[],36,FALSE))</f>
        <v/>
      </c>
      <c r="H557" s="16" t="str">
        <f>IF(Tabla1[[#This Row],[ID]]="","",VLOOKUP(Tabla1[[#This Row],[ID]],Tabla7[],4,FALSE))</f>
        <v/>
      </c>
      <c r="I557" s="16" t="str">
        <f>IF(Tabla1[[#This Row],[ID]]="","",VLOOKUP(Tabla1[[#This Row],[ID]],Tabla1[],4,FALSE))</f>
        <v/>
      </c>
      <c r="J557" s="16">
        <f>Tabla1[[#This Row],[CN Literatura]]-Tabla1[[#This Row],[CN Predicted]]</f>
        <v>-2.1107577537492972</v>
      </c>
    </row>
    <row r="558" spans="1:10" x14ac:dyDescent="0.25">
      <c r="A558" s="1">
        <f>Desgloce!A557</f>
        <v>592</v>
      </c>
      <c r="B558" s="14">
        <f>VLOOKUP(Tabla1[[#This Row],[No]],Tabla7[],7,FALSE)</f>
        <v>58.6</v>
      </c>
      <c r="C558" s="24">
        <v>58.084668799689901</v>
      </c>
      <c r="D558" s="15">
        <f>(B558-C558)/B558*100</f>
        <v>0.87940477868617872</v>
      </c>
      <c r="E558" s="16" t="str">
        <f>IF(Tabla1[[#This Row],[% Error1]]&gt;$E$1,Tabla1[[#This Row],[No]],IF(Tabla1[[#This Row],[% Error1]]&lt;-$E$1,Tabla1[[#This Row],[No]],""))</f>
        <v/>
      </c>
      <c r="F558" s="16" t="str">
        <f>IF(Tabla1[[#This Row],[ID]]="","",VLOOKUP(Tabla1[[#This Row],[ID]],Tabla7[],2,FALSE))</f>
        <v/>
      </c>
      <c r="G558" s="14" t="str">
        <f>IF(Tabla1[[#This Row],[ID]]="","",VLOOKUP(Tabla1[[#This Row],[ID]],Tabla7[],36,FALSE))</f>
        <v/>
      </c>
      <c r="H558" s="16" t="str">
        <f>IF(Tabla1[[#This Row],[ID]]="","",VLOOKUP(Tabla1[[#This Row],[ID]],Tabla7[],4,FALSE))</f>
        <v/>
      </c>
      <c r="I558" s="16" t="str">
        <f>IF(Tabla1[[#This Row],[ID]]="","",VLOOKUP(Tabla1[[#This Row],[ID]],Tabla1[],4,FALSE))</f>
        <v/>
      </c>
      <c r="J558" s="16">
        <f>Tabla1[[#This Row],[CN Literatura]]-Tabla1[[#This Row],[CN Predicted]]</f>
        <v>0.51533120031010071</v>
      </c>
    </row>
    <row r="559" spans="1:10" x14ac:dyDescent="0.25">
      <c r="A559" s="1">
        <f>Desgloce!A558</f>
        <v>593</v>
      </c>
      <c r="B559" s="14">
        <f>VLOOKUP(Tabla1[[#This Row],[No]],Tabla7[],7,FALSE)</f>
        <v>58.6</v>
      </c>
      <c r="C559" s="24">
        <v>63.835930598468202</v>
      </c>
      <c r="D559" s="15">
        <f>(B559-C559)/B559*100</f>
        <v>-8.9350351509696271</v>
      </c>
      <c r="E559" s="16" t="str">
        <f>IF(Tabla1[[#This Row],[% Error1]]&gt;$E$1,Tabla1[[#This Row],[No]],IF(Tabla1[[#This Row],[% Error1]]&lt;-$E$1,Tabla1[[#This Row],[No]],""))</f>
        <v/>
      </c>
      <c r="F559" s="16" t="str">
        <f>IF(Tabla1[[#This Row],[ID]]="","",VLOOKUP(Tabla1[[#This Row],[ID]],Tabla7[],2,FALSE))</f>
        <v/>
      </c>
      <c r="G559" s="14" t="str">
        <f>IF(Tabla1[[#This Row],[ID]]="","",VLOOKUP(Tabla1[[#This Row],[ID]],Tabla7[],36,FALSE))</f>
        <v/>
      </c>
      <c r="H559" s="16" t="str">
        <f>IF(Tabla1[[#This Row],[ID]]="","",VLOOKUP(Tabla1[[#This Row],[ID]],Tabla7[],4,FALSE))</f>
        <v/>
      </c>
      <c r="I559" s="16" t="str">
        <f>IF(Tabla1[[#This Row],[ID]]="","",VLOOKUP(Tabla1[[#This Row],[ID]],Tabla1[],4,FALSE))</f>
        <v/>
      </c>
      <c r="J559" s="16">
        <f>Tabla1[[#This Row],[CN Literatura]]-Tabla1[[#This Row],[CN Predicted]]</f>
        <v>-5.235930598468201</v>
      </c>
    </row>
    <row r="560" spans="1:10" x14ac:dyDescent="0.25">
      <c r="A560" s="1">
        <f>Desgloce!A559</f>
        <v>594</v>
      </c>
      <c r="B560" s="14">
        <f>VLOOKUP(Tabla1[[#This Row],[No]],Tabla7[],7,FALSE)</f>
        <v>58.8</v>
      </c>
      <c r="C560" s="24">
        <v>63.662374806344097</v>
      </c>
      <c r="D560" s="15">
        <f>(B560-C560)/B560*100</f>
        <v>-8.2693449087484705</v>
      </c>
      <c r="E560" s="16" t="str">
        <f>IF(Tabla1[[#This Row],[% Error1]]&gt;$E$1,Tabla1[[#This Row],[No]],IF(Tabla1[[#This Row],[% Error1]]&lt;-$E$1,Tabla1[[#This Row],[No]],""))</f>
        <v/>
      </c>
      <c r="F560" s="16" t="str">
        <f>IF(Tabla1[[#This Row],[ID]]="","",VLOOKUP(Tabla1[[#This Row],[ID]],Tabla7[],2,FALSE))</f>
        <v/>
      </c>
      <c r="G560" s="14" t="str">
        <f>IF(Tabla1[[#This Row],[ID]]="","",VLOOKUP(Tabla1[[#This Row],[ID]],Tabla7[],36,FALSE))</f>
        <v/>
      </c>
      <c r="H560" s="16" t="str">
        <f>IF(Tabla1[[#This Row],[ID]]="","",VLOOKUP(Tabla1[[#This Row],[ID]],Tabla7[],4,FALSE))</f>
        <v/>
      </c>
      <c r="I560" s="16" t="str">
        <f>IF(Tabla1[[#This Row],[ID]]="","",VLOOKUP(Tabla1[[#This Row],[ID]],Tabla1[],4,FALSE))</f>
        <v/>
      </c>
      <c r="J560" s="16">
        <f>Tabla1[[#This Row],[CN Literatura]]-Tabla1[[#This Row],[CN Predicted]]</f>
        <v>-4.8623748063440999</v>
      </c>
    </row>
    <row r="561" spans="1:10" x14ac:dyDescent="0.25">
      <c r="A561" s="1">
        <f>Desgloce!A560</f>
        <v>595</v>
      </c>
      <c r="B561" s="14">
        <f>VLOOKUP(Tabla1[[#This Row],[No]],Tabla7[],7,FALSE)</f>
        <v>58.8</v>
      </c>
      <c r="C561" s="24">
        <v>54.921813539281104</v>
      </c>
      <c r="D561" s="15">
        <f>(B561-C561)/B561*100</f>
        <v>6.5955552053042421</v>
      </c>
      <c r="E561" s="16" t="str">
        <f>IF(Tabla1[[#This Row],[% Error1]]&gt;$E$1,Tabla1[[#This Row],[No]],IF(Tabla1[[#This Row],[% Error1]]&lt;-$E$1,Tabla1[[#This Row],[No]],""))</f>
        <v/>
      </c>
      <c r="F561" s="16" t="str">
        <f>IF(Tabla1[[#This Row],[ID]]="","",VLOOKUP(Tabla1[[#This Row],[ID]],Tabla7[],2,FALSE))</f>
        <v/>
      </c>
      <c r="G561" s="14" t="str">
        <f>IF(Tabla1[[#This Row],[ID]]="","",VLOOKUP(Tabla1[[#This Row],[ID]],Tabla7[],36,FALSE))</f>
        <v/>
      </c>
      <c r="H561" s="16" t="str">
        <f>IF(Tabla1[[#This Row],[ID]]="","",VLOOKUP(Tabla1[[#This Row],[ID]],Tabla7[],4,FALSE))</f>
        <v/>
      </c>
      <c r="I561" s="16" t="str">
        <f>IF(Tabla1[[#This Row],[ID]]="","",VLOOKUP(Tabla1[[#This Row],[ID]],Tabla1[],4,FALSE))</f>
        <v/>
      </c>
      <c r="J561" s="16">
        <f>Tabla1[[#This Row],[CN Literatura]]-Tabla1[[#This Row],[CN Predicted]]</f>
        <v>3.8781864607188936</v>
      </c>
    </row>
    <row r="562" spans="1:10" x14ac:dyDescent="0.25">
      <c r="A562" s="1">
        <f>Desgloce!A561</f>
        <v>596</v>
      </c>
      <c r="B562" s="14">
        <f>VLOOKUP(Tabla1[[#This Row],[No]],Tabla7[],7,FALSE)</f>
        <v>59</v>
      </c>
      <c r="C562" s="24">
        <v>53.468473860464599</v>
      </c>
      <c r="D562" s="15">
        <f>(B562-C562)/B562*100</f>
        <v>9.3754680331108489</v>
      </c>
      <c r="E562" s="16" t="str">
        <f>IF(Tabla1[[#This Row],[% Error1]]&gt;$E$1,Tabla1[[#This Row],[No]],IF(Tabla1[[#This Row],[% Error1]]&lt;-$E$1,Tabla1[[#This Row],[No]],""))</f>
        <v/>
      </c>
      <c r="F562" s="16" t="str">
        <f>IF(Tabla1[[#This Row],[ID]]="","",VLOOKUP(Tabla1[[#This Row],[ID]],Tabla7[],2,FALSE))</f>
        <v/>
      </c>
      <c r="G562" s="14" t="str">
        <f>IF(Tabla1[[#This Row],[ID]]="","",VLOOKUP(Tabla1[[#This Row],[ID]],Tabla7[],36,FALSE))</f>
        <v/>
      </c>
      <c r="H562" s="16" t="str">
        <f>IF(Tabla1[[#This Row],[ID]]="","",VLOOKUP(Tabla1[[#This Row],[ID]],Tabla7[],4,FALSE))</f>
        <v/>
      </c>
      <c r="I562" s="16" t="str">
        <f>IF(Tabla1[[#This Row],[ID]]="","",VLOOKUP(Tabla1[[#This Row],[ID]],Tabla1[],4,FALSE))</f>
        <v/>
      </c>
      <c r="J562" s="16">
        <f>Tabla1[[#This Row],[CN Literatura]]-Tabla1[[#This Row],[CN Predicted]]</f>
        <v>5.5315261395354014</v>
      </c>
    </row>
    <row r="563" spans="1:10" x14ac:dyDescent="0.25">
      <c r="A563" s="1">
        <f>Desgloce!A562</f>
        <v>598</v>
      </c>
      <c r="B563" s="14">
        <f>VLOOKUP(Tabla1[[#This Row],[No]],Tabla7[],7,FALSE)</f>
        <v>59</v>
      </c>
      <c r="C563" s="24">
        <v>54.203099836156902</v>
      </c>
      <c r="D563" s="15">
        <f>(B563-C563)/B563*100</f>
        <v>8.1303392607510148</v>
      </c>
      <c r="E563" s="16" t="str">
        <f>IF(Tabla1[[#This Row],[% Error1]]&gt;$E$1,Tabla1[[#This Row],[No]],IF(Tabla1[[#This Row],[% Error1]]&lt;-$E$1,Tabla1[[#This Row],[No]],""))</f>
        <v/>
      </c>
      <c r="F563" s="16" t="str">
        <f>IF(Tabla1[[#This Row],[ID]]="","",VLOOKUP(Tabla1[[#This Row],[ID]],Tabla7[],2,FALSE))</f>
        <v/>
      </c>
      <c r="G563" s="14" t="str">
        <f>IF(Tabla1[[#This Row],[ID]]="","",VLOOKUP(Tabla1[[#This Row],[ID]],Tabla7[],36,FALSE))</f>
        <v/>
      </c>
      <c r="H563" s="16" t="str">
        <f>IF(Tabla1[[#This Row],[ID]]="","",VLOOKUP(Tabla1[[#This Row],[ID]],Tabla7[],4,FALSE))</f>
        <v/>
      </c>
      <c r="I563" s="16" t="str">
        <f>IF(Tabla1[[#This Row],[ID]]="","",VLOOKUP(Tabla1[[#This Row],[ID]],Tabla1[],4,FALSE))</f>
        <v/>
      </c>
      <c r="J563" s="16">
        <f>Tabla1[[#This Row],[CN Literatura]]-Tabla1[[#This Row],[CN Predicted]]</f>
        <v>4.7969001638430981</v>
      </c>
    </row>
    <row r="564" spans="1:10" x14ac:dyDescent="0.25">
      <c r="A564" s="1">
        <f>Desgloce!A563</f>
        <v>600</v>
      </c>
      <c r="B564" s="14">
        <f>VLOOKUP(Tabla1[[#This Row],[No]],Tabla7[],7,FALSE)</f>
        <v>59</v>
      </c>
      <c r="C564" s="24">
        <v>53.708855403692503</v>
      </c>
      <c r="D564" s="15">
        <f>(B564-C564)/B564*100</f>
        <v>8.9680416886567755</v>
      </c>
      <c r="E564" s="16" t="str">
        <f>IF(Tabla1[[#This Row],[% Error1]]&gt;$E$1,Tabla1[[#This Row],[No]],IF(Tabla1[[#This Row],[% Error1]]&lt;-$E$1,Tabla1[[#This Row],[No]],""))</f>
        <v/>
      </c>
      <c r="F564" s="16" t="str">
        <f>IF(Tabla1[[#This Row],[ID]]="","",VLOOKUP(Tabla1[[#This Row],[ID]],Tabla7[],2,FALSE))</f>
        <v/>
      </c>
      <c r="G564" s="14" t="str">
        <f>IF(Tabla1[[#This Row],[ID]]="","",VLOOKUP(Tabla1[[#This Row],[ID]],Tabla7[],36,FALSE))</f>
        <v/>
      </c>
      <c r="H564" s="16" t="str">
        <f>IF(Tabla1[[#This Row],[ID]]="","",VLOOKUP(Tabla1[[#This Row],[ID]],Tabla7[],4,FALSE))</f>
        <v/>
      </c>
      <c r="I564" s="16" t="str">
        <f>IF(Tabla1[[#This Row],[ID]]="","",VLOOKUP(Tabla1[[#This Row],[ID]],Tabla1[],4,FALSE))</f>
        <v/>
      </c>
      <c r="J564" s="16">
        <f>Tabla1[[#This Row],[CN Literatura]]-Tabla1[[#This Row],[CN Predicted]]</f>
        <v>5.2911445963074968</v>
      </c>
    </row>
    <row r="565" spans="1:10" x14ac:dyDescent="0.25">
      <c r="A565" s="1">
        <f>Desgloce!A564</f>
        <v>601</v>
      </c>
      <c r="B565" s="14">
        <f>VLOOKUP(Tabla1[[#This Row],[No]],Tabla7[],7,FALSE)</f>
        <v>59</v>
      </c>
      <c r="C565" s="24">
        <v>74.924974586733597</v>
      </c>
      <c r="D565" s="15">
        <f>(B565-C565)/B565*100</f>
        <v>-26.99148235039593</v>
      </c>
      <c r="E565" s="16">
        <f>IF(Tabla1[[#This Row],[% Error1]]&gt;$E$1,Tabla1[[#This Row],[No]],IF(Tabla1[[#This Row],[% Error1]]&lt;-$E$1,Tabla1[[#This Row],[No]],""))</f>
        <v>601</v>
      </c>
      <c r="F565" s="16" t="str">
        <f>IF(Tabla1[[#This Row],[ID]]="","",VLOOKUP(Tabla1[[#This Row],[ID]],Tabla7[],2,FALSE))</f>
        <v>CCCCCCCC[C@H](C)[C@@H](C)CCCCCCCC</v>
      </c>
      <c r="G565" s="14" t="str">
        <f>IF(Tabla1[[#This Row],[ID]]="","",VLOOKUP(Tabla1[[#This Row],[ID]],Tabla7[],36,FALSE))</f>
        <v>Training</v>
      </c>
      <c r="H565" s="16" t="str">
        <f>IF(Tabla1[[#This Row],[ID]]="","",VLOOKUP(Tabla1[[#This Row],[ID]],Tabla7[],4,FALSE))</f>
        <v>n-Alkane</v>
      </c>
      <c r="I565" s="16">
        <f>IF(Tabla1[[#This Row],[ID]]="","",VLOOKUP(Tabla1[[#This Row],[ID]],Tabla1[],4,FALSE))</f>
        <v>-26.99148235039593</v>
      </c>
      <c r="J565" s="16">
        <f>Tabla1[[#This Row],[CN Literatura]]-Tabla1[[#This Row],[CN Predicted]]</f>
        <v>-15.924974586733597</v>
      </c>
    </row>
    <row r="566" spans="1:10" x14ac:dyDescent="0.25">
      <c r="A566" s="1">
        <f>Desgloce!A565</f>
        <v>603</v>
      </c>
      <c r="B566" s="14">
        <f>VLOOKUP(Tabla1[[#This Row],[No]],Tabla7[],7,FALSE)</f>
        <v>59.6</v>
      </c>
      <c r="C566" s="24">
        <v>71.137739306117396</v>
      </c>
      <c r="D566" s="15">
        <f>(B566-C566)/B566*100</f>
        <v>-19.358622996841266</v>
      </c>
      <c r="E566" s="16">
        <f>IF(Tabla1[[#This Row],[% Error1]]&gt;$E$1,Tabla1[[#This Row],[No]],IF(Tabla1[[#This Row],[% Error1]]&lt;-$E$1,Tabla1[[#This Row],[No]],""))</f>
        <v>603</v>
      </c>
      <c r="F566" s="16" t="str">
        <f>IF(Tabla1[[#This Row],[ID]]="","",VLOOKUP(Tabla1[[#This Row],[ID]],Tabla7[],2,FALSE))</f>
        <v>CCCCCCCC/C=C\CCCCCCCC(=O)OCC(C)C</v>
      </c>
      <c r="G566" s="14" t="str">
        <f>IF(Tabla1[[#This Row],[ID]]="","",VLOOKUP(Tabla1[[#This Row],[ID]],Tabla7[],36,FALSE))</f>
        <v>Training</v>
      </c>
      <c r="H566" s="16" t="str">
        <f>IF(Tabla1[[#This Row],[ID]]="","",VLOOKUP(Tabla1[[#This Row],[ID]],Tabla7[],4,FALSE))</f>
        <v>Ester</v>
      </c>
      <c r="I566" s="16">
        <f>IF(Tabla1[[#This Row],[ID]]="","",VLOOKUP(Tabla1[[#This Row],[ID]],Tabla1[],4,FALSE))</f>
        <v>-19.358622996841266</v>
      </c>
      <c r="J566" s="16">
        <f>Tabla1[[#This Row],[CN Literatura]]-Tabla1[[#This Row],[CN Predicted]]</f>
        <v>-11.537739306117395</v>
      </c>
    </row>
    <row r="567" spans="1:10" x14ac:dyDescent="0.25">
      <c r="A567" s="1">
        <f>Desgloce!A566</f>
        <v>604</v>
      </c>
      <c r="B567" s="14">
        <f>VLOOKUP(Tabla1[[#This Row],[No]],Tabla7[],7,FALSE)</f>
        <v>59.7</v>
      </c>
      <c r="C567" s="24">
        <v>54.687430102217803</v>
      </c>
      <c r="D567" s="15">
        <f>(B567-C567)/B567*100</f>
        <v>8.3962644853973192</v>
      </c>
      <c r="E567" s="16" t="str">
        <f>IF(Tabla1[[#This Row],[% Error1]]&gt;$E$1,Tabla1[[#This Row],[No]],IF(Tabla1[[#This Row],[% Error1]]&lt;-$E$1,Tabla1[[#This Row],[No]],""))</f>
        <v/>
      </c>
      <c r="F567" s="16" t="str">
        <f>IF(Tabla1[[#This Row],[ID]]="","",VLOOKUP(Tabla1[[#This Row],[ID]],Tabla7[],2,FALSE))</f>
        <v/>
      </c>
      <c r="G567" s="14" t="str">
        <f>IF(Tabla1[[#This Row],[ID]]="","",VLOOKUP(Tabla1[[#This Row],[ID]],Tabla7[],36,FALSE))</f>
        <v/>
      </c>
      <c r="H567" s="16" t="str">
        <f>IF(Tabla1[[#This Row],[ID]]="","",VLOOKUP(Tabla1[[#This Row],[ID]],Tabla7[],4,FALSE))</f>
        <v/>
      </c>
      <c r="I567" s="16" t="str">
        <f>IF(Tabla1[[#This Row],[ID]]="","",VLOOKUP(Tabla1[[#This Row],[ID]],Tabla1[],4,FALSE))</f>
        <v/>
      </c>
      <c r="J567" s="16">
        <f>Tabla1[[#This Row],[CN Literatura]]-Tabla1[[#This Row],[CN Predicted]]</f>
        <v>5.0125698977821997</v>
      </c>
    </row>
    <row r="568" spans="1:10" x14ac:dyDescent="0.25">
      <c r="A568" s="1">
        <f>Desgloce!A567</f>
        <v>605</v>
      </c>
      <c r="B568" s="14">
        <f>VLOOKUP(Tabla1[[#This Row],[No]],Tabla7[],7,FALSE)</f>
        <v>60.8</v>
      </c>
      <c r="C568" s="24">
        <v>61.507412702693202</v>
      </c>
      <c r="D568" s="15">
        <f>(B568-C568)/B568*100</f>
        <v>-1.1635077346927709</v>
      </c>
      <c r="E568" s="16" t="str">
        <f>IF(Tabla1[[#This Row],[% Error1]]&gt;$E$1,Tabla1[[#This Row],[No]],IF(Tabla1[[#This Row],[% Error1]]&lt;-$E$1,Tabla1[[#This Row],[No]],""))</f>
        <v/>
      </c>
      <c r="F568" s="16" t="str">
        <f>IF(Tabla1[[#This Row],[ID]]="","",VLOOKUP(Tabla1[[#This Row],[ID]],Tabla7[],2,FALSE))</f>
        <v/>
      </c>
      <c r="G568" s="14" t="str">
        <f>IF(Tabla1[[#This Row],[ID]]="","",VLOOKUP(Tabla1[[#This Row],[ID]],Tabla7[],36,FALSE))</f>
        <v/>
      </c>
      <c r="H568" s="16" t="str">
        <f>IF(Tabla1[[#This Row],[ID]]="","",VLOOKUP(Tabla1[[#This Row],[ID]],Tabla7[],4,FALSE))</f>
        <v/>
      </c>
      <c r="I568" s="16" t="str">
        <f>IF(Tabla1[[#This Row],[ID]]="","",VLOOKUP(Tabla1[[#This Row],[ID]],Tabla1[],4,FALSE))</f>
        <v/>
      </c>
      <c r="J568" s="16">
        <f>Tabla1[[#This Row],[CN Literatura]]-Tabla1[[#This Row],[CN Predicted]]</f>
        <v>-0.70741270269320466</v>
      </c>
    </row>
    <row r="569" spans="1:10" x14ac:dyDescent="0.25">
      <c r="A569" s="1">
        <f>Desgloce!A568</f>
        <v>606</v>
      </c>
      <c r="B569" s="14">
        <f>VLOOKUP(Tabla1[[#This Row],[No]],Tabla7[],7,FALSE)</f>
        <v>60.85</v>
      </c>
      <c r="C569" s="24">
        <v>61.089321186759499</v>
      </c>
      <c r="D569" s="15">
        <f>(B569-C569)/B569*100</f>
        <v>-0.39329693797780951</v>
      </c>
      <c r="E569" s="16" t="str">
        <f>IF(Tabla1[[#This Row],[% Error1]]&gt;$E$1,Tabla1[[#This Row],[No]],IF(Tabla1[[#This Row],[% Error1]]&lt;-$E$1,Tabla1[[#This Row],[No]],""))</f>
        <v/>
      </c>
      <c r="F569" s="16" t="str">
        <f>IF(Tabla1[[#This Row],[ID]]="","",VLOOKUP(Tabla1[[#This Row],[ID]],Tabla7[],2,FALSE))</f>
        <v/>
      </c>
      <c r="G569" s="14" t="str">
        <f>IF(Tabla1[[#This Row],[ID]]="","",VLOOKUP(Tabla1[[#This Row],[ID]],Tabla7[],36,FALSE))</f>
        <v/>
      </c>
      <c r="H569" s="16" t="str">
        <f>IF(Tabla1[[#This Row],[ID]]="","",VLOOKUP(Tabla1[[#This Row],[ID]],Tabla7[],4,FALSE))</f>
        <v/>
      </c>
      <c r="I569" s="16" t="str">
        <f>IF(Tabla1[[#This Row],[ID]]="","",VLOOKUP(Tabla1[[#This Row],[ID]],Tabla1[],4,FALSE))</f>
        <v/>
      </c>
      <c r="J569" s="16">
        <f>Tabla1[[#This Row],[CN Literatura]]-Tabla1[[#This Row],[CN Predicted]]</f>
        <v>-0.2393211867594971</v>
      </c>
    </row>
    <row r="570" spans="1:10" x14ac:dyDescent="0.25">
      <c r="A570" s="1">
        <f>Desgloce!A569</f>
        <v>607</v>
      </c>
      <c r="B570" s="14">
        <f>VLOOKUP(Tabla1[[#This Row],[No]],Tabla7[],7,FALSE)</f>
        <v>60.85</v>
      </c>
      <c r="C570" s="24">
        <v>55.272021032468402</v>
      </c>
      <c r="D570" s="15">
        <f>(B570-C570)/B570*100</f>
        <v>9.1667690509968764</v>
      </c>
      <c r="E570" s="16" t="str">
        <f>IF(Tabla1[[#This Row],[% Error1]]&gt;$E$1,Tabla1[[#This Row],[No]],IF(Tabla1[[#This Row],[% Error1]]&lt;-$E$1,Tabla1[[#This Row],[No]],""))</f>
        <v/>
      </c>
      <c r="F570" s="16" t="str">
        <f>IF(Tabla1[[#This Row],[ID]]="","",VLOOKUP(Tabla1[[#This Row],[ID]],Tabla7[],2,FALSE))</f>
        <v/>
      </c>
      <c r="G570" s="14" t="str">
        <f>IF(Tabla1[[#This Row],[ID]]="","",VLOOKUP(Tabla1[[#This Row],[ID]],Tabla7[],36,FALSE))</f>
        <v/>
      </c>
      <c r="H570" s="16" t="str">
        <f>IF(Tabla1[[#This Row],[ID]]="","",VLOOKUP(Tabla1[[#This Row],[ID]],Tabla7[],4,FALSE))</f>
        <v/>
      </c>
      <c r="I570" s="16" t="str">
        <f>IF(Tabla1[[#This Row],[ID]]="","",VLOOKUP(Tabla1[[#This Row],[ID]],Tabla1[],4,FALSE))</f>
        <v/>
      </c>
      <c r="J570" s="16">
        <f>Tabla1[[#This Row],[CN Literatura]]-Tabla1[[#This Row],[CN Predicted]]</f>
        <v>5.5779789675315996</v>
      </c>
    </row>
    <row r="571" spans="1:10" x14ac:dyDescent="0.25">
      <c r="A571" s="1">
        <f>Desgloce!A570</f>
        <v>608</v>
      </c>
      <c r="B571" s="14">
        <f>VLOOKUP(Tabla1[[#This Row],[No]],Tabla7[],7,FALSE)</f>
        <v>61</v>
      </c>
      <c r="C571" s="24">
        <v>65.503137742304503</v>
      </c>
      <c r="D571" s="15">
        <f>(B571-C571)/B571*100</f>
        <v>-7.3821930201713171</v>
      </c>
      <c r="E571" s="16" t="str">
        <f>IF(Tabla1[[#This Row],[% Error1]]&gt;$E$1,Tabla1[[#This Row],[No]],IF(Tabla1[[#This Row],[% Error1]]&lt;-$E$1,Tabla1[[#This Row],[No]],""))</f>
        <v/>
      </c>
      <c r="F571" s="16" t="str">
        <f>IF(Tabla1[[#This Row],[ID]]="","",VLOOKUP(Tabla1[[#This Row],[ID]],Tabla7[],2,FALSE))</f>
        <v/>
      </c>
      <c r="G571" s="14" t="str">
        <f>IF(Tabla1[[#This Row],[ID]]="","",VLOOKUP(Tabla1[[#This Row],[ID]],Tabla7[],36,FALSE))</f>
        <v/>
      </c>
      <c r="H571" s="16" t="str">
        <f>IF(Tabla1[[#This Row],[ID]]="","",VLOOKUP(Tabla1[[#This Row],[ID]],Tabla7[],4,FALSE))</f>
        <v/>
      </c>
      <c r="I571" s="16" t="str">
        <f>IF(Tabla1[[#This Row],[ID]]="","",VLOOKUP(Tabla1[[#This Row],[ID]],Tabla1[],4,FALSE))</f>
        <v/>
      </c>
      <c r="J571" s="16">
        <f>Tabla1[[#This Row],[CN Literatura]]-Tabla1[[#This Row],[CN Predicted]]</f>
        <v>-4.5031377423045029</v>
      </c>
    </row>
    <row r="572" spans="1:10" x14ac:dyDescent="0.25">
      <c r="A572" s="1">
        <f>Desgloce!A571</f>
        <v>609</v>
      </c>
      <c r="B572" s="14">
        <f>VLOOKUP(Tabla1[[#This Row],[No]],Tabla7[],7,FALSE)</f>
        <v>61</v>
      </c>
      <c r="C572" s="24">
        <v>65.277021368632205</v>
      </c>
      <c r="D572" s="15">
        <f>(B572-C572)/B572*100</f>
        <v>-7.0115104403806638</v>
      </c>
      <c r="E572" s="16" t="str">
        <f>IF(Tabla1[[#This Row],[% Error1]]&gt;$E$1,Tabla1[[#This Row],[No]],IF(Tabla1[[#This Row],[% Error1]]&lt;-$E$1,Tabla1[[#This Row],[No]],""))</f>
        <v/>
      </c>
      <c r="F572" s="16" t="str">
        <f>IF(Tabla1[[#This Row],[ID]]="","",VLOOKUP(Tabla1[[#This Row],[ID]],Tabla7[],2,FALSE))</f>
        <v/>
      </c>
      <c r="G572" s="14" t="str">
        <f>IF(Tabla1[[#This Row],[ID]]="","",VLOOKUP(Tabla1[[#This Row],[ID]],Tabla7[],36,FALSE))</f>
        <v/>
      </c>
      <c r="H572" s="16" t="str">
        <f>IF(Tabla1[[#This Row],[ID]]="","",VLOOKUP(Tabla1[[#This Row],[ID]],Tabla7[],4,FALSE))</f>
        <v/>
      </c>
      <c r="I572" s="16" t="str">
        <f>IF(Tabla1[[#This Row],[ID]]="","",VLOOKUP(Tabla1[[#This Row],[ID]],Tabla1[],4,FALSE))</f>
        <v/>
      </c>
      <c r="J572" s="16">
        <f>Tabla1[[#This Row],[CN Literatura]]-Tabla1[[#This Row],[CN Predicted]]</f>
        <v>-4.2770213686322052</v>
      </c>
    </row>
    <row r="573" spans="1:10" x14ac:dyDescent="0.25">
      <c r="A573" s="1">
        <f>Desgloce!A572</f>
        <v>610</v>
      </c>
      <c r="B573" s="14">
        <f>VLOOKUP(Tabla1[[#This Row],[No]],Tabla7[],7,FALSE)</f>
        <v>61</v>
      </c>
      <c r="C573" s="24">
        <v>62.3502723116111</v>
      </c>
      <c r="D573" s="15">
        <f>(B573-C573)/B573*100</f>
        <v>-2.2135611665755737</v>
      </c>
      <c r="E573" s="16" t="str">
        <f>IF(Tabla1[[#This Row],[% Error1]]&gt;$E$1,Tabla1[[#This Row],[No]],IF(Tabla1[[#This Row],[% Error1]]&lt;-$E$1,Tabla1[[#This Row],[No]],""))</f>
        <v/>
      </c>
      <c r="F573" s="16" t="str">
        <f>IF(Tabla1[[#This Row],[ID]]="","",VLOOKUP(Tabla1[[#This Row],[ID]],Tabla7[],2,FALSE))</f>
        <v/>
      </c>
      <c r="G573" s="14" t="str">
        <f>IF(Tabla1[[#This Row],[ID]]="","",VLOOKUP(Tabla1[[#This Row],[ID]],Tabla7[],36,FALSE))</f>
        <v/>
      </c>
      <c r="H573" s="16" t="str">
        <f>IF(Tabla1[[#This Row],[ID]]="","",VLOOKUP(Tabla1[[#This Row],[ID]],Tabla7[],4,FALSE))</f>
        <v/>
      </c>
      <c r="I573" s="16" t="str">
        <f>IF(Tabla1[[#This Row],[ID]]="","",VLOOKUP(Tabla1[[#This Row],[ID]],Tabla1[],4,FALSE))</f>
        <v/>
      </c>
      <c r="J573" s="16">
        <f>Tabla1[[#This Row],[CN Literatura]]-Tabla1[[#This Row],[CN Predicted]]</f>
        <v>-1.3502723116111</v>
      </c>
    </row>
    <row r="574" spans="1:10" x14ac:dyDescent="0.25">
      <c r="A574" s="1">
        <f>Desgloce!A573</f>
        <v>611</v>
      </c>
      <c r="B574" s="14">
        <f>VLOOKUP(Tabla1[[#This Row],[No]],Tabla7[],7,FALSE)</f>
        <v>61.1</v>
      </c>
      <c r="C574" s="24">
        <v>54.633216807234</v>
      </c>
      <c r="D574" s="15">
        <f>(B574-C574)/B574*100</f>
        <v>10.583933212382982</v>
      </c>
      <c r="E574" s="16">
        <f>IF(Tabla1[[#This Row],[% Error1]]&gt;$E$1,Tabla1[[#This Row],[No]],IF(Tabla1[[#This Row],[% Error1]]&lt;-$E$1,Tabla1[[#This Row],[No]],""))</f>
        <v>611</v>
      </c>
      <c r="F574" s="16" t="str">
        <f>IF(Tabla1[[#This Row],[ID]]="","",VLOOKUP(Tabla1[[#This Row],[ID]],Tabla7[],2,FALSE))</f>
        <v>C=COCC1CCC(CC1)COC=C</v>
      </c>
      <c r="G574" s="14" t="str">
        <f>IF(Tabla1[[#This Row],[ID]]="","",VLOOKUP(Tabla1[[#This Row],[ID]],Tabla7[],36,FALSE))</f>
        <v>Training</v>
      </c>
      <c r="H574" s="16" t="str">
        <f>IF(Tabla1[[#This Row],[ID]]="","",VLOOKUP(Tabla1[[#This Row],[ID]],Tabla7[],4,FALSE))</f>
        <v>Polyfunctional</v>
      </c>
      <c r="I574" s="16">
        <f>IF(Tabla1[[#This Row],[ID]]="","",VLOOKUP(Tabla1[[#This Row],[ID]],Tabla1[],4,FALSE))</f>
        <v>10.583933212382982</v>
      </c>
      <c r="J574" s="16">
        <f>Tabla1[[#This Row],[CN Literatura]]-Tabla1[[#This Row],[CN Predicted]]</f>
        <v>6.4667831927660018</v>
      </c>
    </row>
    <row r="575" spans="1:10" x14ac:dyDescent="0.25">
      <c r="A575" s="1">
        <f>Desgloce!A574</f>
        <v>612</v>
      </c>
      <c r="B575" s="14">
        <f>VLOOKUP(Tabla1[[#This Row],[No]],Tabla7[],7,FALSE)</f>
        <v>61.2</v>
      </c>
      <c r="C575" s="24">
        <v>82.846091487082404</v>
      </c>
      <c r="D575" s="15">
        <f>(B575-C575)/B575*100</f>
        <v>-35.369430534448362</v>
      </c>
      <c r="E575" s="16">
        <f>IF(Tabla1[[#This Row],[% Error1]]&gt;$E$1,Tabla1[[#This Row],[No]],IF(Tabla1[[#This Row],[% Error1]]&lt;-$E$1,Tabla1[[#This Row],[No]],""))</f>
        <v>612</v>
      </c>
      <c r="F575" s="16" t="str">
        <f>IF(Tabla1[[#This Row],[ID]]="","",VLOOKUP(Tabla1[[#This Row],[ID]],Tabla7[],2,FALSE))</f>
        <v>C(CCCCCCCCCCC)(=O)OC</v>
      </c>
      <c r="G575" s="14" t="str">
        <f>IF(Tabla1[[#This Row],[ID]]="","",VLOOKUP(Tabla1[[#This Row],[ID]],Tabla7[],36,FALSE))</f>
        <v>Training</v>
      </c>
      <c r="H575" s="16" t="str">
        <f>IF(Tabla1[[#This Row],[ID]]="","",VLOOKUP(Tabla1[[#This Row],[ID]],Tabla7[],4,FALSE))</f>
        <v>Ester: saturated</v>
      </c>
      <c r="I575" s="16">
        <f>IF(Tabla1[[#This Row],[ID]]="","",VLOOKUP(Tabla1[[#This Row],[ID]],Tabla1[],4,FALSE))</f>
        <v>-35.369430534448362</v>
      </c>
      <c r="J575" s="16">
        <f>Tabla1[[#This Row],[CN Literatura]]-Tabla1[[#This Row],[CN Predicted]]</f>
        <v>-21.646091487082401</v>
      </c>
    </row>
    <row r="576" spans="1:10" x14ac:dyDescent="0.25">
      <c r="A576" s="1">
        <f>Desgloce!A575</f>
        <v>613</v>
      </c>
      <c r="B576" s="14">
        <f>VLOOKUP(Tabla1[[#This Row],[No]],Tabla7[],7,FALSE)</f>
        <v>61.7</v>
      </c>
      <c r="C576" s="24">
        <v>48.398214831574599</v>
      </c>
      <c r="D576" s="15">
        <f>(B576-C576)/B576*100</f>
        <v>21.558809025000652</v>
      </c>
      <c r="E576" s="16">
        <f>IF(Tabla1[[#This Row],[% Error1]]&gt;$E$1,Tabla1[[#This Row],[No]],IF(Tabla1[[#This Row],[% Error1]]&lt;-$E$1,Tabla1[[#This Row],[No]],""))</f>
        <v>613</v>
      </c>
      <c r="F576" s="16" t="str">
        <f>IF(Tabla1[[#This Row],[ID]]="","",VLOOKUP(Tabla1[[#This Row],[ID]],Tabla7[],2,FALSE))</f>
        <v>CCCCCCCCCCCCCCCCCC(=O)O</v>
      </c>
      <c r="G576" s="14" t="str">
        <f>IF(Tabla1[[#This Row],[ID]]="","",VLOOKUP(Tabla1[[#This Row],[ID]],Tabla7[],36,FALSE))</f>
        <v>Training</v>
      </c>
      <c r="H576" s="16" t="str">
        <f>IF(Tabla1[[#This Row],[ID]]="","",VLOOKUP(Tabla1[[#This Row],[ID]],Tabla7[],4,FALSE))</f>
        <v>Ester</v>
      </c>
      <c r="I576" s="16">
        <f>IF(Tabla1[[#This Row],[ID]]="","",VLOOKUP(Tabla1[[#This Row],[ID]],Tabla1[],4,FALSE))</f>
        <v>21.558809025000652</v>
      </c>
      <c r="J576" s="16">
        <f>Tabla1[[#This Row],[CN Literatura]]-Tabla1[[#This Row],[CN Predicted]]</f>
        <v>13.301785168425404</v>
      </c>
    </row>
    <row r="577" spans="1:10" x14ac:dyDescent="0.25">
      <c r="A577" s="1">
        <f>Desgloce!A576</f>
        <v>614</v>
      </c>
      <c r="B577" s="14">
        <f>VLOOKUP(Tabla1[[#This Row],[No]],Tabla7[],7,FALSE)</f>
        <v>62</v>
      </c>
      <c r="C577" s="24">
        <v>64.145263808389103</v>
      </c>
      <c r="D577" s="15">
        <f>(B577-C577)/B577*100</f>
        <v>-3.4601029167566182</v>
      </c>
      <c r="E577" s="16" t="str">
        <f>IF(Tabla1[[#This Row],[% Error1]]&gt;$E$1,Tabla1[[#This Row],[No]],IF(Tabla1[[#This Row],[% Error1]]&lt;-$E$1,Tabla1[[#This Row],[No]],""))</f>
        <v/>
      </c>
      <c r="F577" s="16" t="str">
        <f>IF(Tabla1[[#This Row],[ID]]="","",VLOOKUP(Tabla1[[#This Row],[ID]],Tabla7[],2,FALSE))</f>
        <v/>
      </c>
      <c r="G577" s="14" t="str">
        <f>IF(Tabla1[[#This Row],[ID]]="","",VLOOKUP(Tabla1[[#This Row],[ID]],Tabla7[],36,FALSE))</f>
        <v/>
      </c>
      <c r="H577" s="16" t="str">
        <f>IF(Tabla1[[#This Row],[ID]]="","",VLOOKUP(Tabla1[[#This Row],[ID]],Tabla7[],4,FALSE))</f>
        <v/>
      </c>
      <c r="I577" s="16" t="str">
        <f>IF(Tabla1[[#This Row],[ID]]="","",VLOOKUP(Tabla1[[#This Row],[ID]],Tabla1[],4,FALSE))</f>
        <v/>
      </c>
      <c r="J577" s="16">
        <f>Tabla1[[#This Row],[CN Literatura]]-Tabla1[[#This Row],[CN Predicted]]</f>
        <v>-2.1452638083891031</v>
      </c>
    </row>
    <row r="578" spans="1:10" x14ac:dyDescent="0.25">
      <c r="A578" s="1">
        <f>Desgloce!A577</f>
        <v>616</v>
      </c>
      <c r="B578" s="14">
        <f>VLOOKUP(Tabla1[[#This Row],[No]],Tabla7[],7,FALSE)</f>
        <v>63</v>
      </c>
      <c r="C578" s="24">
        <v>58.142887137995302</v>
      </c>
      <c r="D578" s="15">
        <f>(B578-C578)/B578*100</f>
        <v>7.7097029555630119</v>
      </c>
      <c r="E578" s="16" t="str">
        <f>IF(Tabla1[[#This Row],[% Error1]]&gt;$E$1,Tabla1[[#This Row],[No]],IF(Tabla1[[#This Row],[% Error1]]&lt;-$E$1,Tabla1[[#This Row],[No]],""))</f>
        <v/>
      </c>
      <c r="F578" s="16" t="str">
        <f>IF(Tabla1[[#This Row],[ID]]="","",VLOOKUP(Tabla1[[#This Row],[ID]],Tabla7[],2,FALSE))</f>
        <v/>
      </c>
      <c r="G578" s="14" t="str">
        <f>IF(Tabla1[[#This Row],[ID]]="","",VLOOKUP(Tabla1[[#This Row],[ID]],Tabla7[],36,FALSE))</f>
        <v/>
      </c>
      <c r="H578" s="16" t="str">
        <f>IF(Tabla1[[#This Row],[ID]]="","",VLOOKUP(Tabla1[[#This Row],[ID]],Tabla7[],4,FALSE))</f>
        <v/>
      </c>
      <c r="I578" s="16" t="str">
        <f>IF(Tabla1[[#This Row],[ID]]="","",VLOOKUP(Tabla1[[#This Row],[ID]],Tabla1[],4,FALSE))</f>
        <v/>
      </c>
      <c r="J578" s="16">
        <f>Tabla1[[#This Row],[CN Literatura]]-Tabla1[[#This Row],[CN Predicted]]</f>
        <v>4.8571128620046977</v>
      </c>
    </row>
    <row r="579" spans="1:10" x14ac:dyDescent="0.25">
      <c r="A579" s="1">
        <f>Desgloce!A578</f>
        <v>617</v>
      </c>
      <c r="B579" s="14">
        <f>VLOOKUP(Tabla1[[#This Row],[No]],Tabla7[],7,FALSE)</f>
        <v>63</v>
      </c>
      <c r="C579" s="24">
        <v>64.173455950963699</v>
      </c>
      <c r="D579" s="15">
        <f>(B579-C579)/B579*100</f>
        <v>-1.8626284935931738</v>
      </c>
      <c r="E579" s="16" t="str">
        <f>IF(Tabla1[[#This Row],[% Error1]]&gt;$E$1,Tabla1[[#This Row],[No]],IF(Tabla1[[#This Row],[% Error1]]&lt;-$E$1,Tabla1[[#This Row],[No]],""))</f>
        <v/>
      </c>
      <c r="F579" s="16" t="str">
        <f>IF(Tabla1[[#This Row],[ID]]="","",VLOOKUP(Tabla1[[#This Row],[ID]],Tabla7[],2,FALSE))</f>
        <v/>
      </c>
      <c r="G579" s="14" t="str">
        <f>IF(Tabla1[[#This Row],[ID]]="","",VLOOKUP(Tabla1[[#This Row],[ID]],Tabla7[],36,FALSE))</f>
        <v/>
      </c>
      <c r="H579" s="16" t="str">
        <f>IF(Tabla1[[#This Row],[ID]]="","",VLOOKUP(Tabla1[[#This Row],[ID]],Tabla7[],4,FALSE))</f>
        <v/>
      </c>
      <c r="I579" s="16" t="str">
        <f>IF(Tabla1[[#This Row],[ID]]="","",VLOOKUP(Tabla1[[#This Row],[ID]],Tabla1[],4,FALSE))</f>
        <v/>
      </c>
      <c r="J579" s="16">
        <f>Tabla1[[#This Row],[CN Literatura]]-Tabla1[[#This Row],[CN Predicted]]</f>
        <v>-1.1734559509636995</v>
      </c>
    </row>
    <row r="580" spans="1:10" x14ac:dyDescent="0.25">
      <c r="A580" s="1">
        <f>Desgloce!A579</f>
        <v>620</v>
      </c>
      <c r="B580" s="14">
        <f>VLOOKUP(Tabla1[[#This Row],[No]],Tabla7[],7,FALSE)</f>
        <v>64</v>
      </c>
      <c r="C580" s="24">
        <v>63.383130669568303</v>
      </c>
      <c r="D580" s="15">
        <f>(B580-C580)/B580*100</f>
        <v>0.96385832879952726</v>
      </c>
      <c r="E580" s="16" t="str">
        <f>IF(Tabla1[[#This Row],[% Error1]]&gt;$E$1,Tabla1[[#This Row],[No]],IF(Tabla1[[#This Row],[% Error1]]&lt;-$E$1,Tabla1[[#This Row],[No]],""))</f>
        <v/>
      </c>
      <c r="F580" s="16" t="str">
        <f>IF(Tabla1[[#This Row],[ID]]="","",VLOOKUP(Tabla1[[#This Row],[ID]],Tabla7[],2,FALSE))</f>
        <v/>
      </c>
      <c r="G580" s="14" t="str">
        <f>IF(Tabla1[[#This Row],[ID]]="","",VLOOKUP(Tabla1[[#This Row],[ID]],Tabla7[],36,FALSE))</f>
        <v/>
      </c>
      <c r="H580" s="16" t="str">
        <f>IF(Tabla1[[#This Row],[ID]]="","",VLOOKUP(Tabla1[[#This Row],[ID]],Tabla7[],4,FALSE))</f>
        <v/>
      </c>
      <c r="I580" s="16" t="str">
        <f>IF(Tabla1[[#This Row],[ID]]="","",VLOOKUP(Tabla1[[#This Row],[ID]],Tabla1[],4,FALSE))</f>
        <v/>
      </c>
      <c r="J580" s="16">
        <f>Tabla1[[#This Row],[CN Literatura]]-Tabla1[[#This Row],[CN Predicted]]</f>
        <v>0.61686933043169745</v>
      </c>
    </row>
    <row r="581" spans="1:10" x14ac:dyDescent="0.25">
      <c r="A581" s="1">
        <f>Desgloce!A580</f>
        <v>622</v>
      </c>
      <c r="B581" s="14">
        <f>VLOOKUP(Tabla1[[#This Row],[No]],Tabla7[],7,FALSE)</f>
        <v>65</v>
      </c>
      <c r="C581" s="24">
        <v>60.613217426551401</v>
      </c>
      <c r="D581" s="15">
        <f>(B581-C581)/B581*100</f>
        <v>6.7488962668439987</v>
      </c>
      <c r="E581" s="16" t="str">
        <f>IF(Tabla1[[#This Row],[% Error1]]&gt;$E$1,Tabla1[[#This Row],[No]],IF(Tabla1[[#This Row],[% Error1]]&lt;-$E$1,Tabla1[[#This Row],[No]],""))</f>
        <v/>
      </c>
      <c r="F581" s="16" t="str">
        <f>IF(Tabla1[[#This Row],[ID]]="","",VLOOKUP(Tabla1[[#This Row],[ID]],Tabla7[],2,FALSE))</f>
        <v/>
      </c>
      <c r="G581" s="14" t="str">
        <f>IF(Tabla1[[#This Row],[ID]]="","",VLOOKUP(Tabla1[[#This Row],[ID]],Tabla7[],36,FALSE))</f>
        <v/>
      </c>
      <c r="H581" s="16" t="str">
        <f>IF(Tabla1[[#This Row],[ID]]="","",VLOOKUP(Tabla1[[#This Row],[ID]],Tabla7[],4,FALSE))</f>
        <v/>
      </c>
      <c r="I581" s="16" t="str">
        <f>IF(Tabla1[[#This Row],[ID]]="","",VLOOKUP(Tabla1[[#This Row],[ID]],Tabla1[],4,FALSE))</f>
        <v/>
      </c>
      <c r="J581" s="16">
        <f>Tabla1[[#This Row],[CN Literatura]]-Tabla1[[#This Row],[CN Predicted]]</f>
        <v>4.386782573448599</v>
      </c>
    </row>
    <row r="582" spans="1:10" x14ac:dyDescent="0.25">
      <c r="A582" s="1">
        <f>Desgloce!A581</f>
        <v>623</v>
      </c>
      <c r="B582" s="14">
        <f>VLOOKUP(Tabla1[[#This Row],[No]],Tabla7[],7,FALSE)</f>
        <v>65</v>
      </c>
      <c r="C582" s="24">
        <v>51.194534830483299</v>
      </c>
      <c r="D582" s="15">
        <f>(B582-C582)/B582*100</f>
        <v>21.239177183871849</v>
      </c>
      <c r="E582" s="16">
        <f>IF(Tabla1[[#This Row],[% Error1]]&gt;$E$1,Tabla1[[#This Row],[No]],IF(Tabla1[[#This Row],[% Error1]]&lt;-$E$1,Tabla1[[#This Row],[No]],""))</f>
        <v>623</v>
      </c>
      <c r="F582" s="16" t="str">
        <f>IF(Tabla1[[#This Row],[ID]]="","",VLOOKUP(Tabla1[[#This Row],[ID]],Tabla7[],2,FALSE))</f>
        <v>C=CCCCCCCCCC</v>
      </c>
      <c r="G582" s="14" t="str">
        <f>IF(Tabla1[[#This Row],[ID]]="","",VLOOKUP(Tabla1[[#This Row],[ID]],Tabla7[],36,FALSE))</f>
        <v>Training</v>
      </c>
      <c r="H582" s="16" t="str">
        <f>IF(Tabla1[[#This Row],[ID]]="","",VLOOKUP(Tabla1[[#This Row],[ID]],Tabla7[],4,FALSE))</f>
        <v>Alkene</v>
      </c>
      <c r="I582" s="16">
        <f>IF(Tabla1[[#This Row],[ID]]="","",VLOOKUP(Tabla1[[#This Row],[ID]],Tabla1[],4,FALSE))</f>
        <v>21.239177183871849</v>
      </c>
      <c r="J582" s="16">
        <f>Tabla1[[#This Row],[CN Literatura]]-Tabla1[[#This Row],[CN Predicted]]</f>
        <v>13.805465169516701</v>
      </c>
    </row>
    <row r="583" spans="1:10" x14ac:dyDescent="0.25">
      <c r="A583" s="1">
        <f>Desgloce!A582</f>
        <v>625</v>
      </c>
      <c r="B583" s="14">
        <f>VLOOKUP(Tabla1[[#This Row],[No]],Tabla7[],7,FALSE)</f>
        <v>66</v>
      </c>
      <c r="C583" s="24">
        <v>52.097892059143099</v>
      </c>
      <c r="D583" s="15">
        <f>(B583-C583)/B583*100</f>
        <v>21.063799910389243</v>
      </c>
      <c r="E583" s="16">
        <f>IF(Tabla1[[#This Row],[% Error1]]&gt;$E$1,Tabla1[[#This Row],[No]],IF(Tabla1[[#This Row],[% Error1]]&lt;-$E$1,Tabla1[[#This Row],[No]],""))</f>
        <v>625</v>
      </c>
      <c r="F583" s="16" t="str">
        <f>IF(Tabla1[[#This Row],[ID]]="","",VLOOKUP(Tabla1[[#This Row],[ID]],Tabla7[],2,FALSE))</f>
        <v>CC(CCCCCCCC)=CCCCCCCC</v>
      </c>
      <c r="G583" s="14" t="str">
        <f>IF(Tabla1[[#This Row],[ID]]="","",VLOOKUP(Tabla1[[#This Row],[ID]],Tabla7[],36,FALSE))</f>
        <v>Training</v>
      </c>
      <c r="H583" s="16" t="str">
        <f>IF(Tabla1[[#This Row],[ID]]="","",VLOOKUP(Tabla1[[#This Row],[ID]],Tabla7[],4,FALSE))</f>
        <v>Alkene</v>
      </c>
      <c r="I583" s="16">
        <f>IF(Tabla1[[#This Row],[ID]]="","",VLOOKUP(Tabla1[[#This Row],[ID]],Tabla1[],4,FALSE))</f>
        <v>21.063799910389243</v>
      </c>
      <c r="J583" s="16">
        <f>Tabla1[[#This Row],[CN Literatura]]-Tabla1[[#This Row],[CN Predicted]]</f>
        <v>13.902107940856901</v>
      </c>
    </row>
    <row r="584" spans="1:10" x14ac:dyDescent="0.25">
      <c r="A584" s="1">
        <f>Desgloce!A583</f>
        <v>626</v>
      </c>
      <c r="B584" s="14">
        <f>VLOOKUP(Tabla1[[#This Row],[No]],Tabla7[],7,FALSE)</f>
        <v>66</v>
      </c>
      <c r="C584" s="24">
        <v>52.097892059143099</v>
      </c>
      <c r="D584" s="15">
        <f>(B584-C584)/B584*100</f>
        <v>21.063799910389243</v>
      </c>
      <c r="E584" s="16">
        <f>IF(Tabla1[[#This Row],[% Error1]]&gt;$E$1,Tabla1[[#This Row],[No]],IF(Tabla1[[#This Row],[% Error1]]&lt;-$E$1,Tabla1[[#This Row],[No]],""))</f>
        <v>626</v>
      </c>
      <c r="F584" s="16" t="str">
        <f>IF(Tabla1[[#This Row],[ID]]="","",VLOOKUP(Tabla1[[#This Row],[ID]],Tabla7[],2,FALSE))</f>
        <v>CCCCCCCC/C(=C/CCCCCCC)/C</v>
      </c>
      <c r="G584" s="14" t="str">
        <f>IF(Tabla1[[#This Row],[ID]]="","",VLOOKUP(Tabla1[[#This Row],[ID]],Tabla7[],36,FALSE))</f>
        <v>Training</v>
      </c>
      <c r="H584" s="16" t="str">
        <f>IF(Tabla1[[#This Row],[ID]]="","",VLOOKUP(Tabla1[[#This Row],[ID]],Tabla7[],4,FALSE))</f>
        <v>Alkene</v>
      </c>
      <c r="I584" s="16">
        <f>IF(Tabla1[[#This Row],[ID]]="","",VLOOKUP(Tabla1[[#This Row],[ID]],Tabla1[],4,FALSE))</f>
        <v>21.063799910389243</v>
      </c>
      <c r="J584" s="16">
        <f>Tabla1[[#This Row],[CN Literatura]]-Tabla1[[#This Row],[CN Predicted]]</f>
        <v>13.902107940856901</v>
      </c>
    </row>
    <row r="585" spans="1:10" x14ac:dyDescent="0.25">
      <c r="A585" s="1">
        <f>Desgloce!A584</f>
        <v>627</v>
      </c>
      <c r="B585" s="14">
        <f>VLOOKUP(Tabla1[[#This Row],[No]],Tabla7[],7,FALSE)</f>
        <v>66</v>
      </c>
      <c r="C585" s="24">
        <v>69.4931288029954</v>
      </c>
      <c r="D585" s="15">
        <f>(B585-C585)/B585*100</f>
        <v>-5.2926193984778793</v>
      </c>
      <c r="E585" s="16" t="str">
        <f>IF(Tabla1[[#This Row],[% Error1]]&gt;$E$1,Tabla1[[#This Row],[No]],IF(Tabla1[[#This Row],[% Error1]]&lt;-$E$1,Tabla1[[#This Row],[No]],""))</f>
        <v/>
      </c>
      <c r="F585" s="16" t="str">
        <f>IF(Tabla1[[#This Row],[ID]]="","",VLOOKUP(Tabla1[[#This Row],[ID]],Tabla7[],2,FALSE))</f>
        <v/>
      </c>
      <c r="G585" s="14" t="str">
        <f>IF(Tabla1[[#This Row],[ID]]="","",VLOOKUP(Tabla1[[#This Row],[ID]],Tabla7[],36,FALSE))</f>
        <v/>
      </c>
      <c r="H585" s="16" t="str">
        <f>IF(Tabla1[[#This Row],[ID]]="","",VLOOKUP(Tabla1[[#This Row],[ID]],Tabla7[],4,FALSE))</f>
        <v/>
      </c>
      <c r="I585" s="16" t="str">
        <f>IF(Tabla1[[#This Row],[ID]]="","",VLOOKUP(Tabla1[[#This Row],[ID]],Tabla1[],4,FALSE))</f>
        <v/>
      </c>
      <c r="J585" s="16">
        <f>Tabla1[[#This Row],[CN Literatura]]-Tabla1[[#This Row],[CN Predicted]]</f>
        <v>-3.4931288029954004</v>
      </c>
    </row>
    <row r="586" spans="1:10" x14ac:dyDescent="0.25">
      <c r="A586" s="1">
        <f>Desgloce!A585</f>
        <v>628</v>
      </c>
      <c r="B586" s="14">
        <f>VLOOKUP(Tabla1[[#This Row],[No]],Tabla7[],7,FALSE)</f>
        <v>66</v>
      </c>
      <c r="C586" s="24">
        <v>59.400609124993203</v>
      </c>
      <c r="D586" s="15">
        <f>(B586-C586)/B586*100</f>
        <v>9.9990770833436322</v>
      </c>
      <c r="E586" s="16" t="str">
        <f>IF(Tabla1[[#This Row],[% Error1]]&gt;$E$1,Tabla1[[#This Row],[No]],IF(Tabla1[[#This Row],[% Error1]]&lt;-$E$1,Tabla1[[#This Row],[No]],""))</f>
        <v/>
      </c>
      <c r="F586" s="16" t="str">
        <f>IF(Tabla1[[#This Row],[ID]]="","",VLOOKUP(Tabla1[[#This Row],[ID]],Tabla7[],2,FALSE))</f>
        <v/>
      </c>
      <c r="G586" s="14" t="str">
        <f>IF(Tabla1[[#This Row],[ID]]="","",VLOOKUP(Tabla1[[#This Row],[ID]],Tabla7[],36,FALSE))</f>
        <v/>
      </c>
      <c r="H586" s="16" t="str">
        <f>IF(Tabla1[[#This Row],[ID]]="","",VLOOKUP(Tabla1[[#This Row],[ID]],Tabla7[],4,FALSE))</f>
        <v/>
      </c>
      <c r="I586" s="16" t="str">
        <f>IF(Tabla1[[#This Row],[ID]]="","",VLOOKUP(Tabla1[[#This Row],[ID]],Tabla1[],4,FALSE))</f>
        <v/>
      </c>
      <c r="J586" s="16">
        <f>Tabla1[[#This Row],[CN Literatura]]-Tabla1[[#This Row],[CN Predicted]]</f>
        <v>6.5993908750067973</v>
      </c>
    </row>
    <row r="587" spans="1:10" x14ac:dyDescent="0.25">
      <c r="A587" s="1">
        <f>Desgloce!A586</f>
        <v>629</v>
      </c>
      <c r="B587" s="14">
        <f>VLOOKUP(Tabla1[[#This Row],[No]],Tabla7[],7,FALSE)</f>
        <v>66</v>
      </c>
      <c r="C587" s="24">
        <v>70.769720305705604</v>
      </c>
      <c r="D587" s="15">
        <f>(B587-C587)/B587*100</f>
        <v>-7.2268489480387945</v>
      </c>
      <c r="E587" s="16" t="str">
        <f>IF(Tabla1[[#This Row],[% Error1]]&gt;$E$1,Tabla1[[#This Row],[No]],IF(Tabla1[[#This Row],[% Error1]]&lt;-$E$1,Tabla1[[#This Row],[No]],""))</f>
        <v/>
      </c>
      <c r="F587" s="16" t="str">
        <f>IF(Tabla1[[#This Row],[ID]]="","",VLOOKUP(Tabla1[[#This Row],[ID]],Tabla7[],2,FALSE))</f>
        <v/>
      </c>
      <c r="G587" s="14" t="str">
        <f>IF(Tabla1[[#This Row],[ID]]="","",VLOOKUP(Tabla1[[#This Row],[ID]],Tabla7[],36,FALSE))</f>
        <v/>
      </c>
      <c r="H587" s="16" t="str">
        <f>IF(Tabla1[[#This Row],[ID]]="","",VLOOKUP(Tabla1[[#This Row],[ID]],Tabla7[],4,FALSE))</f>
        <v/>
      </c>
      <c r="I587" s="16" t="str">
        <f>IF(Tabla1[[#This Row],[ID]]="","",VLOOKUP(Tabla1[[#This Row],[ID]],Tabla1[],4,FALSE))</f>
        <v/>
      </c>
      <c r="J587" s="16">
        <f>Tabla1[[#This Row],[CN Literatura]]-Tabla1[[#This Row],[CN Predicted]]</f>
        <v>-4.7697203057056043</v>
      </c>
    </row>
    <row r="588" spans="1:10" x14ac:dyDescent="0.25">
      <c r="A588" s="1">
        <f>Desgloce!A587</f>
        <v>631</v>
      </c>
      <c r="B588" s="14">
        <f>VLOOKUP(Tabla1[[#This Row],[No]],Tabla7[],7,FALSE)</f>
        <v>66.900000000000006</v>
      </c>
      <c r="C588" s="24">
        <v>69.949148896068706</v>
      </c>
      <c r="D588" s="15">
        <f>(B588-C588)/B588*100</f>
        <v>-4.5577711450952174</v>
      </c>
      <c r="E588" s="16" t="str">
        <f>IF(Tabla1[[#This Row],[% Error1]]&gt;$E$1,Tabla1[[#This Row],[No]],IF(Tabla1[[#This Row],[% Error1]]&lt;-$E$1,Tabla1[[#This Row],[No]],""))</f>
        <v/>
      </c>
      <c r="F588" s="16" t="str">
        <f>IF(Tabla1[[#This Row],[ID]]="","",VLOOKUP(Tabla1[[#This Row],[ID]],Tabla7[],2,FALSE))</f>
        <v/>
      </c>
      <c r="G588" s="14" t="str">
        <f>IF(Tabla1[[#This Row],[ID]]="","",VLOOKUP(Tabla1[[#This Row],[ID]],Tabla7[],36,FALSE))</f>
        <v/>
      </c>
      <c r="H588" s="16" t="str">
        <f>IF(Tabla1[[#This Row],[ID]]="","",VLOOKUP(Tabla1[[#This Row],[ID]],Tabla7[],4,FALSE))</f>
        <v/>
      </c>
      <c r="I588" s="16" t="str">
        <f>IF(Tabla1[[#This Row],[ID]]="","",VLOOKUP(Tabla1[[#This Row],[ID]],Tabla1[],4,FALSE))</f>
        <v/>
      </c>
      <c r="J588" s="16">
        <f>Tabla1[[#This Row],[CN Literatura]]-Tabla1[[#This Row],[CN Predicted]]</f>
        <v>-3.0491488960687008</v>
      </c>
    </row>
    <row r="589" spans="1:10" x14ac:dyDescent="0.25">
      <c r="A589" s="1">
        <f>Desgloce!A588</f>
        <v>632</v>
      </c>
      <c r="B589" s="14">
        <f>VLOOKUP(Tabla1[[#This Row],[No]],Tabla7[],7,FALSE)</f>
        <v>66.900000000000006</v>
      </c>
      <c r="C589" s="24">
        <v>73.819718013712702</v>
      </c>
      <c r="D589" s="15">
        <f>(B589-C589)/B589*100</f>
        <v>-10.343375207343342</v>
      </c>
      <c r="E589" s="16">
        <f>IF(Tabla1[[#This Row],[% Error1]]&gt;$E$1,Tabla1[[#This Row],[No]],IF(Tabla1[[#This Row],[% Error1]]&lt;-$E$1,Tabla1[[#This Row],[No]],""))</f>
        <v>632</v>
      </c>
      <c r="F589" s="16" t="str">
        <f>IF(Tabla1[[#This Row],[ID]]="","",VLOOKUP(Tabla1[[#This Row],[ID]],Tabla7[],2,FALSE))</f>
        <v>C(CCCCCCCCCCCCC)(=O)OCC</v>
      </c>
      <c r="G589" s="14" t="str">
        <f>IF(Tabla1[[#This Row],[ID]]="","",VLOOKUP(Tabla1[[#This Row],[ID]],Tabla7[],36,FALSE))</f>
        <v>Training</v>
      </c>
      <c r="H589" s="16" t="str">
        <f>IF(Tabla1[[#This Row],[ID]]="","",VLOOKUP(Tabla1[[#This Row],[ID]],Tabla7[],4,FALSE))</f>
        <v>Ester: saturated</v>
      </c>
      <c r="I589" s="16">
        <f>IF(Tabla1[[#This Row],[ID]]="","",VLOOKUP(Tabla1[[#This Row],[ID]],Tabla1[],4,FALSE))</f>
        <v>-10.343375207343342</v>
      </c>
      <c r="J589" s="16">
        <f>Tabla1[[#This Row],[CN Literatura]]-Tabla1[[#This Row],[CN Predicted]]</f>
        <v>-6.9197180137126963</v>
      </c>
    </row>
    <row r="590" spans="1:10" x14ac:dyDescent="0.25">
      <c r="A590" s="1">
        <f>Desgloce!A589</f>
        <v>633</v>
      </c>
      <c r="B590" s="14">
        <f>VLOOKUP(Tabla1[[#This Row],[No]],Tabla7[],7,FALSE)</f>
        <v>67</v>
      </c>
      <c r="C590" s="24">
        <v>48.648918780655201</v>
      </c>
      <c r="D590" s="15">
        <f>(B590-C590)/B590*100</f>
        <v>27.389673461708657</v>
      </c>
      <c r="E590" s="16">
        <f>IF(Tabla1[[#This Row],[% Error1]]&gt;$E$1,Tabla1[[#This Row],[No]],IF(Tabla1[[#This Row],[% Error1]]&lt;-$E$1,Tabla1[[#This Row],[No]],""))</f>
        <v>633</v>
      </c>
      <c r="F590" s="16" t="str">
        <f>IF(Tabla1[[#This Row],[ID]]="","",VLOOKUP(Tabla1[[#This Row],[ID]],Tabla7[],2,FALSE))</f>
        <v>C(CCCC)(=O)OCCCCCCCCCCCC</v>
      </c>
      <c r="G590" s="14" t="str">
        <f>IF(Tabla1[[#This Row],[ID]]="","",VLOOKUP(Tabla1[[#This Row],[ID]],Tabla7[],36,FALSE))</f>
        <v>Training</v>
      </c>
      <c r="H590" s="16" t="str">
        <f>IF(Tabla1[[#This Row],[ID]]="","",VLOOKUP(Tabla1[[#This Row],[ID]],Tabla7[],4,FALSE))</f>
        <v>Ester: saturated</v>
      </c>
      <c r="I590" s="16">
        <f>IF(Tabla1[[#This Row],[ID]]="","",VLOOKUP(Tabla1[[#This Row],[ID]],Tabla1[],4,FALSE))</f>
        <v>27.389673461708657</v>
      </c>
      <c r="J590" s="16">
        <f>Tabla1[[#This Row],[CN Literatura]]-Tabla1[[#This Row],[CN Predicted]]</f>
        <v>18.351081219344799</v>
      </c>
    </row>
    <row r="591" spans="1:10" x14ac:dyDescent="0.25">
      <c r="A591" s="1">
        <f>Desgloce!A590</f>
        <v>634</v>
      </c>
      <c r="B591" s="14">
        <f>VLOOKUP(Tabla1[[#This Row],[No]],Tabla7[],7,FALSE)</f>
        <v>67</v>
      </c>
      <c r="C591" s="24">
        <v>48.070773982684102</v>
      </c>
      <c r="D591" s="15">
        <f>(B591-C591)/B591*100</f>
        <v>28.252576145247609</v>
      </c>
      <c r="E591" s="16">
        <f>IF(Tabla1[[#This Row],[% Error1]]&gt;$E$1,Tabla1[[#This Row],[No]],IF(Tabla1[[#This Row],[% Error1]]&lt;-$E$1,Tabla1[[#This Row],[No]],""))</f>
        <v>634</v>
      </c>
      <c r="F591" s="16" t="str">
        <f>IF(Tabla1[[#This Row],[ID]]="","",VLOOKUP(Tabla1[[#This Row],[ID]],Tabla7[],2,FALSE))</f>
        <v>CCCCCCC(CC)C(CC)CCCCCC</v>
      </c>
      <c r="G591" s="14" t="str">
        <f>IF(Tabla1[[#This Row],[ID]]="","",VLOOKUP(Tabla1[[#This Row],[ID]],Tabla7[],36,FALSE))</f>
        <v>Training</v>
      </c>
      <c r="H591" s="16" t="str">
        <f>IF(Tabla1[[#This Row],[ID]]="","",VLOOKUP(Tabla1[[#This Row],[ID]],Tabla7[],4,FALSE))</f>
        <v>iso-alkane</v>
      </c>
      <c r="I591" s="16">
        <f>IF(Tabla1[[#This Row],[ID]]="","",VLOOKUP(Tabla1[[#This Row],[ID]],Tabla1[],4,FALSE))</f>
        <v>28.252576145247609</v>
      </c>
      <c r="J591" s="16">
        <f>Tabla1[[#This Row],[CN Literatura]]-Tabla1[[#This Row],[CN Predicted]]</f>
        <v>18.929226017315898</v>
      </c>
    </row>
    <row r="592" spans="1:10" x14ac:dyDescent="0.25">
      <c r="A592" s="1">
        <f>Desgloce!A591</f>
        <v>637</v>
      </c>
      <c r="B592" s="14">
        <f>VLOOKUP(Tabla1[[#This Row],[No]],Tabla7[],7,FALSE)</f>
        <v>67</v>
      </c>
      <c r="C592" s="24">
        <v>73.552994775351905</v>
      </c>
      <c r="D592" s="15">
        <f>(B592-C592)/B592*100</f>
        <v>-9.7805892169431417</v>
      </c>
      <c r="E592" s="16" t="str">
        <f>IF(Tabla1[[#This Row],[% Error1]]&gt;$E$1,Tabla1[[#This Row],[No]],IF(Tabla1[[#This Row],[% Error1]]&lt;-$E$1,Tabla1[[#This Row],[No]],""))</f>
        <v/>
      </c>
      <c r="F592" s="16" t="str">
        <f>IF(Tabla1[[#This Row],[ID]]="","",VLOOKUP(Tabla1[[#This Row],[ID]],Tabla7[],2,FALSE))</f>
        <v/>
      </c>
      <c r="G592" s="14" t="str">
        <f>IF(Tabla1[[#This Row],[ID]]="","",VLOOKUP(Tabla1[[#This Row],[ID]],Tabla7[],36,FALSE))</f>
        <v/>
      </c>
      <c r="H592" s="16" t="str">
        <f>IF(Tabla1[[#This Row],[ID]]="","",VLOOKUP(Tabla1[[#This Row],[ID]],Tabla7[],4,FALSE))</f>
        <v/>
      </c>
      <c r="I592" s="16" t="str">
        <f>IF(Tabla1[[#This Row],[ID]]="","",VLOOKUP(Tabla1[[#This Row],[ID]],Tabla1[],4,FALSE))</f>
        <v/>
      </c>
      <c r="J592" s="16">
        <f>Tabla1[[#This Row],[CN Literatura]]-Tabla1[[#This Row],[CN Predicted]]</f>
        <v>-6.5529947753519053</v>
      </c>
    </row>
    <row r="593" spans="1:10" x14ac:dyDescent="0.25">
      <c r="A593" s="1">
        <f>Desgloce!A592</f>
        <v>638</v>
      </c>
      <c r="B593" s="14">
        <f>VLOOKUP(Tabla1[[#This Row],[No]],Tabla7[],7,FALSE)</f>
        <v>68</v>
      </c>
      <c r="C593" s="24">
        <v>76.874989020410695</v>
      </c>
      <c r="D593" s="15">
        <f>(B593-C593)/B593*100</f>
        <v>-13.051454441780432</v>
      </c>
      <c r="E593" s="16">
        <f>IF(Tabla1[[#This Row],[% Error1]]&gt;$E$1,Tabla1[[#This Row],[No]],IF(Tabla1[[#This Row],[% Error1]]&lt;-$E$1,Tabla1[[#This Row],[No]],""))</f>
        <v>638</v>
      </c>
      <c r="F593" s="16" t="str">
        <f>IF(Tabla1[[#This Row],[ID]]="","",VLOOKUP(Tabla1[[#This Row],[ID]],Tabla7[],2,FALSE))</f>
        <v>C(CCCCCCCCCCCCCCC)O</v>
      </c>
      <c r="G593" s="14" t="str">
        <f>IF(Tabla1[[#This Row],[ID]]="","",VLOOKUP(Tabla1[[#This Row],[ID]],Tabla7[],36,FALSE))</f>
        <v>Training</v>
      </c>
      <c r="H593" s="16" t="str">
        <f>IF(Tabla1[[#This Row],[ID]]="","",VLOOKUP(Tabla1[[#This Row],[ID]],Tabla7[],4,FALSE))</f>
        <v>Alcohol</v>
      </c>
      <c r="I593" s="16">
        <f>IF(Tabla1[[#This Row],[ID]]="","",VLOOKUP(Tabla1[[#This Row],[ID]],Tabla1[],4,FALSE))</f>
        <v>-13.051454441780432</v>
      </c>
      <c r="J593" s="16">
        <f>Tabla1[[#This Row],[CN Literatura]]-Tabla1[[#This Row],[CN Predicted]]</f>
        <v>-8.8749890204106947</v>
      </c>
    </row>
    <row r="594" spans="1:10" x14ac:dyDescent="0.25">
      <c r="A594" s="1">
        <f>Desgloce!A593</f>
        <v>641</v>
      </c>
      <c r="B594" s="14">
        <f>VLOOKUP(Tabla1[[#This Row],[No]],Tabla7[],7,FALSE)</f>
        <v>69.400000000000006</v>
      </c>
      <c r="C594" s="24">
        <v>76.844267630481994</v>
      </c>
      <c r="D594" s="15">
        <f>(B594-C594)/B594*100</f>
        <v>-10.726610418561942</v>
      </c>
      <c r="E594" s="16">
        <f>IF(Tabla1[[#This Row],[% Error1]]&gt;$E$1,Tabla1[[#This Row],[No]],IF(Tabla1[[#This Row],[% Error1]]&lt;-$E$1,Tabla1[[#This Row],[No]],""))</f>
        <v>641</v>
      </c>
      <c r="F594" s="16" t="str">
        <f>IF(Tabla1[[#This Row],[ID]]="","",VLOOKUP(Tabla1[[#This Row],[ID]],Tabla7[],2,FALSE))</f>
        <v>CCCCCCCCCCCCCC(=O)OCCCC</v>
      </c>
      <c r="G594" s="14" t="str">
        <f>IF(Tabla1[[#This Row],[ID]]="","",VLOOKUP(Tabla1[[#This Row],[ID]],Tabla7[],36,FALSE))</f>
        <v>Training</v>
      </c>
      <c r="H594" s="16" t="str">
        <f>IF(Tabla1[[#This Row],[ID]]="","",VLOOKUP(Tabla1[[#This Row],[ID]],Tabla7[],4,FALSE))</f>
        <v>Ester</v>
      </c>
      <c r="I594" s="16">
        <f>IF(Tabla1[[#This Row],[ID]]="","",VLOOKUP(Tabla1[[#This Row],[ID]],Tabla1[],4,FALSE))</f>
        <v>-10.726610418561942</v>
      </c>
      <c r="J594" s="16">
        <f>Tabla1[[#This Row],[CN Literatura]]-Tabla1[[#This Row],[CN Predicted]]</f>
        <v>-7.4442676304819884</v>
      </c>
    </row>
    <row r="595" spans="1:10" x14ac:dyDescent="0.25">
      <c r="A595" s="1">
        <f>Desgloce!A594</f>
        <v>642</v>
      </c>
      <c r="B595" s="14">
        <f>VLOOKUP(Tabla1[[#This Row],[No]],Tabla7[],7,FALSE)</f>
        <v>69.400000000000006</v>
      </c>
      <c r="C595" s="24">
        <v>48.518284320088</v>
      </c>
      <c r="D595" s="15">
        <f>(B595-C595)/B595*100</f>
        <v>30.088927492668592</v>
      </c>
      <c r="E595" s="16">
        <f>IF(Tabla1[[#This Row],[% Error1]]&gt;$E$1,Tabla1[[#This Row],[No]],IF(Tabla1[[#This Row],[% Error1]]&lt;-$E$1,Tabla1[[#This Row],[No]],""))</f>
        <v>642</v>
      </c>
      <c r="F595" s="16" t="str">
        <f>IF(Tabla1[[#This Row],[ID]]="","",VLOOKUP(Tabla1[[#This Row],[ID]],Tabla7[],2,FALSE))</f>
        <v>C(CCCCCCCCCCCCC)(=O)OCCCC</v>
      </c>
      <c r="G595" s="14" t="str">
        <f>IF(Tabla1[[#This Row],[ID]]="","",VLOOKUP(Tabla1[[#This Row],[ID]],Tabla7[],36,FALSE))</f>
        <v>Training</v>
      </c>
      <c r="H595" s="16" t="str">
        <f>IF(Tabla1[[#This Row],[ID]]="","",VLOOKUP(Tabla1[[#This Row],[ID]],Tabla7[],4,FALSE))</f>
        <v>Ester: saturated</v>
      </c>
      <c r="I595" s="16">
        <f>IF(Tabla1[[#This Row],[ID]]="","",VLOOKUP(Tabla1[[#This Row],[ID]],Tabla1[],4,FALSE))</f>
        <v>30.088927492668592</v>
      </c>
      <c r="J595" s="16">
        <f>Tabla1[[#This Row],[CN Literatura]]-Tabla1[[#This Row],[CN Predicted]]</f>
        <v>20.881715679912006</v>
      </c>
    </row>
    <row r="596" spans="1:10" x14ac:dyDescent="0.25">
      <c r="A596" s="1">
        <f>Desgloce!A595</f>
        <v>643</v>
      </c>
      <c r="B596" s="14">
        <f>VLOOKUP(Tabla1[[#This Row],[No]],Tabla7[],7,FALSE)</f>
        <v>70</v>
      </c>
      <c r="C596" s="24">
        <v>84.169511150563594</v>
      </c>
      <c r="D596" s="15">
        <f>(B596-C596)/B596*100</f>
        <v>-20.242158786519418</v>
      </c>
      <c r="E596" s="16">
        <f>IF(Tabla1[[#This Row],[% Error1]]&gt;$E$1,Tabla1[[#This Row],[No]],IF(Tabla1[[#This Row],[% Error1]]&lt;-$E$1,Tabla1[[#This Row],[No]],""))</f>
        <v>643</v>
      </c>
      <c r="F596" s="16" t="str">
        <f>IF(Tabla1[[#This Row],[ID]]="","",VLOOKUP(Tabla1[[#This Row],[ID]],Tabla7[],2,FALSE))</f>
        <v>CCCCCCCCCCCCC1CCCC(C)C1</v>
      </c>
      <c r="G596" s="14" t="str">
        <f>IF(Tabla1[[#This Row],[ID]]="","",VLOOKUP(Tabla1[[#This Row],[ID]],Tabla7[],36,FALSE))</f>
        <v>Training</v>
      </c>
      <c r="H596" s="16" t="str">
        <f>IF(Tabla1[[#This Row],[ID]]="","",VLOOKUP(Tabla1[[#This Row],[ID]],Tabla7[],4,FALSE))</f>
        <v>cyclo-alkane</v>
      </c>
      <c r="I596" s="16">
        <f>IF(Tabla1[[#This Row],[ID]]="","",VLOOKUP(Tabla1[[#This Row],[ID]],Tabla1[],4,FALSE))</f>
        <v>-20.242158786519418</v>
      </c>
      <c r="J596" s="16">
        <f>Tabla1[[#This Row],[CN Literatura]]-Tabla1[[#This Row],[CN Predicted]]</f>
        <v>-14.169511150563594</v>
      </c>
    </row>
    <row r="597" spans="1:10" x14ac:dyDescent="0.25">
      <c r="A597" s="1">
        <f>Desgloce!A596</f>
        <v>644</v>
      </c>
      <c r="B597" s="14">
        <f>VLOOKUP(Tabla1[[#This Row],[No]],Tabla7[],7,FALSE)</f>
        <v>70</v>
      </c>
      <c r="C597" s="24">
        <v>67.298748866081596</v>
      </c>
      <c r="D597" s="15">
        <f>(B597-C597)/B597*100</f>
        <v>3.8589301913120067</v>
      </c>
      <c r="E597" s="16" t="str">
        <f>IF(Tabla1[[#This Row],[% Error1]]&gt;$E$1,Tabla1[[#This Row],[No]],IF(Tabla1[[#This Row],[% Error1]]&lt;-$E$1,Tabla1[[#This Row],[No]],""))</f>
        <v/>
      </c>
      <c r="F597" s="16" t="str">
        <f>IF(Tabla1[[#This Row],[ID]]="","",VLOOKUP(Tabla1[[#This Row],[ID]],Tabla7[],2,FALSE))</f>
        <v/>
      </c>
      <c r="G597" s="14" t="str">
        <f>IF(Tabla1[[#This Row],[ID]]="","",VLOOKUP(Tabla1[[#This Row],[ID]],Tabla7[],36,FALSE))</f>
        <v/>
      </c>
      <c r="H597" s="16" t="str">
        <f>IF(Tabla1[[#This Row],[ID]]="","",VLOOKUP(Tabla1[[#This Row],[ID]],Tabla7[],4,FALSE))</f>
        <v/>
      </c>
      <c r="I597" s="16" t="str">
        <f>IF(Tabla1[[#This Row],[ID]]="","",VLOOKUP(Tabla1[[#This Row],[ID]],Tabla1[],4,FALSE))</f>
        <v/>
      </c>
      <c r="J597" s="16">
        <f>Tabla1[[#This Row],[CN Literatura]]-Tabla1[[#This Row],[CN Predicted]]</f>
        <v>2.7012511339184044</v>
      </c>
    </row>
    <row r="598" spans="1:10" x14ac:dyDescent="0.25">
      <c r="A598" s="1">
        <f>Desgloce!A597</f>
        <v>646</v>
      </c>
      <c r="B598" s="14">
        <f>VLOOKUP(Tabla1[[#This Row],[No]],Tabla7[],7,FALSE)</f>
        <v>71</v>
      </c>
      <c r="C598" s="24">
        <v>73.819718013712702</v>
      </c>
      <c r="D598" s="15">
        <f>(B598-C598)/B598*100</f>
        <v>-3.9714338221305665</v>
      </c>
      <c r="E598" s="16" t="str">
        <f>IF(Tabla1[[#This Row],[% Error1]]&gt;$E$1,Tabla1[[#This Row],[No]],IF(Tabla1[[#This Row],[% Error1]]&lt;-$E$1,Tabla1[[#This Row],[No]],""))</f>
        <v/>
      </c>
      <c r="F598" s="16" t="str">
        <f>IF(Tabla1[[#This Row],[ID]]="","",VLOOKUP(Tabla1[[#This Row],[ID]],Tabla7[],2,FALSE))</f>
        <v/>
      </c>
      <c r="G598" s="14" t="str">
        <f>IF(Tabla1[[#This Row],[ID]]="","",VLOOKUP(Tabla1[[#This Row],[ID]],Tabla7[],36,FALSE))</f>
        <v/>
      </c>
      <c r="H598" s="16" t="str">
        <f>IF(Tabla1[[#This Row],[ID]]="","",VLOOKUP(Tabla1[[#This Row],[ID]],Tabla7[],4,FALSE))</f>
        <v/>
      </c>
      <c r="I598" s="16" t="str">
        <f>IF(Tabla1[[#This Row],[ID]]="","",VLOOKUP(Tabla1[[#This Row],[ID]],Tabla1[],4,FALSE))</f>
        <v/>
      </c>
      <c r="J598" s="16">
        <f>Tabla1[[#This Row],[CN Literatura]]-Tabla1[[#This Row],[CN Predicted]]</f>
        <v>-2.819718013712702</v>
      </c>
    </row>
    <row r="599" spans="1:10" x14ac:dyDescent="0.25">
      <c r="A599" s="1">
        <f>Desgloce!A598</f>
        <v>648</v>
      </c>
      <c r="B599" s="14">
        <f>VLOOKUP(Tabla1[[#This Row],[No]],Tabla7[],7,FALSE)</f>
        <v>71</v>
      </c>
      <c r="C599" s="24">
        <v>84.175898575807594</v>
      </c>
      <c r="D599" s="15">
        <f>(B599-C599)/B599*100</f>
        <v>-18.557603627898018</v>
      </c>
      <c r="E599" s="16">
        <f>IF(Tabla1[[#This Row],[% Error1]]&gt;$E$1,Tabla1[[#This Row],[No]],IF(Tabla1[[#This Row],[% Error1]]&lt;-$E$1,Tabla1[[#This Row],[No]],""))</f>
        <v>648</v>
      </c>
      <c r="F599" s="16" t="str">
        <f>IF(Tabla1[[#This Row],[ID]]="","",VLOOKUP(Tabla1[[#This Row],[ID]],Tabla7[],2,FALSE))</f>
        <v>C(CCCCCCCCCCCCC)(=O)OCCC</v>
      </c>
      <c r="G599" s="14" t="str">
        <f>IF(Tabla1[[#This Row],[ID]]="","",VLOOKUP(Tabla1[[#This Row],[ID]],Tabla7[],36,FALSE))</f>
        <v>Training</v>
      </c>
      <c r="H599" s="16" t="str">
        <f>IF(Tabla1[[#This Row],[ID]]="","",VLOOKUP(Tabla1[[#This Row],[ID]],Tabla7[],4,FALSE))</f>
        <v>Ester: saturated</v>
      </c>
      <c r="I599" s="16">
        <f>IF(Tabla1[[#This Row],[ID]]="","",VLOOKUP(Tabla1[[#This Row],[ID]],Tabla1[],4,FALSE))</f>
        <v>-18.557603627898018</v>
      </c>
      <c r="J599" s="16">
        <f>Tabla1[[#This Row],[CN Literatura]]-Tabla1[[#This Row],[CN Predicted]]</f>
        <v>-13.175898575807594</v>
      </c>
    </row>
    <row r="600" spans="1:10" x14ac:dyDescent="0.25">
      <c r="A600" s="1">
        <f>Desgloce!A599</f>
        <v>649</v>
      </c>
      <c r="B600" s="14">
        <f>VLOOKUP(Tabla1[[#This Row],[No]],Tabla7[],7,FALSE)</f>
        <v>71</v>
      </c>
      <c r="C600" s="24">
        <v>75.6786744813962</v>
      </c>
      <c r="D600" s="15">
        <f>(B600-C600)/B600*100</f>
        <v>-6.5896823681636629</v>
      </c>
      <c r="E600" s="16" t="str">
        <f>IF(Tabla1[[#This Row],[% Error1]]&gt;$E$1,Tabla1[[#This Row],[No]],IF(Tabla1[[#This Row],[% Error1]]&lt;-$E$1,Tabla1[[#This Row],[No]],""))</f>
        <v/>
      </c>
      <c r="F600" s="16" t="str">
        <f>IF(Tabla1[[#This Row],[ID]]="","",VLOOKUP(Tabla1[[#This Row],[ID]],Tabla7[],2,FALSE))</f>
        <v/>
      </c>
      <c r="G600" s="14" t="str">
        <f>IF(Tabla1[[#This Row],[ID]]="","",VLOOKUP(Tabla1[[#This Row],[ID]],Tabla7[],36,FALSE))</f>
        <v/>
      </c>
      <c r="H600" s="16" t="str">
        <f>IF(Tabla1[[#This Row],[ID]]="","",VLOOKUP(Tabla1[[#This Row],[ID]],Tabla7[],4,FALSE))</f>
        <v/>
      </c>
      <c r="I600" s="16" t="str">
        <f>IF(Tabla1[[#This Row],[ID]]="","",VLOOKUP(Tabla1[[#This Row],[ID]],Tabla1[],4,FALSE))</f>
        <v/>
      </c>
      <c r="J600" s="16">
        <f>Tabla1[[#This Row],[CN Literatura]]-Tabla1[[#This Row],[CN Predicted]]</f>
        <v>-4.6786744813962002</v>
      </c>
    </row>
    <row r="601" spans="1:10" x14ac:dyDescent="0.25">
      <c r="A601" s="1">
        <f>Desgloce!A600</f>
        <v>650</v>
      </c>
      <c r="B601" s="14">
        <f>VLOOKUP(Tabla1[[#This Row],[No]],Tabla7[],7,FALSE)</f>
        <v>71.900000000000006</v>
      </c>
      <c r="C601" s="24">
        <v>81.804928804670993</v>
      </c>
      <c r="D601" s="15">
        <f>(B601-C601)/B601*100</f>
        <v>-13.775978866023625</v>
      </c>
      <c r="E601" s="16">
        <f>IF(Tabla1[[#This Row],[% Error1]]&gt;$E$1,Tabla1[[#This Row],[No]],IF(Tabla1[[#This Row],[% Error1]]&lt;-$E$1,Tabla1[[#This Row],[No]],""))</f>
        <v>650</v>
      </c>
      <c r="F601" s="16" t="str">
        <f>IF(Tabla1[[#This Row],[ID]]="","",VLOOKUP(Tabla1[[#This Row],[ID]],Tabla7[],2,FALSE))</f>
        <v>CCCCCCCC/C=C\CCCCCCCC(=O)OC(C)CC</v>
      </c>
      <c r="G601" s="14" t="str">
        <f>IF(Tabla1[[#This Row],[ID]]="","",VLOOKUP(Tabla1[[#This Row],[ID]],Tabla7[],36,FALSE))</f>
        <v>Training</v>
      </c>
      <c r="H601" s="16" t="str">
        <f>IF(Tabla1[[#This Row],[ID]]="","",VLOOKUP(Tabla1[[#This Row],[ID]],Tabla7[],4,FALSE))</f>
        <v>Ester</v>
      </c>
      <c r="I601" s="16">
        <f>IF(Tabla1[[#This Row],[ID]]="","",VLOOKUP(Tabla1[[#This Row],[ID]],Tabla1[],4,FALSE))</f>
        <v>-13.775978866023625</v>
      </c>
      <c r="J601" s="16">
        <f>Tabla1[[#This Row],[CN Literatura]]-Tabla1[[#This Row],[CN Predicted]]</f>
        <v>-9.9049288046709876</v>
      </c>
    </row>
    <row r="602" spans="1:10" x14ac:dyDescent="0.25">
      <c r="A602" s="1">
        <f>Desgloce!A601</f>
        <v>651</v>
      </c>
      <c r="B602" s="14">
        <f>VLOOKUP(Tabla1[[#This Row],[No]],Tabla7[],7,FALSE)</f>
        <v>71.900000000000006</v>
      </c>
      <c r="C602" s="24">
        <v>72.376596027923696</v>
      </c>
      <c r="D602" s="15">
        <f>(B602-C602)/B602*100</f>
        <v>-0.66285956595784523</v>
      </c>
      <c r="E602" s="16" t="str">
        <f>IF(Tabla1[[#This Row],[% Error1]]&gt;$E$1,Tabla1[[#This Row],[No]],IF(Tabla1[[#This Row],[% Error1]]&lt;-$E$1,Tabla1[[#This Row],[No]],""))</f>
        <v/>
      </c>
      <c r="F602" s="16" t="str">
        <f>IF(Tabla1[[#This Row],[ID]]="","",VLOOKUP(Tabla1[[#This Row],[ID]],Tabla7[],2,FALSE))</f>
        <v/>
      </c>
      <c r="G602" s="14" t="str">
        <f>IF(Tabla1[[#This Row],[ID]]="","",VLOOKUP(Tabla1[[#This Row],[ID]],Tabla7[],36,FALSE))</f>
        <v/>
      </c>
      <c r="H602" s="16" t="str">
        <f>IF(Tabla1[[#This Row],[ID]]="","",VLOOKUP(Tabla1[[#This Row],[ID]],Tabla7[],4,FALSE))</f>
        <v/>
      </c>
      <c r="I602" s="16" t="str">
        <f>IF(Tabla1[[#This Row],[ID]]="","",VLOOKUP(Tabla1[[#This Row],[ID]],Tabla1[],4,FALSE))</f>
        <v/>
      </c>
      <c r="J602" s="16">
        <f>Tabla1[[#This Row],[CN Literatura]]-Tabla1[[#This Row],[CN Predicted]]</f>
        <v>-0.47659602792369071</v>
      </c>
    </row>
    <row r="603" spans="1:10" x14ac:dyDescent="0.25">
      <c r="A603" s="1">
        <f>Desgloce!A602</f>
        <v>652</v>
      </c>
      <c r="B603" s="14">
        <f>VLOOKUP(Tabla1[[#This Row],[No]],Tabla7[],7,FALSE)</f>
        <v>72</v>
      </c>
      <c r="C603" s="24">
        <v>65.634168844361497</v>
      </c>
      <c r="D603" s="15">
        <f>(B603-C603)/B603*100</f>
        <v>8.8414321606090329</v>
      </c>
      <c r="E603" s="16" t="str">
        <f>IF(Tabla1[[#This Row],[% Error1]]&gt;$E$1,Tabla1[[#This Row],[No]],IF(Tabla1[[#This Row],[% Error1]]&lt;-$E$1,Tabla1[[#This Row],[No]],""))</f>
        <v/>
      </c>
      <c r="F603" s="16" t="str">
        <f>IF(Tabla1[[#This Row],[ID]]="","",VLOOKUP(Tabla1[[#This Row],[ID]],Tabla7[],2,FALSE))</f>
        <v/>
      </c>
      <c r="G603" s="14" t="str">
        <f>IF(Tabla1[[#This Row],[ID]]="","",VLOOKUP(Tabla1[[#This Row],[ID]],Tabla7[],36,FALSE))</f>
        <v/>
      </c>
      <c r="H603" s="16" t="str">
        <f>IF(Tabla1[[#This Row],[ID]]="","",VLOOKUP(Tabla1[[#This Row],[ID]],Tabla7[],4,FALSE))</f>
        <v/>
      </c>
      <c r="I603" s="24" t="str">
        <f>IF(Tabla1[[#This Row],[ID]]="","",VLOOKUP(Tabla1[[#This Row],[ID]],Tabla1[],4,FALSE))</f>
        <v/>
      </c>
      <c r="J603" s="16">
        <f>Tabla1[[#This Row],[CN Literatura]]-Tabla1[[#This Row],[CN Predicted]]</f>
        <v>6.365831155638503</v>
      </c>
    </row>
    <row r="604" spans="1:10" x14ac:dyDescent="0.25">
      <c r="A604" s="1">
        <f>Desgloce!A603</f>
        <v>654</v>
      </c>
      <c r="B604" s="14">
        <f>VLOOKUP(Tabla1[[#This Row],[No]],Tabla7[],7,FALSE)</f>
        <v>72</v>
      </c>
      <c r="C604" s="24">
        <v>81.378824616835303</v>
      </c>
      <c r="D604" s="15">
        <f>(B604-C604)/B604*100</f>
        <v>-13.026145301160142</v>
      </c>
      <c r="E604" s="16">
        <f>IF(Tabla1[[#This Row],[% Error1]]&gt;$E$1,Tabla1[[#This Row],[No]],IF(Tabla1[[#This Row],[% Error1]]&lt;-$E$1,Tabla1[[#This Row],[No]],""))</f>
        <v>654</v>
      </c>
      <c r="F604" s="16" t="str">
        <f>IF(Tabla1[[#This Row],[ID]]="","",VLOOKUP(Tabla1[[#This Row],[ID]],Tabla7[],2,FALSE))</f>
        <v>CCCCCCCCCCCCCC(=O)OC</v>
      </c>
      <c r="G604" s="14" t="str">
        <f>IF(Tabla1[[#This Row],[ID]]="","",VLOOKUP(Tabla1[[#This Row],[ID]],Tabla7[],36,FALSE))</f>
        <v>Training</v>
      </c>
      <c r="H604" s="16" t="str">
        <f>IF(Tabla1[[#This Row],[ID]]="","",VLOOKUP(Tabla1[[#This Row],[ID]],Tabla7[],4,FALSE))</f>
        <v>Ester</v>
      </c>
      <c r="I604" s="16">
        <f>IF(Tabla1[[#This Row],[ID]]="","",VLOOKUP(Tabla1[[#This Row],[ID]],Tabla1[],4,FALSE))</f>
        <v>-13.026145301160142</v>
      </c>
      <c r="J604" s="16">
        <f>Tabla1[[#This Row],[CN Literatura]]-Tabla1[[#This Row],[CN Predicted]]</f>
        <v>-9.3788246168353027</v>
      </c>
    </row>
    <row r="605" spans="1:10" x14ac:dyDescent="0.25">
      <c r="A605" s="1">
        <f>Desgloce!A604</f>
        <v>655</v>
      </c>
      <c r="B605" s="14">
        <f>VLOOKUP(Tabla1[[#This Row],[No]],Tabla7[],7,FALSE)</f>
        <v>72</v>
      </c>
      <c r="C605" s="24">
        <v>71.626664302827194</v>
      </c>
      <c r="D605" s="15">
        <f>(B605-C605)/B605*100</f>
        <v>0.51852180162889672</v>
      </c>
      <c r="E605" s="16" t="str">
        <f>IF(Tabla1[[#This Row],[% Error1]]&gt;$E$1,Tabla1[[#This Row],[No]],IF(Tabla1[[#This Row],[% Error1]]&lt;-$E$1,Tabla1[[#This Row],[No]],""))</f>
        <v/>
      </c>
      <c r="F605" s="16" t="str">
        <f>IF(Tabla1[[#This Row],[ID]]="","",VLOOKUP(Tabla1[[#This Row],[ID]],Tabla7[],2,FALSE))</f>
        <v/>
      </c>
      <c r="G605" s="14" t="str">
        <f>IF(Tabla1[[#This Row],[ID]]="","",VLOOKUP(Tabla1[[#This Row],[ID]],Tabla7[],36,FALSE))</f>
        <v/>
      </c>
      <c r="H605" s="16" t="str">
        <f>IF(Tabla1[[#This Row],[ID]]="","",VLOOKUP(Tabla1[[#This Row],[ID]],Tabla7[],4,FALSE))</f>
        <v/>
      </c>
      <c r="I605" s="16" t="str">
        <f>IF(Tabla1[[#This Row],[ID]]="","",VLOOKUP(Tabla1[[#This Row],[ID]],Tabla1[],4,FALSE))</f>
        <v/>
      </c>
      <c r="J605" s="16">
        <f>Tabla1[[#This Row],[CN Literatura]]-Tabla1[[#This Row],[CN Predicted]]</f>
        <v>0.37333569717280568</v>
      </c>
    </row>
    <row r="606" spans="1:10" x14ac:dyDescent="0.25">
      <c r="A606" s="1">
        <f>Desgloce!A605</f>
        <v>658</v>
      </c>
      <c r="B606" s="14">
        <f>VLOOKUP(Tabla1[[#This Row],[No]],Tabla7[],7,FALSE)</f>
        <v>73</v>
      </c>
      <c r="C606" s="24">
        <v>60.4481220512994</v>
      </c>
      <c r="D606" s="15">
        <f>(B606-C606)/B606*100</f>
        <v>17.194353354384383</v>
      </c>
      <c r="E606" s="16">
        <f>IF(Tabla1[[#This Row],[% Error1]]&gt;$E$1,Tabla1[[#This Row],[No]],IF(Tabla1[[#This Row],[% Error1]]&lt;-$E$1,Tabla1[[#This Row],[No]],""))</f>
        <v>658</v>
      </c>
      <c r="F606" s="16" t="str">
        <f>IF(Tabla1[[#This Row],[ID]]="","",VLOOKUP(Tabla1[[#This Row],[ID]],Tabla7[],2,FALSE))</f>
        <v>CCCCCCCCCCCCCCCCO</v>
      </c>
      <c r="G606" s="14" t="str">
        <f>IF(Tabla1[[#This Row],[ID]]="","",VLOOKUP(Tabla1[[#This Row],[ID]],Tabla7[],36,FALSE))</f>
        <v>Training</v>
      </c>
      <c r="H606" s="16" t="str">
        <f>IF(Tabla1[[#This Row],[ID]]="","",VLOOKUP(Tabla1[[#This Row],[ID]],Tabla7[],4,FALSE))</f>
        <v>Alcohol</v>
      </c>
      <c r="I606" s="16">
        <f>IF(Tabla1[[#This Row],[ID]]="","",VLOOKUP(Tabla1[[#This Row],[ID]],Tabla1[],4,FALSE))</f>
        <v>17.194353354384383</v>
      </c>
      <c r="J606" s="16">
        <f>Tabla1[[#This Row],[CN Literatura]]-Tabla1[[#This Row],[CN Predicted]]</f>
        <v>12.5518779487006</v>
      </c>
    </row>
    <row r="607" spans="1:10" x14ac:dyDescent="0.25">
      <c r="A607" s="1">
        <f>Desgloce!A606</f>
        <v>659</v>
      </c>
      <c r="B607" s="14">
        <f>VLOOKUP(Tabla1[[#This Row],[No]],Tabla7[],7,FALSE)</f>
        <v>73</v>
      </c>
      <c r="C607" s="24">
        <v>64.472082065613506</v>
      </c>
      <c r="D607" s="15">
        <f>(B607-C607)/B607*100</f>
        <v>11.68207936217328</v>
      </c>
      <c r="E607" s="16">
        <f>IF(Tabla1[[#This Row],[% Error1]]&gt;$E$1,Tabla1[[#This Row],[No]],IF(Tabla1[[#This Row],[% Error1]]&lt;-$E$1,Tabla1[[#This Row],[No]],""))</f>
        <v>659</v>
      </c>
      <c r="F607" s="16" t="str">
        <f>IF(Tabla1[[#This Row],[ID]]="","",VLOOKUP(Tabla1[[#This Row],[ID]],Tabla7[],2,FALSE))</f>
        <v>C(CCCCCCCCCCC)(=O)OCC</v>
      </c>
      <c r="G607" s="14" t="str">
        <f>IF(Tabla1[[#This Row],[ID]]="","",VLOOKUP(Tabla1[[#This Row],[ID]],Tabla7[],36,FALSE))</f>
        <v>Training</v>
      </c>
      <c r="H607" s="16" t="str">
        <f>IF(Tabla1[[#This Row],[ID]]="","",VLOOKUP(Tabla1[[#This Row],[ID]],Tabla7[],4,FALSE))</f>
        <v>Ester: saturated</v>
      </c>
      <c r="I607" s="16">
        <f>IF(Tabla1[[#This Row],[ID]]="","",VLOOKUP(Tabla1[[#This Row],[ID]],Tabla1[],4,FALSE))</f>
        <v>11.68207936217328</v>
      </c>
      <c r="J607" s="16">
        <f>Tabla1[[#This Row],[CN Literatura]]-Tabla1[[#This Row],[CN Predicted]]</f>
        <v>8.5279179343864939</v>
      </c>
    </row>
    <row r="608" spans="1:10" x14ac:dyDescent="0.25">
      <c r="A608" s="1">
        <f>Desgloce!A607</f>
        <v>661</v>
      </c>
      <c r="B608" s="14">
        <f>VLOOKUP(Tabla1[[#This Row],[No]],Tabla7[],7,FALSE)</f>
        <v>73.2</v>
      </c>
      <c r="C608" s="24">
        <v>77.322110992801299</v>
      </c>
      <c r="D608" s="15">
        <f>(B608-C608)/B608*100</f>
        <v>-5.6312991704935742</v>
      </c>
      <c r="E608" s="16" t="str">
        <f>IF(Tabla1[[#This Row],[% Error1]]&gt;$E$1,Tabla1[[#This Row],[No]],IF(Tabla1[[#This Row],[% Error1]]&lt;-$E$1,Tabla1[[#This Row],[No]],""))</f>
        <v/>
      </c>
      <c r="F608" s="16" t="str">
        <f>IF(Tabla1[[#This Row],[ID]]="","",VLOOKUP(Tabla1[[#This Row],[ID]],Tabla7[],2,FALSE))</f>
        <v/>
      </c>
      <c r="G608" s="14" t="str">
        <f>IF(Tabla1[[#This Row],[ID]]="","",VLOOKUP(Tabla1[[#This Row],[ID]],Tabla7[],36,FALSE))</f>
        <v/>
      </c>
      <c r="H608" s="16" t="str">
        <f>IF(Tabla1[[#This Row],[ID]]="","",VLOOKUP(Tabla1[[#This Row],[ID]],Tabla7[],4,FALSE))</f>
        <v/>
      </c>
      <c r="I608" s="16" t="str">
        <f>IF(Tabla1[[#This Row],[ID]]="","",VLOOKUP(Tabla1[[#This Row],[ID]],Tabla1[],4,FALSE))</f>
        <v/>
      </c>
      <c r="J608" s="16">
        <f>Tabla1[[#This Row],[CN Literatura]]-Tabla1[[#This Row],[CN Predicted]]</f>
        <v>-4.1221109928012964</v>
      </c>
    </row>
    <row r="609" spans="1:10" x14ac:dyDescent="0.25">
      <c r="A609" s="1">
        <f>Desgloce!A608</f>
        <v>662</v>
      </c>
      <c r="B609" s="14">
        <f>VLOOKUP(Tabla1[[#This Row],[No]],Tabla7[],7,FALSE)</f>
        <v>74</v>
      </c>
      <c r="C609" s="24">
        <v>86.595139074923097</v>
      </c>
      <c r="D609" s="15">
        <f>(B609-C609)/B609*100</f>
        <v>-17.020458209355535</v>
      </c>
      <c r="E609" s="16">
        <f>IF(Tabla1[[#This Row],[% Error1]]&gt;$E$1,Tabla1[[#This Row],[No]],IF(Tabla1[[#This Row],[% Error1]]&lt;-$E$1,Tabla1[[#This Row],[No]],""))</f>
        <v>662</v>
      </c>
      <c r="F609" s="16" t="str">
        <f>IF(Tabla1[[#This Row],[ID]]="","",VLOOKUP(Tabla1[[#This Row],[ID]],Tabla7[],2,FALSE))</f>
        <v>C(CCCCCCCCCCC)(=O)OCCCCCC</v>
      </c>
      <c r="G609" s="14" t="str">
        <f>IF(Tabla1[[#This Row],[ID]]="","",VLOOKUP(Tabla1[[#This Row],[ID]],Tabla7[],36,FALSE))</f>
        <v>Training</v>
      </c>
      <c r="H609" s="16" t="str">
        <f>IF(Tabla1[[#This Row],[ID]]="","",VLOOKUP(Tabla1[[#This Row],[ID]],Tabla7[],4,FALSE))</f>
        <v>Ester: saturated</v>
      </c>
      <c r="I609" s="16">
        <f>IF(Tabla1[[#This Row],[ID]]="","",VLOOKUP(Tabla1[[#This Row],[ID]],Tabla1[],4,FALSE))</f>
        <v>-17.020458209355535</v>
      </c>
      <c r="J609" s="16">
        <f>Tabla1[[#This Row],[CN Literatura]]-Tabla1[[#This Row],[CN Predicted]]</f>
        <v>-12.595139074923097</v>
      </c>
    </row>
    <row r="610" spans="1:10" x14ac:dyDescent="0.25">
      <c r="A610" s="1">
        <f>Desgloce!A609</f>
        <v>663</v>
      </c>
      <c r="B610" s="14">
        <f>VLOOKUP(Tabla1[[#This Row],[No]],Tabla7[],7,FALSE)</f>
        <v>74</v>
      </c>
      <c r="C610" s="24">
        <v>79.902904477886693</v>
      </c>
      <c r="D610" s="15">
        <f>(B610-C610)/B610*100</f>
        <v>-7.9768979430901261</v>
      </c>
      <c r="E610" s="16" t="str">
        <f>IF(Tabla1[[#This Row],[% Error1]]&gt;$E$1,Tabla1[[#This Row],[No]],IF(Tabla1[[#This Row],[% Error1]]&lt;-$E$1,Tabla1[[#This Row],[No]],""))</f>
        <v/>
      </c>
      <c r="F610" s="16" t="str">
        <f>IF(Tabla1[[#This Row],[ID]]="","",VLOOKUP(Tabla1[[#This Row],[ID]],Tabla7[],2,FALSE))</f>
        <v/>
      </c>
      <c r="G610" s="14" t="str">
        <f>IF(Tabla1[[#This Row],[ID]]="","",VLOOKUP(Tabla1[[#This Row],[ID]],Tabla7[],36,FALSE))</f>
        <v/>
      </c>
      <c r="H610" s="16" t="str">
        <f>IF(Tabla1[[#This Row],[ID]]="","",VLOOKUP(Tabla1[[#This Row],[ID]],Tabla7[],4,FALSE))</f>
        <v/>
      </c>
      <c r="I610" s="16" t="str">
        <f>IF(Tabla1[[#This Row],[ID]]="","",VLOOKUP(Tabla1[[#This Row],[ID]],Tabla1[],4,FALSE))</f>
        <v/>
      </c>
      <c r="J610" s="16">
        <f>Tabla1[[#This Row],[CN Literatura]]-Tabla1[[#This Row],[CN Predicted]]</f>
        <v>-5.9029044778866933</v>
      </c>
    </row>
    <row r="611" spans="1:10" x14ac:dyDescent="0.25">
      <c r="A611" s="1">
        <f>Desgloce!A610</f>
        <v>664</v>
      </c>
      <c r="B611" s="14">
        <f>VLOOKUP(Tabla1[[#This Row],[No]],Tabla7[],7,FALSE)</f>
        <v>74</v>
      </c>
      <c r="C611" s="24">
        <v>66.944808688816707</v>
      </c>
      <c r="D611" s="15">
        <f>(B611-C611)/B611*100</f>
        <v>9.5340423124098557</v>
      </c>
      <c r="E611" s="16" t="str">
        <f>IF(Tabla1[[#This Row],[% Error1]]&gt;$E$1,Tabla1[[#This Row],[No]],IF(Tabla1[[#This Row],[% Error1]]&lt;-$E$1,Tabla1[[#This Row],[No]],""))</f>
        <v/>
      </c>
      <c r="F611" s="16" t="str">
        <f>IF(Tabla1[[#This Row],[ID]]="","",VLOOKUP(Tabla1[[#This Row],[ID]],Tabla7[],2,FALSE))</f>
        <v/>
      </c>
      <c r="G611" s="14" t="str">
        <f>IF(Tabla1[[#This Row],[ID]]="","",VLOOKUP(Tabla1[[#This Row],[ID]],Tabla7[],36,FALSE))</f>
        <v/>
      </c>
      <c r="H611" s="16" t="str">
        <f>IF(Tabla1[[#This Row],[ID]]="","",VLOOKUP(Tabla1[[#This Row],[ID]],Tabla7[],4,FALSE))</f>
        <v/>
      </c>
      <c r="I611" s="16" t="str">
        <f>IF(Tabla1[[#This Row],[ID]]="","",VLOOKUP(Tabla1[[#This Row],[ID]],Tabla1[],4,FALSE))</f>
        <v/>
      </c>
      <c r="J611" s="16">
        <f>Tabla1[[#This Row],[CN Literatura]]-Tabla1[[#This Row],[CN Predicted]]</f>
        <v>7.0551913111832931</v>
      </c>
    </row>
    <row r="612" spans="1:10" x14ac:dyDescent="0.25">
      <c r="A612" s="1">
        <f>Desgloce!A611</f>
        <v>665</v>
      </c>
      <c r="B612" s="14">
        <f>VLOOKUP(Tabla1[[#This Row],[No]],Tabla7[],7,FALSE)</f>
        <v>74.2</v>
      </c>
      <c r="C612" s="24">
        <v>74.390380146695094</v>
      </c>
      <c r="D612" s="15">
        <f>(B612-C612)/B612*100</f>
        <v>-0.25657701710928699</v>
      </c>
      <c r="E612" s="16" t="str">
        <f>IF(Tabla1[[#This Row],[% Error1]]&gt;$E$1,Tabla1[[#This Row],[No]],IF(Tabla1[[#This Row],[% Error1]]&lt;-$E$1,Tabla1[[#This Row],[No]],""))</f>
        <v/>
      </c>
      <c r="F612" s="16" t="str">
        <f>IF(Tabla1[[#This Row],[ID]]="","",VLOOKUP(Tabla1[[#This Row],[ID]],Tabla7[],2,FALSE))</f>
        <v/>
      </c>
      <c r="G612" s="14" t="str">
        <f>IF(Tabla1[[#This Row],[ID]]="","",VLOOKUP(Tabla1[[#This Row],[ID]],Tabla7[],36,FALSE))</f>
        <v/>
      </c>
      <c r="H612" s="16" t="str">
        <f>IF(Tabla1[[#This Row],[ID]]="","",VLOOKUP(Tabla1[[#This Row],[ID]],Tabla7[],4,FALSE))</f>
        <v/>
      </c>
      <c r="I612" s="16" t="str">
        <f>IF(Tabla1[[#This Row],[ID]]="","",VLOOKUP(Tabla1[[#This Row],[ID]],Tabla1[],4,FALSE))</f>
        <v/>
      </c>
      <c r="J612" s="16">
        <f>Tabla1[[#This Row],[CN Literatura]]-Tabla1[[#This Row],[CN Predicted]]</f>
        <v>-0.19038014669509096</v>
      </c>
    </row>
    <row r="613" spans="1:10" x14ac:dyDescent="0.25">
      <c r="A613" s="1">
        <f>Desgloce!A612</f>
        <v>666</v>
      </c>
      <c r="B613" s="14">
        <f>VLOOKUP(Tabla1[[#This Row],[No]],Tabla7[],7,FALSE)</f>
        <v>74.400000000000006</v>
      </c>
      <c r="C613" s="24">
        <v>76.134389392700101</v>
      </c>
      <c r="D613" s="15">
        <f>(B613-C613)/B613*100</f>
        <v>-2.3311685385753962</v>
      </c>
      <c r="E613" s="16" t="str">
        <f>IF(Tabla1[[#This Row],[% Error1]]&gt;$E$1,Tabla1[[#This Row],[No]],IF(Tabla1[[#This Row],[% Error1]]&lt;-$E$1,Tabla1[[#This Row],[No]],""))</f>
        <v/>
      </c>
      <c r="F613" s="16" t="str">
        <f>IF(Tabla1[[#This Row],[ID]]="","",VLOOKUP(Tabla1[[#This Row],[ID]],Tabla7[],2,FALSE))</f>
        <v/>
      </c>
      <c r="G613" s="14" t="str">
        <f>IF(Tabla1[[#This Row],[ID]]="","",VLOOKUP(Tabla1[[#This Row],[ID]],Tabla7[],36,FALSE))</f>
        <v/>
      </c>
      <c r="H613" s="16" t="str">
        <f>IF(Tabla1[[#This Row],[ID]]="","",VLOOKUP(Tabla1[[#This Row],[ID]],Tabla7[],4,FALSE))</f>
        <v/>
      </c>
      <c r="I613" s="16" t="str">
        <f>IF(Tabla1[[#This Row],[ID]]="","",VLOOKUP(Tabla1[[#This Row],[ID]],Tabla1[],4,FALSE))</f>
        <v/>
      </c>
      <c r="J613" s="16">
        <f>Tabla1[[#This Row],[CN Literatura]]-Tabla1[[#This Row],[CN Predicted]]</f>
        <v>-1.7343893927000948</v>
      </c>
    </row>
    <row r="614" spans="1:10" x14ac:dyDescent="0.25">
      <c r="A614" s="1">
        <f>Desgloce!A613</f>
        <v>668</v>
      </c>
      <c r="B614" s="14">
        <f>VLOOKUP(Tabla1[[#This Row],[No]],Tabla7[],7,FALSE)</f>
        <v>76</v>
      </c>
      <c r="C614" s="24">
        <v>81.367881133879095</v>
      </c>
      <c r="D614" s="15">
        <f>(B614-C614)/B614*100</f>
        <v>-7.0630014919461779</v>
      </c>
      <c r="E614" s="16" t="str">
        <f>IF(Tabla1[[#This Row],[% Error1]]&gt;$E$1,Tabla1[[#This Row],[No]],IF(Tabla1[[#This Row],[% Error1]]&lt;-$E$1,Tabla1[[#This Row],[No]],""))</f>
        <v/>
      </c>
      <c r="F614" s="16" t="str">
        <f>IF(Tabla1[[#This Row],[ID]]="","",VLOOKUP(Tabla1[[#This Row],[ID]],Tabla7[],2,FALSE))</f>
        <v/>
      </c>
      <c r="G614" s="14" t="str">
        <f>IF(Tabla1[[#This Row],[ID]]="","",VLOOKUP(Tabla1[[#This Row],[ID]],Tabla7[],36,FALSE))</f>
        <v/>
      </c>
      <c r="H614" s="16" t="str">
        <f>IF(Tabla1[[#This Row],[ID]]="","",VLOOKUP(Tabla1[[#This Row],[ID]],Tabla7[],4,FALSE))</f>
        <v/>
      </c>
      <c r="I614" s="16" t="str">
        <f>IF(Tabla1[[#This Row],[ID]]="","",VLOOKUP(Tabla1[[#This Row],[ID]],Tabla1[],4,FALSE))</f>
        <v/>
      </c>
      <c r="J614" s="16">
        <f>Tabla1[[#This Row],[CN Literatura]]-Tabla1[[#This Row],[CN Predicted]]</f>
        <v>-5.367881133879095</v>
      </c>
    </row>
    <row r="615" spans="1:10" x14ac:dyDescent="0.25">
      <c r="A615" s="1">
        <f>Desgloce!A614</f>
        <v>669</v>
      </c>
      <c r="B615" s="14">
        <f>VLOOKUP(Tabla1[[#This Row],[No]],Tabla7[],7,FALSE)</f>
        <v>76.8</v>
      </c>
      <c r="C615" s="24">
        <v>60.3947316024705</v>
      </c>
      <c r="D615" s="15">
        <f>(B615-C615)/B615*100</f>
        <v>21.3610265592832</v>
      </c>
      <c r="E615" s="16">
        <f>IF(Tabla1[[#This Row],[% Error1]]&gt;$E$1,Tabla1[[#This Row],[No]],IF(Tabla1[[#This Row],[% Error1]]&lt;-$E$1,Tabla1[[#This Row],[No]],""))</f>
        <v>669</v>
      </c>
      <c r="F615" s="16" t="str">
        <f>IF(Tabla1[[#This Row],[ID]]="","",VLOOKUP(Tabla1[[#This Row],[ID]],Tabla7[],2,FALSE))</f>
        <v>C(CCCCCCCCCCCCCCCCC)(=O)OCC</v>
      </c>
      <c r="G615" s="14" t="str">
        <f>IF(Tabla1[[#This Row],[ID]]="","",VLOOKUP(Tabla1[[#This Row],[ID]],Tabla7[],36,FALSE))</f>
        <v>Training</v>
      </c>
      <c r="H615" s="16" t="str">
        <f>IF(Tabla1[[#This Row],[ID]]="","",VLOOKUP(Tabla1[[#This Row],[ID]],Tabla7[],4,FALSE))</f>
        <v>Ester: saturated</v>
      </c>
      <c r="I615" s="16">
        <f>IF(Tabla1[[#This Row],[ID]]="","",VLOOKUP(Tabla1[[#This Row],[ID]],Tabla1[],4,FALSE))</f>
        <v>21.3610265592832</v>
      </c>
      <c r="J615" s="16">
        <f>Tabla1[[#This Row],[CN Literatura]]-Tabla1[[#This Row],[CN Predicted]]</f>
        <v>16.405268397529497</v>
      </c>
    </row>
    <row r="616" spans="1:10" x14ac:dyDescent="0.25">
      <c r="A616" s="1">
        <f>Desgloce!A615</f>
        <v>670</v>
      </c>
      <c r="B616" s="14">
        <f>VLOOKUP(Tabla1[[#This Row],[No]],Tabla7[],7,FALSE)</f>
        <v>77</v>
      </c>
      <c r="C616" s="24">
        <v>59.692757509495301</v>
      </c>
      <c r="D616" s="15">
        <f>(B616-C616)/B616*100</f>
        <v>22.476938299356753</v>
      </c>
      <c r="E616" s="16">
        <f>IF(Tabla1[[#This Row],[% Error1]]&gt;$E$1,Tabla1[[#This Row],[No]],IF(Tabla1[[#This Row],[% Error1]]&lt;-$E$1,Tabla1[[#This Row],[No]],""))</f>
        <v>670</v>
      </c>
      <c r="F616" s="16" t="str">
        <f>IF(Tabla1[[#This Row],[ID]]="","",VLOOKUP(Tabla1[[#This Row],[ID]],Tabla7[],2,FALSE))</f>
        <v>C(C)(=O)OCCCCCCCCCCCC</v>
      </c>
      <c r="G616" s="14" t="str">
        <f>IF(Tabla1[[#This Row],[ID]]="","",VLOOKUP(Tabla1[[#This Row],[ID]],Tabla7[],36,FALSE))</f>
        <v>Training</v>
      </c>
      <c r="H616" s="16" t="str">
        <f>IF(Tabla1[[#This Row],[ID]]="","",VLOOKUP(Tabla1[[#This Row],[ID]],Tabla7[],4,FALSE))</f>
        <v>Ester: saturated</v>
      </c>
      <c r="I616" s="16">
        <f>IF(Tabla1[[#This Row],[ID]]="","",VLOOKUP(Tabla1[[#This Row],[ID]],Tabla1[],4,FALSE))</f>
        <v>22.476938299356753</v>
      </c>
      <c r="J616" s="16">
        <f>Tabla1[[#This Row],[CN Literatura]]-Tabla1[[#This Row],[CN Predicted]]</f>
        <v>17.307242490504699</v>
      </c>
    </row>
    <row r="617" spans="1:10" x14ac:dyDescent="0.25">
      <c r="A617" s="1">
        <f>Desgloce!A616</f>
        <v>671</v>
      </c>
      <c r="B617" s="14">
        <f>VLOOKUP(Tabla1[[#This Row],[No]],Tabla7[],7,FALSE)</f>
        <v>77</v>
      </c>
      <c r="C617" s="24">
        <v>68.527410459516702</v>
      </c>
      <c r="D617" s="15">
        <f>(B617-C617)/B617*100</f>
        <v>11.003363039588701</v>
      </c>
      <c r="E617" s="16">
        <f>IF(Tabla1[[#This Row],[% Error1]]&gt;$E$1,Tabla1[[#This Row],[No]],IF(Tabla1[[#This Row],[% Error1]]&lt;-$E$1,Tabla1[[#This Row],[No]],""))</f>
        <v>671</v>
      </c>
      <c r="F617" s="16" t="str">
        <f>IF(Tabla1[[#This Row],[ID]]="","",VLOOKUP(Tabla1[[#This Row],[ID]],Tabla7[],2,FALSE))</f>
        <v>CCCCCCCCCCCC(=O)OC=C</v>
      </c>
      <c r="G617" s="14" t="str">
        <f>IF(Tabla1[[#This Row],[ID]]="","",VLOOKUP(Tabla1[[#This Row],[ID]],Tabla7[],36,FALSE))</f>
        <v>Training</v>
      </c>
      <c r="H617" s="16" t="str">
        <f>IF(Tabla1[[#This Row],[ID]]="","",VLOOKUP(Tabla1[[#This Row],[ID]],Tabla7[],4,FALSE))</f>
        <v>Polyfunctional</v>
      </c>
      <c r="I617" s="16">
        <f>IF(Tabla1[[#This Row],[ID]]="","",VLOOKUP(Tabla1[[#This Row],[ID]],Tabla1[],4,FALSE))</f>
        <v>11.003363039588701</v>
      </c>
      <c r="J617" s="16">
        <f>Tabla1[[#This Row],[CN Literatura]]-Tabla1[[#This Row],[CN Predicted]]</f>
        <v>8.4725895404832983</v>
      </c>
    </row>
    <row r="618" spans="1:10" x14ac:dyDescent="0.25">
      <c r="A618" s="1">
        <f>Desgloce!A617</f>
        <v>673</v>
      </c>
      <c r="B618" s="14">
        <f>VLOOKUP(Tabla1[[#This Row],[No]],Tabla7[],7,FALSE)</f>
        <v>79</v>
      </c>
      <c r="C618" s="24">
        <v>76.943567974991296</v>
      </c>
      <c r="D618" s="15">
        <f>(B618-C618)/B618*100</f>
        <v>2.6030785126692448</v>
      </c>
      <c r="E618" s="16" t="str">
        <f>IF(Tabla1[[#This Row],[% Error1]]&gt;$E$1,Tabla1[[#This Row],[No]],IF(Tabla1[[#This Row],[% Error1]]&lt;-$E$1,Tabla1[[#This Row],[No]],""))</f>
        <v/>
      </c>
      <c r="F618" s="16" t="str">
        <f>IF(Tabla1[[#This Row],[ID]]="","",VLOOKUP(Tabla1[[#This Row],[ID]],Tabla7[],2,FALSE))</f>
        <v/>
      </c>
      <c r="G618" s="14" t="str">
        <f>IF(Tabla1[[#This Row],[ID]]="","",VLOOKUP(Tabla1[[#This Row],[ID]],Tabla7[],36,FALSE))</f>
        <v/>
      </c>
      <c r="H618" s="16" t="str">
        <f>IF(Tabla1[[#This Row],[ID]]="","",VLOOKUP(Tabla1[[#This Row],[ID]],Tabla7[],4,FALSE))</f>
        <v/>
      </c>
      <c r="I618" s="16" t="str">
        <f>IF(Tabla1[[#This Row],[ID]]="","",VLOOKUP(Tabla1[[#This Row],[ID]],Tabla1[],4,FALSE))</f>
        <v/>
      </c>
      <c r="J618" s="16">
        <f>Tabla1[[#This Row],[CN Literatura]]-Tabla1[[#This Row],[CN Predicted]]</f>
        <v>2.0564320250087036</v>
      </c>
    </row>
    <row r="619" spans="1:10" x14ac:dyDescent="0.25">
      <c r="A619" s="1">
        <f>Desgloce!A618</f>
        <v>674</v>
      </c>
      <c r="B619" s="14">
        <f>VLOOKUP(Tabla1[[#This Row],[No]],Tabla7[],7,FALSE)</f>
        <v>80</v>
      </c>
      <c r="C619" s="24">
        <v>84.662917785139399</v>
      </c>
      <c r="D619" s="15">
        <f>(B619-C619)/B619*100</f>
        <v>-5.8286472314242488</v>
      </c>
      <c r="E619" s="16" t="str">
        <f>IF(Tabla1[[#This Row],[% Error1]]&gt;$E$1,Tabla1[[#This Row],[No]],IF(Tabla1[[#This Row],[% Error1]]&lt;-$E$1,Tabla1[[#This Row],[No]],""))</f>
        <v/>
      </c>
      <c r="F619" s="16" t="str">
        <f>IF(Tabla1[[#This Row],[ID]]="","",VLOOKUP(Tabla1[[#This Row],[ID]],Tabla7[],2,FALSE))</f>
        <v/>
      </c>
      <c r="G619" s="14" t="str">
        <f>IF(Tabla1[[#This Row],[ID]]="","",VLOOKUP(Tabla1[[#This Row],[ID]],Tabla7[],36,FALSE))</f>
        <v/>
      </c>
      <c r="H619" s="16" t="str">
        <f>IF(Tabla1[[#This Row],[ID]]="","",VLOOKUP(Tabla1[[#This Row],[ID]],Tabla7[],4,FALSE))</f>
        <v/>
      </c>
      <c r="I619" s="16" t="str">
        <f>IF(Tabla1[[#This Row],[ID]]="","",VLOOKUP(Tabla1[[#This Row],[ID]],Tabla1[],4,FALSE))</f>
        <v/>
      </c>
      <c r="J619" s="16">
        <f>Tabla1[[#This Row],[CN Literatura]]-Tabla1[[#This Row],[CN Predicted]]</f>
        <v>-4.662917785139399</v>
      </c>
    </row>
    <row r="620" spans="1:10" x14ac:dyDescent="0.25">
      <c r="A620" s="1">
        <f>Desgloce!A619</f>
        <v>675</v>
      </c>
      <c r="B620" s="14">
        <f>VLOOKUP(Tabla1[[#This Row],[No]],Tabla7[],7,FALSE)</f>
        <v>80.400000000000006</v>
      </c>
      <c r="C620" s="24">
        <v>82.2790919923807</v>
      </c>
      <c r="D620" s="15">
        <f>(B620-C620)/B620*100</f>
        <v>-2.3371790950008631</v>
      </c>
      <c r="E620" s="16" t="str">
        <f>IF(Tabla1[[#This Row],[% Error1]]&gt;$E$1,Tabla1[[#This Row],[No]],IF(Tabla1[[#This Row],[% Error1]]&lt;-$E$1,Tabla1[[#This Row],[No]],""))</f>
        <v/>
      </c>
      <c r="F620" s="16" t="str">
        <f>IF(Tabla1[[#This Row],[ID]]="","",VLOOKUP(Tabla1[[#This Row],[ID]],Tabla7[],2,FALSE))</f>
        <v/>
      </c>
      <c r="G620" s="14" t="str">
        <f>IF(Tabla1[[#This Row],[ID]]="","",VLOOKUP(Tabla1[[#This Row],[ID]],Tabla7[],36,FALSE))</f>
        <v/>
      </c>
      <c r="H620" s="16" t="str">
        <f>IF(Tabla1[[#This Row],[ID]]="","",VLOOKUP(Tabla1[[#This Row],[ID]],Tabla7[],4,FALSE))</f>
        <v/>
      </c>
      <c r="I620" s="16" t="str">
        <f>IF(Tabla1[[#This Row],[ID]]="","",VLOOKUP(Tabla1[[#This Row],[ID]],Tabla1[],4,FALSE))</f>
        <v/>
      </c>
      <c r="J620" s="16">
        <f>Tabla1[[#This Row],[CN Literatura]]-Tabla1[[#This Row],[CN Predicted]]</f>
        <v>-1.8790919923806939</v>
      </c>
    </row>
    <row r="621" spans="1:10" x14ac:dyDescent="0.25">
      <c r="A621" s="1">
        <f>Desgloce!A620</f>
        <v>676</v>
      </c>
      <c r="B621" s="14">
        <f>VLOOKUP(Tabla1[[#This Row],[No]],Tabla7[],7,FALSE)</f>
        <v>80.5</v>
      </c>
      <c r="C621" s="24">
        <v>80.151892750818405</v>
      </c>
      <c r="D621" s="15">
        <f>(B621-C621)/B621*100</f>
        <v>0.43243136544297522</v>
      </c>
      <c r="E621" s="16" t="str">
        <f>IF(Tabla1[[#This Row],[% Error1]]&gt;$E$1,Tabla1[[#This Row],[No]],IF(Tabla1[[#This Row],[% Error1]]&lt;-$E$1,Tabla1[[#This Row],[No]],""))</f>
        <v/>
      </c>
      <c r="F621" s="16" t="str">
        <f>IF(Tabla1[[#This Row],[ID]]="","",VLOOKUP(Tabla1[[#This Row],[ID]],Tabla7[],2,FALSE))</f>
        <v/>
      </c>
      <c r="G621" s="14" t="str">
        <f>IF(Tabla1[[#This Row],[ID]]="","",VLOOKUP(Tabla1[[#This Row],[ID]],Tabla7[],36,FALSE))</f>
        <v/>
      </c>
      <c r="H621" s="16" t="str">
        <f>IF(Tabla1[[#This Row],[ID]]="","",VLOOKUP(Tabla1[[#This Row],[ID]],Tabla7[],4,FALSE))</f>
        <v/>
      </c>
      <c r="I621" s="16" t="str">
        <f>IF(Tabla1[[#This Row],[ID]]="","",VLOOKUP(Tabla1[[#This Row],[ID]],Tabla1[],4,FALSE))</f>
        <v/>
      </c>
      <c r="J621" s="16">
        <f>Tabla1[[#This Row],[CN Literatura]]-Tabla1[[#This Row],[CN Predicted]]</f>
        <v>0.34810724918159508</v>
      </c>
    </row>
    <row r="622" spans="1:10" x14ac:dyDescent="0.25">
      <c r="A622" s="1">
        <f>Desgloce!A621</f>
        <v>679</v>
      </c>
      <c r="B622" s="14">
        <f>VLOOKUP(Tabla1[[#This Row],[No]],Tabla7[],7,FALSE)</f>
        <v>81</v>
      </c>
      <c r="C622" s="24">
        <v>80.151892750818405</v>
      </c>
      <c r="D622" s="15">
        <f>(B622-C622)/B622*100</f>
        <v>1.0470459866439445</v>
      </c>
      <c r="E622" s="16" t="str">
        <f>IF(Tabla1[[#This Row],[% Error1]]&gt;$E$1,Tabla1[[#This Row],[No]],IF(Tabla1[[#This Row],[% Error1]]&lt;-$E$1,Tabla1[[#This Row],[No]],""))</f>
        <v/>
      </c>
      <c r="F622" s="16" t="str">
        <f>IF(Tabla1[[#This Row],[ID]]="","",VLOOKUP(Tabla1[[#This Row],[ID]],Tabla7[],2,FALSE))</f>
        <v/>
      </c>
      <c r="G622" s="14" t="str">
        <f>IF(Tabla1[[#This Row],[ID]]="","",VLOOKUP(Tabla1[[#This Row],[ID]],Tabla7[],36,FALSE))</f>
        <v/>
      </c>
      <c r="H622" s="16" t="str">
        <f>IF(Tabla1[[#This Row],[ID]]="","",VLOOKUP(Tabla1[[#This Row],[ID]],Tabla7[],4,FALSE))</f>
        <v/>
      </c>
      <c r="I622" s="16" t="str">
        <f>IF(Tabla1[[#This Row],[ID]]="","",VLOOKUP(Tabla1[[#This Row],[ID]],Tabla1[],4,FALSE))</f>
        <v/>
      </c>
      <c r="J622" s="16">
        <f>Tabla1[[#This Row],[CN Literatura]]-Tabla1[[#This Row],[CN Predicted]]</f>
        <v>0.84810724918159508</v>
      </c>
    </row>
    <row r="623" spans="1:10" x14ac:dyDescent="0.25">
      <c r="A623" s="1">
        <f>Desgloce!A622</f>
        <v>680</v>
      </c>
      <c r="B623" s="14">
        <f>VLOOKUP(Tabla1[[#This Row],[No]],Tabla7[],7,FALSE)</f>
        <v>81</v>
      </c>
      <c r="C623" s="24">
        <v>50.107088057526902</v>
      </c>
      <c r="D623" s="15">
        <f>(B623-C623)/B623*100</f>
        <v>38.13939745984333</v>
      </c>
      <c r="E623" s="16">
        <f>IF(Tabla1[[#This Row],[% Error1]]&gt;$E$1,Tabla1[[#This Row],[No]],IF(Tabla1[[#This Row],[% Error1]]&lt;-$E$1,Tabla1[[#This Row],[No]],""))</f>
        <v>680</v>
      </c>
      <c r="F623" s="16" t="str">
        <f>IF(Tabla1[[#This Row],[ID]]="","",VLOOKUP(Tabla1[[#This Row],[ID]],Tabla7[],2,FALSE))</f>
        <v>C(CCCCCCCCCCCCCCCCC)O</v>
      </c>
      <c r="G623" s="14" t="str">
        <f>IF(Tabla1[[#This Row],[ID]]="","",VLOOKUP(Tabla1[[#This Row],[ID]],Tabla7[],36,FALSE))</f>
        <v>Training</v>
      </c>
      <c r="H623" s="16" t="str">
        <f>IF(Tabla1[[#This Row],[ID]]="","",VLOOKUP(Tabla1[[#This Row],[ID]],Tabla7[],4,FALSE))</f>
        <v>Alcohol</v>
      </c>
      <c r="I623" s="16">
        <f>IF(Tabla1[[#This Row],[ID]]="","",VLOOKUP(Tabla1[[#This Row],[ID]],Tabla1[],4,FALSE))</f>
        <v>38.13939745984333</v>
      </c>
      <c r="J623" s="16">
        <f>Tabla1[[#This Row],[CN Literatura]]-Tabla1[[#This Row],[CN Predicted]]</f>
        <v>30.892911942473098</v>
      </c>
    </row>
    <row r="624" spans="1:10" x14ac:dyDescent="0.25">
      <c r="A624" s="1">
        <f>Desgloce!A623</f>
        <v>682</v>
      </c>
      <c r="B624" s="14">
        <f>VLOOKUP(Tabla1[[#This Row],[No]],Tabla7[],7,FALSE)</f>
        <v>81</v>
      </c>
      <c r="C624" s="24">
        <v>81.439264331940905</v>
      </c>
      <c r="D624" s="15">
        <f>(B624-C624)/B624*100</f>
        <v>-0.5423016443714872</v>
      </c>
      <c r="E624" s="16" t="str">
        <f>IF(Tabla1[[#This Row],[% Error1]]&gt;$E$1,Tabla1[[#This Row],[No]],IF(Tabla1[[#This Row],[% Error1]]&lt;-$E$1,Tabla1[[#This Row],[No]],""))</f>
        <v/>
      </c>
      <c r="F624" s="16" t="str">
        <f>IF(Tabla1[[#This Row],[ID]]="","",VLOOKUP(Tabla1[[#This Row],[ID]],Tabla7[],2,FALSE))</f>
        <v/>
      </c>
      <c r="G624" s="14" t="str">
        <f>IF(Tabla1[[#This Row],[ID]]="","",VLOOKUP(Tabla1[[#This Row],[ID]],Tabla7[],36,FALSE))</f>
        <v/>
      </c>
      <c r="H624" s="16" t="str">
        <f>IF(Tabla1[[#This Row],[ID]]="","",VLOOKUP(Tabla1[[#This Row],[ID]],Tabla7[],4,FALSE))</f>
        <v/>
      </c>
      <c r="I624" s="16" t="str">
        <f>IF(Tabla1[[#This Row],[ID]]="","",VLOOKUP(Tabla1[[#This Row],[ID]],Tabla1[],4,FALSE))</f>
        <v/>
      </c>
      <c r="J624" s="16">
        <f>Tabla1[[#This Row],[CN Literatura]]-Tabla1[[#This Row],[CN Predicted]]</f>
        <v>-0.43926433194090464</v>
      </c>
    </row>
    <row r="625" spans="1:10" x14ac:dyDescent="0.25">
      <c r="A625" s="1">
        <f>Desgloce!A624</f>
        <v>684</v>
      </c>
      <c r="B625" s="14">
        <f>VLOOKUP(Tabla1[[#This Row],[No]],Tabla7[],7,FALSE)</f>
        <v>81</v>
      </c>
      <c r="C625" s="24">
        <v>56.283363038370702</v>
      </c>
      <c r="D625" s="15">
        <f>(B625-C625)/B625*100</f>
        <v>30.51436661929543</v>
      </c>
      <c r="E625" s="16">
        <f>IF(Tabla1[[#This Row],[% Error1]]&gt;$E$1,Tabla1[[#This Row],[No]],IF(Tabla1[[#This Row],[% Error1]]&lt;-$E$1,Tabla1[[#This Row],[No]],""))</f>
        <v>684</v>
      </c>
      <c r="F625" s="16" t="str">
        <f>IF(Tabla1[[#This Row],[ID]]="","",VLOOKUP(Tabla1[[#This Row],[ID]],Tabla7[],2,FALSE))</f>
        <v>C(CCCCCCCCC)(=O)OCCCCCCCCCC</v>
      </c>
      <c r="G625" s="14" t="str">
        <f>IF(Tabla1[[#This Row],[ID]]="","",VLOOKUP(Tabla1[[#This Row],[ID]],Tabla7[],36,FALSE))</f>
        <v>Training</v>
      </c>
      <c r="H625" s="16" t="str">
        <f>IF(Tabla1[[#This Row],[ID]]="","",VLOOKUP(Tabla1[[#This Row],[ID]],Tabla7[],4,FALSE))</f>
        <v>Ester: saturated</v>
      </c>
      <c r="I625" s="16">
        <f>IF(Tabla1[[#This Row],[ID]]="","",VLOOKUP(Tabla1[[#This Row],[ID]],Tabla1[],4,FALSE))</f>
        <v>30.51436661929543</v>
      </c>
      <c r="J625" s="16">
        <f>Tabla1[[#This Row],[CN Literatura]]-Tabla1[[#This Row],[CN Predicted]]</f>
        <v>24.716636961629298</v>
      </c>
    </row>
    <row r="626" spans="1:10" x14ac:dyDescent="0.25">
      <c r="A626" s="1">
        <f>Desgloce!A625</f>
        <v>685</v>
      </c>
      <c r="B626" s="14">
        <f>VLOOKUP(Tabla1[[#This Row],[No]],Tabla7[],7,FALSE)</f>
        <v>81</v>
      </c>
      <c r="C626" s="24">
        <v>84.804142618678696</v>
      </c>
      <c r="D626" s="15">
        <f>(B626-C626)/B626*100</f>
        <v>-4.6964723687391308</v>
      </c>
      <c r="E626" s="16" t="str">
        <f>IF(Tabla1[[#This Row],[% Error1]]&gt;$E$1,Tabla1[[#This Row],[No]],IF(Tabla1[[#This Row],[% Error1]]&lt;-$E$1,Tabla1[[#This Row],[No]],""))</f>
        <v/>
      </c>
      <c r="F626" s="16" t="str">
        <f>IF(Tabla1[[#This Row],[ID]]="","",VLOOKUP(Tabla1[[#This Row],[ID]],Tabla7[],2,FALSE))</f>
        <v/>
      </c>
      <c r="G626" s="14" t="str">
        <f>IF(Tabla1[[#This Row],[ID]]="","",VLOOKUP(Tabla1[[#This Row],[ID]],Tabla7[],36,FALSE))</f>
        <v/>
      </c>
      <c r="H626" s="16" t="str">
        <f>IF(Tabla1[[#This Row],[ID]]="","",VLOOKUP(Tabla1[[#This Row],[ID]],Tabla7[],4,FALSE))</f>
        <v/>
      </c>
      <c r="I626" s="16" t="str">
        <f>IF(Tabla1[[#This Row],[ID]]="","",VLOOKUP(Tabla1[[#This Row],[ID]],Tabla1[],4,FALSE))</f>
        <v/>
      </c>
      <c r="J626" s="16">
        <f>Tabla1[[#This Row],[CN Literatura]]-Tabla1[[#This Row],[CN Predicted]]</f>
        <v>-3.8041426186786964</v>
      </c>
    </row>
    <row r="627" spans="1:10" x14ac:dyDescent="0.25">
      <c r="A627" s="1">
        <f>Desgloce!A626</f>
        <v>688</v>
      </c>
      <c r="B627" s="14">
        <f>VLOOKUP(Tabla1[[#This Row],[No]],Tabla7[],7,FALSE)</f>
        <v>82.6</v>
      </c>
      <c r="C627" s="24">
        <v>69.373304004300707</v>
      </c>
      <c r="D627" s="15">
        <f>(B627-C627)/B627*100</f>
        <v>16.0129491473357</v>
      </c>
      <c r="E627" s="16">
        <f>IF(Tabla1[[#This Row],[% Error1]]&gt;$E$1,Tabla1[[#This Row],[No]],IF(Tabla1[[#This Row],[% Error1]]&lt;-$E$1,Tabla1[[#This Row],[No]],""))</f>
        <v>688</v>
      </c>
      <c r="F627" s="16" t="str">
        <f>IF(Tabla1[[#This Row],[ID]]="","",VLOOKUP(Tabla1[[#This Row],[ID]],Tabla7[],2,FALSE))</f>
        <v>CCCCCCCCCCCCCCCC(=O)OC(C)C</v>
      </c>
      <c r="G627" s="14" t="str">
        <f>IF(Tabla1[[#This Row],[ID]]="","",VLOOKUP(Tabla1[[#This Row],[ID]],Tabla7[],36,FALSE))</f>
        <v>Training</v>
      </c>
      <c r="H627" s="16" t="str">
        <f>IF(Tabla1[[#This Row],[ID]]="","",VLOOKUP(Tabla1[[#This Row],[ID]],Tabla7[],4,FALSE))</f>
        <v>Ester</v>
      </c>
      <c r="I627" s="16">
        <f>IF(Tabla1[[#This Row],[ID]]="","",VLOOKUP(Tabla1[[#This Row],[ID]],Tabla1[],4,FALSE))</f>
        <v>16.0129491473357</v>
      </c>
      <c r="J627" s="16">
        <f>Tabla1[[#This Row],[CN Literatura]]-Tabla1[[#This Row],[CN Predicted]]</f>
        <v>13.226695995699288</v>
      </c>
    </row>
    <row r="628" spans="1:10" x14ac:dyDescent="0.25">
      <c r="A628" s="1">
        <f>Desgloce!A627</f>
        <v>690</v>
      </c>
      <c r="B628" s="14">
        <f>VLOOKUP(Tabla1[[#This Row],[No]],Tabla7[],7,FALSE)</f>
        <v>83</v>
      </c>
      <c r="C628" s="24">
        <v>70.060276957315395</v>
      </c>
      <c r="D628" s="15">
        <f>(B628-C628)/B628*100</f>
        <v>15.590027762270608</v>
      </c>
      <c r="E628" s="16">
        <f>IF(Tabla1[[#This Row],[% Error1]]&gt;$E$1,Tabla1[[#This Row],[No]],IF(Tabla1[[#This Row],[% Error1]]&lt;-$E$1,Tabla1[[#This Row],[No]],""))</f>
        <v>690</v>
      </c>
      <c r="F628" s="16" t="str">
        <f>IF(Tabla1[[#This Row],[ID]]="","",VLOOKUP(Tabla1[[#This Row],[ID]],Tabla7[],2,FALSE))</f>
        <v>CCCCCCCCC(CCCCCC)CCCCCC</v>
      </c>
      <c r="G628" s="14" t="str">
        <f>IF(Tabla1[[#This Row],[ID]]="","",VLOOKUP(Tabla1[[#This Row],[ID]],Tabla7[],36,FALSE))</f>
        <v>Training</v>
      </c>
      <c r="H628" s="16" t="str">
        <f>IF(Tabla1[[#This Row],[ID]]="","",VLOOKUP(Tabla1[[#This Row],[ID]],Tabla7[],4,FALSE))</f>
        <v>iso-alkane</v>
      </c>
      <c r="I628" s="16">
        <f>IF(Tabla1[[#This Row],[ID]]="","",VLOOKUP(Tabla1[[#This Row],[ID]],Tabla1[],4,FALSE))</f>
        <v>15.590027762270608</v>
      </c>
      <c r="J628" s="16">
        <f>Tabla1[[#This Row],[CN Literatura]]-Tabla1[[#This Row],[CN Predicted]]</f>
        <v>12.939723042684605</v>
      </c>
    </row>
    <row r="629" spans="1:10" x14ac:dyDescent="0.25">
      <c r="A629" s="1">
        <f>Desgloce!A628</f>
        <v>691</v>
      </c>
      <c r="B629" s="14">
        <f>VLOOKUP(Tabla1[[#This Row],[No]],Tabla7[],7,FALSE)</f>
        <v>83</v>
      </c>
      <c r="C629" s="24">
        <v>84.919122130023396</v>
      </c>
      <c r="D629" s="15">
        <f>(B629-C629)/B629*100</f>
        <v>-2.3121953373775859</v>
      </c>
      <c r="E629" s="16" t="str">
        <f>IF(Tabla1[[#This Row],[% Error1]]&gt;$E$1,Tabla1[[#This Row],[No]],IF(Tabla1[[#This Row],[% Error1]]&lt;-$E$1,Tabla1[[#This Row],[No]],""))</f>
        <v/>
      </c>
      <c r="F629" s="16" t="str">
        <f>IF(Tabla1[[#This Row],[ID]]="","",VLOOKUP(Tabla1[[#This Row],[ID]],Tabla7[],2,FALSE))</f>
        <v/>
      </c>
      <c r="G629" s="14" t="str">
        <f>IF(Tabla1[[#This Row],[ID]]="","",VLOOKUP(Tabla1[[#This Row],[ID]],Tabla7[],36,FALSE))</f>
        <v/>
      </c>
      <c r="H629" s="16" t="str">
        <f>IF(Tabla1[[#This Row],[ID]]="","",VLOOKUP(Tabla1[[#This Row],[ID]],Tabla7[],4,FALSE))</f>
        <v/>
      </c>
      <c r="I629" s="16" t="str">
        <f>IF(Tabla1[[#This Row],[ID]]="","",VLOOKUP(Tabla1[[#This Row],[ID]],Tabla1[],4,FALSE))</f>
        <v/>
      </c>
      <c r="J629" s="16">
        <f>Tabla1[[#This Row],[CN Literatura]]-Tabla1[[#This Row],[CN Predicted]]</f>
        <v>-1.9191221300233963</v>
      </c>
    </row>
    <row r="630" spans="1:10" x14ac:dyDescent="0.25">
      <c r="A630" s="1">
        <f>Desgloce!A629</f>
        <v>692</v>
      </c>
      <c r="B630" s="14">
        <f>VLOOKUP(Tabla1[[#This Row],[No]],Tabla7[],7,FALSE)</f>
        <v>83.6</v>
      </c>
      <c r="C630" s="24">
        <v>84.568159150305902</v>
      </c>
      <c r="D630" s="15">
        <f>(B630-C630)/B630*100</f>
        <v>-1.1580851080214214</v>
      </c>
      <c r="E630" s="16" t="str">
        <f>IF(Tabla1[[#This Row],[% Error1]]&gt;$E$1,Tabla1[[#This Row],[No]],IF(Tabla1[[#This Row],[% Error1]]&lt;-$E$1,Tabla1[[#This Row],[No]],""))</f>
        <v/>
      </c>
      <c r="F630" s="16" t="str">
        <f>IF(Tabla1[[#This Row],[ID]]="","",VLOOKUP(Tabla1[[#This Row],[ID]],Tabla7[],2,FALSE))</f>
        <v/>
      </c>
      <c r="G630" s="14" t="str">
        <f>IF(Tabla1[[#This Row],[ID]]="","",VLOOKUP(Tabla1[[#This Row],[ID]],Tabla7[],36,FALSE))</f>
        <v/>
      </c>
      <c r="H630" s="16" t="str">
        <f>IF(Tabla1[[#This Row],[ID]]="","",VLOOKUP(Tabla1[[#This Row],[ID]],Tabla7[],4,FALSE))</f>
        <v/>
      </c>
      <c r="I630" s="16" t="str">
        <f>IF(Tabla1[[#This Row],[ID]]="","",VLOOKUP(Tabla1[[#This Row],[ID]],Tabla1[],4,FALSE))</f>
        <v/>
      </c>
      <c r="J630" s="16">
        <f>Tabla1[[#This Row],[CN Literatura]]-Tabla1[[#This Row],[CN Predicted]]</f>
        <v>-0.96815915030590816</v>
      </c>
    </row>
    <row r="631" spans="1:10" x14ac:dyDescent="0.25">
      <c r="A631" s="1">
        <f>Desgloce!A630</f>
        <v>694</v>
      </c>
      <c r="B631" s="14">
        <f>VLOOKUP(Tabla1[[#This Row],[No]],Tabla7[],7,FALSE)</f>
        <v>84</v>
      </c>
      <c r="C631" s="24">
        <v>87.9519841408612</v>
      </c>
      <c r="D631" s="15">
        <f>(B631-C631)/B631*100</f>
        <v>-4.7047430248347615</v>
      </c>
      <c r="E631" s="16" t="str">
        <f>IF(Tabla1[[#This Row],[% Error1]]&gt;$E$1,Tabla1[[#This Row],[No]],IF(Tabla1[[#This Row],[% Error1]]&lt;-$E$1,Tabla1[[#This Row],[No]],""))</f>
        <v/>
      </c>
      <c r="F631" s="16" t="str">
        <f>IF(Tabla1[[#This Row],[ID]]="","",VLOOKUP(Tabla1[[#This Row],[ID]],Tabla7[],2,FALSE))</f>
        <v/>
      </c>
      <c r="G631" s="14" t="str">
        <f>IF(Tabla1[[#This Row],[ID]]="","",VLOOKUP(Tabla1[[#This Row],[ID]],Tabla7[],36,FALSE))</f>
        <v/>
      </c>
      <c r="H631" s="16" t="str">
        <f>IF(Tabla1[[#This Row],[ID]]="","",VLOOKUP(Tabla1[[#This Row],[ID]],Tabla7[],4,FALSE))</f>
        <v/>
      </c>
      <c r="I631" s="16" t="str">
        <f>IF(Tabla1[[#This Row],[ID]]="","",VLOOKUP(Tabla1[[#This Row],[ID]],Tabla1[],4,FALSE))</f>
        <v/>
      </c>
      <c r="J631" s="16">
        <f>Tabla1[[#This Row],[CN Literatura]]-Tabla1[[#This Row],[CN Predicted]]</f>
        <v>-3.9519841408611995</v>
      </c>
    </row>
    <row r="632" spans="1:10" x14ac:dyDescent="0.25">
      <c r="A632" s="1">
        <f>Desgloce!A631</f>
        <v>695</v>
      </c>
      <c r="B632" s="14">
        <f>VLOOKUP(Tabla1[[#This Row],[No]],Tabla7[],7,FALSE)</f>
        <v>84.8</v>
      </c>
      <c r="C632" s="24">
        <v>82.717291211037605</v>
      </c>
      <c r="D632" s="15">
        <f>(B632-C632)/B632*100</f>
        <v>2.4560245152858404</v>
      </c>
      <c r="E632" s="16" t="str">
        <f>IF(Tabla1[[#This Row],[% Error1]]&gt;$E$1,Tabla1[[#This Row],[No]],IF(Tabla1[[#This Row],[% Error1]]&lt;-$E$1,Tabla1[[#This Row],[No]],""))</f>
        <v/>
      </c>
      <c r="F632" s="16" t="str">
        <f>IF(Tabla1[[#This Row],[ID]]="","",VLOOKUP(Tabla1[[#This Row],[ID]],Tabla7[],2,FALSE))</f>
        <v/>
      </c>
      <c r="G632" s="14" t="str">
        <f>IF(Tabla1[[#This Row],[ID]]="","",VLOOKUP(Tabla1[[#This Row],[ID]],Tabla7[],36,FALSE))</f>
        <v/>
      </c>
      <c r="H632" s="16" t="str">
        <f>IF(Tabla1[[#This Row],[ID]]="","",VLOOKUP(Tabla1[[#This Row],[ID]],Tabla7[],4,FALSE))</f>
        <v/>
      </c>
      <c r="I632" s="16" t="str">
        <f>IF(Tabla1[[#This Row],[ID]]="","",VLOOKUP(Tabla1[[#This Row],[ID]],Tabla1[],4,FALSE))</f>
        <v/>
      </c>
      <c r="J632" s="16">
        <f>Tabla1[[#This Row],[CN Literatura]]-Tabla1[[#This Row],[CN Predicted]]</f>
        <v>2.0827087889623925</v>
      </c>
    </row>
    <row r="633" spans="1:10" x14ac:dyDescent="0.25">
      <c r="A633" s="1">
        <f>Desgloce!A632</f>
        <v>697</v>
      </c>
      <c r="B633" s="14">
        <f>VLOOKUP(Tabla1[[#This Row],[No]],Tabla7[],7,FALSE)</f>
        <v>85</v>
      </c>
      <c r="C633" s="24">
        <v>80.797356332747896</v>
      </c>
      <c r="D633" s="15">
        <f>(B633-C633)/B633*100</f>
        <v>4.9442866673554162</v>
      </c>
      <c r="E633" s="16" t="str">
        <f>IF(Tabla1[[#This Row],[% Error1]]&gt;$E$1,Tabla1[[#This Row],[No]],IF(Tabla1[[#This Row],[% Error1]]&lt;-$E$1,Tabla1[[#This Row],[No]],""))</f>
        <v/>
      </c>
      <c r="F633" s="16" t="str">
        <f>IF(Tabla1[[#This Row],[ID]]="","",VLOOKUP(Tabla1[[#This Row],[ID]],Tabla7[],2,FALSE))</f>
        <v/>
      </c>
      <c r="G633" s="14" t="str">
        <f>IF(Tabla1[[#This Row],[ID]]="","",VLOOKUP(Tabla1[[#This Row],[ID]],Tabla7[],36,FALSE))</f>
        <v/>
      </c>
      <c r="H633" s="16" t="str">
        <f>IF(Tabla1[[#This Row],[ID]]="","",VLOOKUP(Tabla1[[#This Row],[ID]],Tabla7[],4,FALSE))</f>
        <v/>
      </c>
      <c r="I633" s="16" t="str">
        <f>IF(Tabla1[[#This Row],[ID]]="","",VLOOKUP(Tabla1[[#This Row],[ID]],Tabla1[],4,FALSE))</f>
        <v/>
      </c>
      <c r="J633" s="16">
        <f>Tabla1[[#This Row],[CN Literatura]]-Tabla1[[#This Row],[CN Predicted]]</f>
        <v>4.2026436672521044</v>
      </c>
    </row>
    <row r="634" spans="1:10" x14ac:dyDescent="0.25">
      <c r="A634" s="1">
        <f>Desgloce!A633</f>
        <v>699</v>
      </c>
      <c r="B634" s="14">
        <f>VLOOKUP(Tabla1[[#This Row],[No]],Tabla7[],7,FALSE)</f>
        <v>85</v>
      </c>
      <c r="C634" s="24">
        <v>76.547934574721907</v>
      </c>
      <c r="D634" s="15">
        <f>(B634-C634)/B634*100</f>
        <v>9.9436063826801089</v>
      </c>
      <c r="E634" s="16" t="str">
        <f>IF(Tabla1[[#This Row],[% Error1]]&gt;$E$1,Tabla1[[#This Row],[No]],IF(Tabla1[[#This Row],[% Error1]]&lt;-$E$1,Tabla1[[#This Row],[No]],""))</f>
        <v/>
      </c>
      <c r="F634" s="16" t="str">
        <f>IF(Tabla1[[#This Row],[ID]]="","",VLOOKUP(Tabla1[[#This Row],[ID]],Tabla7[],2,FALSE))</f>
        <v/>
      </c>
      <c r="G634" s="14" t="str">
        <f>IF(Tabla1[[#This Row],[ID]]="","",VLOOKUP(Tabla1[[#This Row],[ID]],Tabla7[],36,FALSE))</f>
        <v/>
      </c>
      <c r="H634" s="16" t="str">
        <f>IF(Tabla1[[#This Row],[ID]]="","",VLOOKUP(Tabla1[[#This Row],[ID]],Tabla7[],4,FALSE))</f>
        <v/>
      </c>
      <c r="I634" s="16" t="str">
        <f>IF(Tabla1[[#This Row],[ID]]="","",VLOOKUP(Tabla1[[#This Row],[ID]],Tabla1[],4,FALSE))</f>
        <v/>
      </c>
      <c r="J634" s="16">
        <f>Tabla1[[#This Row],[CN Literatura]]-Tabla1[[#This Row],[CN Predicted]]</f>
        <v>8.4520654252780929</v>
      </c>
    </row>
    <row r="635" spans="1:10" x14ac:dyDescent="0.25">
      <c r="A635" s="1">
        <f>Desgloce!A634</f>
        <v>701</v>
      </c>
      <c r="B635" s="14">
        <f>VLOOKUP(Tabla1[[#This Row],[No]],Tabla7[],7,FALSE)</f>
        <v>86</v>
      </c>
      <c r="C635" s="24">
        <v>82.596917576450906</v>
      </c>
      <c r="D635" s="15">
        <f>(B635-C635)/B635*100</f>
        <v>3.9570725855222024</v>
      </c>
      <c r="E635" s="16" t="str">
        <f>IF(Tabla1[[#This Row],[% Error1]]&gt;$E$1,Tabla1[[#This Row],[No]],IF(Tabla1[[#This Row],[% Error1]]&lt;-$E$1,Tabla1[[#This Row],[No]],""))</f>
        <v/>
      </c>
      <c r="F635" s="16" t="str">
        <f>IF(Tabla1[[#This Row],[ID]]="","",VLOOKUP(Tabla1[[#This Row],[ID]],Tabla7[],2,FALSE))</f>
        <v/>
      </c>
      <c r="G635" s="14" t="str">
        <f>IF(Tabla1[[#This Row],[ID]]="","",VLOOKUP(Tabla1[[#This Row],[ID]],Tabla7[],36,FALSE))</f>
        <v/>
      </c>
      <c r="H635" s="16" t="str">
        <f>IF(Tabla1[[#This Row],[ID]]="","",VLOOKUP(Tabla1[[#This Row],[ID]],Tabla7[],4,FALSE))</f>
        <v/>
      </c>
      <c r="I635" s="16" t="str">
        <f>IF(Tabla1[[#This Row],[ID]]="","",VLOOKUP(Tabla1[[#This Row],[ID]],Tabla1[],4,FALSE))</f>
        <v/>
      </c>
      <c r="J635" s="16">
        <f>Tabla1[[#This Row],[CN Literatura]]-Tabla1[[#This Row],[CN Predicted]]</f>
        <v>3.403082423549094</v>
      </c>
    </row>
    <row r="636" spans="1:10" x14ac:dyDescent="0.25">
      <c r="A636" s="1">
        <f>Desgloce!A635</f>
        <v>703</v>
      </c>
      <c r="B636" s="14">
        <f>VLOOKUP(Tabla1[[#This Row],[No]],Tabla7[],7,FALSE)</f>
        <v>86</v>
      </c>
      <c r="C636" s="24">
        <v>76.804122689710098</v>
      </c>
      <c r="D636" s="15">
        <f>(B636-C636)/B636*100</f>
        <v>10.69288059336035</v>
      </c>
      <c r="E636" s="16">
        <f>IF(Tabla1[[#This Row],[% Error1]]&gt;$E$1,Tabla1[[#This Row],[No]],IF(Tabla1[[#This Row],[% Error1]]&lt;-$E$1,Tabla1[[#This Row],[No]],""))</f>
        <v>703</v>
      </c>
      <c r="F636" s="16" t="str">
        <f>IF(Tabla1[[#This Row],[ID]]="","",VLOOKUP(Tabla1[[#This Row],[ID]],Tabla7[],2,FALSE))</f>
        <v>CCCCCCCCCCCCCCCCCC(=O)OCC</v>
      </c>
      <c r="G636" s="14" t="str">
        <f>IF(Tabla1[[#This Row],[ID]]="","",VLOOKUP(Tabla1[[#This Row],[ID]],Tabla7[],36,FALSE))</f>
        <v>Training</v>
      </c>
      <c r="H636" s="16" t="str">
        <f>IF(Tabla1[[#This Row],[ID]]="","",VLOOKUP(Tabla1[[#This Row],[ID]],Tabla7[],4,FALSE))</f>
        <v>Ester</v>
      </c>
      <c r="I636" s="16">
        <f>IF(Tabla1[[#This Row],[ID]]="","",VLOOKUP(Tabla1[[#This Row],[ID]],Tabla1[],4,FALSE))</f>
        <v>10.69288059336035</v>
      </c>
      <c r="J636" s="16">
        <f>Tabla1[[#This Row],[CN Literatura]]-Tabla1[[#This Row],[CN Predicted]]</f>
        <v>9.1958773102899016</v>
      </c>
    </row>
    <row r="637" spans="1:10" x14ac:dyDescent="0.25">
      <c r="A637" s="1">
        <f>Desgloce!A636</f>
        <v>704</v>
      </c>
      <c r="B637" s="14">
        <f>VLOOKUP(Tabla1[[#This Row],[No]],Tabla7[],7,FALSE)</f>
        <v>86</v>
      </c>
      <c r="C637" s="24">
        <v>84.551645512590994</v>
      </c>
      <c r="D637" s="15">
        <f>(B637-C637)/B637*100</f>
        <v>1.6841331248941926</v>
      </c>
      <c r="E637" s="16" t="str">
        <f>IF(Tabla1[[#This Row],[% Error1]]&gt;$E$1,Tabla1[[#This Row],[No]],IF(Tabla1[[#This Row],[% Error1]]&lt;-$E$1,Tabla1[[#This Row],[No]],""))</f>
        <v/>
      </c>
      <c r="F637" s="16" t="str">
        <f>IF(Tabla1[[#This Row],[ID]]="","",VLOOKUP(Tabla1[[#This Row],[ID]],Tabla7[],2,FALSE))</f>
        <v/>
      </c>
      <c r="G637" s="14" t="str">
        <f>IF(Tabla1[[#This Row],[ID]]="","",VLOOKUP(Tabla1[[#This Row],[ID]],Tabla7[],36,FALSE))</f>
        <v/>
      </c>
      <c r="H637" s="16" t="str">
        <f>IF(Tabla1[[#This Row],[ID]]="","",VLOOKUP(Tabla1[[#This Row],[ID]],Tabla7[],4,FALSE))</f>
        <v/>
      </c>
      <c r="I637" s="16" t="str">
        <f>IF(Tabla1[[#This Row],[ID]]="","",VLOOKUP(Tabla1[[#This Row],[ID]],Tabla1[],4,FALSE))</f>
        <v/>
      </c>
      <c r="J637" s="16">
        <f>Tabla1[[#This Row],[CN Literatura]]-Tabla1[[#This Row],[CN Predicted]]</f>
        <v>1.4483544874090057</v>
      </c>
    </row>
    <row r="638" spans="1:10" x14ac:dyDescent="0.25">
      <c r="A638" s="1">
        <f>Desgloce!A637</f>
        <v>705</v>
      </c>
      <c r="B638" s="14">
        <f>VLOOKUP(Tabla1[[#This Row],[No]],Tabla7[],7,FALSE)</f>
        <v>86.3</v>
      </c>
      <c r="C638" s="24">
        <v>77.676012432546997</v>
      </c>
      <c r="D638" s="15">
        <f>(B638-C638)/B638*100</f>
        <v>9.9930331024947865</v>
      </c>
      <c r="E638" s="16" t="str">
        <f>IF(Tabla1[[#This Row],[% Error1]]&gt;$E$1,Tabla1[[#This Row],[No]],IF(Tabla1[[#This Row],[% Error1]]&lt;-$E$1,Tabla1[[#This Row],[No]],""))</f>
        <v/>
      </c>
      <c r="F638" s="16" t="str">
        <f>IF(Tabla1[[#This Row],[ID]]="","",VLOOKUP(Tabla1[[#This Row],[ID]],Tabla7[],2,FALSE))</f>
        <v/>
      </c>
      <c r="G638" s="14" t="str">
        <f>IF(Tabla1[[#This Row],[ID]]="","",VLOOKUP(Tabla1[[#This Row],[ID]],Tabla7[],36,FALSE))</f>
        <v/>
      </c>
      <c r="H638" s="16" t="str">
        <f>IF(Tabla1[[#This Row],[ID]]="","",VLOOKUP(Tabla1[[#This Row],[ID]],Tabla7[],4,FALSE))</f>
        <v/>
      </c>
      <c r="I638" s="16" t="str">
        <f>IF(Tabla1[[#This Row],[ID]]="","",VLOOKUP(Tabla1[[#This Row],[ID]],Tabla1[],4,FALSE))</f>
        <v/>
      </c>
      <c r="J638" s="16">
        <f>Tabla1[[#This Row],[CN Literatura]]-Tabla1[[#This Row],[CN Predicted]]</f>
        <v>8.6239875674529998</v>
      </c>
    </row>
    <row r="639" spans="1:10" x14ac:dyDescent="0.25">
      <c r="A639" s="1">
        <f>Desgloce!A638</f>
        <v>707</v>
      </c>
      <c r="B639" s="14">
        <f>VLOOKUP(Tabla1[[#This Row],[No]],Tabla7[],7,FALSE)</f>
        <v>86.55</v>
      </c>
      <c r="C639" s="24">
        <v>73.334534977031794</v>
      </c>
      <c r="D639" s="15">
        <f>(B639-C639)/B639*100</f>
        <v>15.26916813745604</v>
      </c>
      <c r="E639" s="16">
        <f>IF(Tabla1[[#This Row],[% Error1]]&gt;$E$1,Tabla1[[#This Row],[No]],IF(Tabla1[[#This Row],[% Error1]]&lt;-$E$1,Tabla1[[#This Row],[No]],""))</f>
        <v>707</v>
      </c>
      <c r="F639" s="16" t="str">
        <f>IF(Tabla1[[#This Row],[ID]]="","",VLOOKUP(Tabla1[[#This Row],[ID]],Tabla7[],2,FALSE))</f>
        <v>CCCCCCCCCCCCCCCC(=O)OCC</v>
      </c>
      <c r="G639" s="14" t="str">
        <f>IF(Tabla1[[#This Row],[ID]]="","",VLOOKUP(Tabla1[[#This Row],[ID]],Tabla7[],36,FALSE))</f>
        <v>Training</v>
      </c>
      <c r="H639" s="16" t="str">
        <f>IF(Tabla1[[#This Row],[ID]]="","",VLOOKUP(Tabla1[[#This Row],[ID]],Tabla7[],4,FALSE))</f>
        <v>Ester</v>
      </c>
      <c r="I639" s="16">
        <f>IF(Tabla1[[#This Row],[ID]]="","",VLOOKUP(Tabla1[[#This Row],[ID]],Tabla1[],4,FALSE))</f>
        <v>15.26916813745604</v>
      </c>
      <c r="J639" s="16">
        <f>Tabla1[[#This Row],[CN Literatura]]-Tabla1[[#This Row],[CN Predicted]]</f>
        <v>13.215465022968203</v>
      </c>
    </row>
    <row r="640" spans="1:10" x14ac:dyDescent="0.25">
      <c r="A640" s="1">
        <f>Desgloce!A639</f>
        <v>708</v>
      </c>
      <c r="B640" s="14">
        <f>VLOOKUP(Tabla1[[#This Row],[No]],Tabla7[],7,FALSE)</f>
        <v>86.6</v>
      </c>
      <c r="C640" s="24">
        <v>79.383772996471293</v>
      </c>
      <c r="D640" s="15">
        <f>(B640-C640)/B640*100</f>
        <v>8.3328256391786386</v>
      </c>
      <c r="E640" s="16" t="str">
        <f>IF(Tabla1[[#This Row],[% Error1]]&gt;$E$1,Tabla1[[#This Row],[No]],IF(Tabla1[[#This Row],[% Error1]]&lt;-$E$1,Tabla1[[#This Row],[No]],""))</f>
        <v/>
      </c>
      <c r="F640" s="16" t="str">
        <f>IF(Tabla1[[#This Row],[ID]]="","",VLOOKUP(Tabla1[[#This Row],[ID]],Tabla7[],2,FALSE))</f>
        <v/>
      </c>
      <c r="G640" s="14" t="str">
        <f>IF(Tabla1[[#This Row],[ID]]="","",VLOOKUP(Tabla1[[#This Row],[ID]],Tabla7[],36,FALSE))</f>
        <v/>
      </c>
      <c r="H640" s="16" t="str">
        <f>IF(Tabla1[[#This Row],[ID]]="","",VLOOKUP(Tabla1[[#This Row],[ID]],Tabla7[],4,FALSE))</f>
        <v/>
      </c>
      <c r="I640" s="16" t="str">
        <f>IF(Tabla1[[#This Row],[ID]]="","",VLOOKUP(Tabla1[[#This Row],[ID]],Tabla1[],4,FALSE))</f>
        <v/>
      </c>
      <c r="J640" s="16">
        <f>Tabla1[[#This Row],[CN Literatura]]-Tabla1[[#This Row],[CN Predicted]]</f>
        <v>7.2162270035287008</v>
      </c>
    </row>
    <row r="641" spans="1:10" x14ac:dyDescent="0.25">
      <c r="A641" s="1">
        <f>Desgloce!A640</f>
        <v>709</v>
      </c>
      <c r="B641" s="14">
        <f>VLOOKUP(Tabla1[[#This Row],[No]],Tabla7[],7,FALSE)</f>
        <v>86.9</v>
      </c>
      <c r="C641" s="24">
        <v>77.242154661230899</v>
      </c>
      <c r="D641" s="15">
        <f>(B641-C641)/B641*100</f>
        <v>11.113746074532918</v>
      </c>
      <c r="E641" s="16">
        <f>IF(Tabla1[[#This Row],[% Error1]]&gt;$E$1,Tabla1[[#This Row],[No]],IF(Tabla1[[#This Row],[% Error1]]&lt;-$E$1,Tabla1[[#This Row],[No]],""))</f>
        <v>709</v>
      </c>
      <c r="F641" s="16" t="str">
        <f>IF(Tabla1[[#This Row],[ID]]="","",VLOOKUP(Tabla1[[#This Row],[ID]],Tabla7[],2,FALSE))</f>
        <v>C(CCCCCCCCCCCCCCCCC)(=O)OC</v>
      </c>
      <c r="G641" s="14" t="str">
        <f>IF(Tabla1[[#This Row],[ID]]="","",VLOOKUP(Tabla1[[#This Row],[ID]],Tabla7[],36,FALSE))</f>
        <v>Training</v>
      </c>
      <c r="H641" s="16" t="str">
        <f>IF(Tabla1[[#This Row],[ID]]="","",VLOOKUP(Tabla1[[#This Row],[ID]],Tabla7[],4,FALSE))</f>
        <v>Ester: saturated</v>
      </c>
      <c r="I641" s="16">
        <f>IF(Tabla1[[#This Row],[ID]]="","",VLOOKUP(Tabla1[[#This Row],[ID]],Tabla1[],4,FALSE))</f>
        <v>11.113746074532918</v>
      </c>
      <c r="J641" s="16">
        <f>Tabla1[[#This Row],[CN Literatura]]-Tabla1[[#This Row],[CN Predicted]]</f>
        <v>9.657845338769107</v>
      </c>
    </row>
    <row r="642" spans="1:10" x14ac:dyDescent="0.25">
      <c r="A642" s="1">
        <f>Desgloce!A641</f>
        <v>710</v>
      </c>
      <c r="B642" s="14">
        <f>VLOOKUP(Tabla1[[#This Row],[No]],Tabla7[],7,FALSE)</f>
        <v>87</v>
      </c>
      <c r="C642" s="24">
        <v>86.213602654910005</v>
      </c>
      <c r="D642" s="15">
        <f>(B642-C642)/B642*100</f>
        <v>0.90390499435631588</v>
      </c>
      <c r="E642" s="16" t="str">
        <f>IF(Tabla1[[#This Row],[% Error1]]&gt;$E$1,Tabla1[[#This Row],[No]],IF(Tabla1[[#This Row],[% Error1]]&lt;-$E$1,Tabla1[[#This Row],[No]],""))</f>
        <v/>
      </c>
      <c r="F642" s="16" t="str">
        <f>IF(Tabla1[[#This Row],[ID]]="","",VLOOKUP(Tabla1[[#This Row],[ID]],Tabla7[],2,FALSE))</f>
        <v/>
      </c>
      <c r="G642" s="14" t="str">
        <f>IF(Tabla1[[#This Row],[ID]]="","",VLOOKUP(Tabla1[[#This Row],[ID]],Tabla7[],36,FALSE))</f>
        <v/>
      </c>
      <c r="H642" s="16" t="str">
        <f>IF(Tabla1[[#This Row],[ID]]="","",VLOOKUP(Tabla1[[#This Row],[ID]],Tabla7[],4,FALSE))</f>
        <v/>
      </c>
      <c r="I642" s="16" t="str">
        <f>IF(Tabla1[[#This Row],[ID]]="","",VLOOKUP(Tabla1[[#This Row],[ID]],Tabla1[],4,FALSE))</f>
        <v/>
      </c>
      <c r="J642" s="16">
        <f>Tabla1[[#This Row],[CN Literatura]]-Tabla1[[#This Row],[CN Predicted]]</f>
        <v>0.78639734508999481</v>
      </c>
    </row>
    <row r="643" spans="1:10" x14ac:dyDescent="0.25">
      <c r="A643" s="1">
        <f>Desgloce!A642</f>
        <v>711</v>
      </c>
      <c r="B643" s="14">
        <f>VLOOKUP(Tabla1[[#This Row],[No]],Tabla7[],7,FALSE)</f>
        <v>88</v>
      </c>
      <c r="C643" s="24">
        <v>81.528656278899305</v>
      </c>
      <c r="D643" s="15">
        <f>(B643-C643)/B643*100</f>
        <v>7.3537996830689716</v>
      </c>
      <c r="E643" s="16" t="str">
        <f>IF(Tabla1[[#This Row],[% Error1]]&gt;$E$1,Tabla1[[#This Row],[No]],IF(Tabla1[[#This Row],[% Error1]]&lt;-$E$1,Tabla1[[#This Row],[No]],""))</f>
        <v/>
      </c>
      <c r="F643" s="16" t="str">
        <f>IF(Tabla1[[#This Row],[ID]]="","",VLOOKUP(Tabla1[[#This Row],[ID]],Tabla7[],2,FALSE))</f>
        <v/>
      </c>
      <c r="G643" s="14" t="str">
        <f>IF(Tabla1[[#This Row],[ID]]="","",VLOOKUP(Tabla1[[#This Row],[ID]],Tabla7[],36,FALSE))</f>
        <v/>
      </c>
      <c r="H643" s="16" t="str">
        <f>IF(Tabla1[[#This Row],[ID]]="","",VLOOKUP(Tabla1[[#This Row],[ID]],Tabla7[],4,FALSE))</f>
        <v/>
      </c>
      <c r="I643" s="16" t="str">
        <f>IF(Tabla1[[#This Row],[ID]]="","",VLOOKUP(Tabla1[[#This Row],[ID]],Tabla1[],4,FALSE))</f>
        <v/>
      </c>
      <c r="J643" s="16">
        <f>Tabla1[[#This Row],[CN Literatura]]-Tabla1[[#This Row],[CN Predicted]]</f>
        <v>6.4713437211006948</v>
      </c>
    </row>
    <row r="644" spans="1:10" x14ac:dyDescent="0.25">
      <c r="A644" s="1">
        <f>Desgloce!A643</f>
        <v>712</v>
      </c>
      <c r="B644" s="14">
        <f>VLOOKUP(Tabla1[[#This Row],[No]],Tabla7[],7,FALSE)</f>
        <v>88.2</v>
      </c>
      <c r="C644" s="24">
        <v>92.756616163638398</v>
      </c>
      <c r="D644" s="15">
        <f>(B644-C644)/B644*100</f>
        <v>-5.1662314780480667</v>
      </c>
      <c r="E644" s="16" t="str">
        <f>IF(Tabla1[[#This Row],[% Error1]]&gt;$E$1,Tabla1[[#This Row],[No]],IF(Tabla1[[#This Row],[% Error1]]&lt;-$E$1,Tabla1[[#This Row],[No]],""))</f>
        <v/>
      </c>
      <c r="F644" s="16" t="str">
        <f>IF(Tabla1[[#This Row],[ID]]="","",VLOOKUP(Tabla1[[#This Row],[ID]],Tabla7[],2,FALSE))</f>
        <v/>
      </c>
      <c r="G644" s="14" t="str">
        <f>IF(Tabla1[[#This Row],[ID]]="","",VLOOKUP(Tabla1[[#This Row],[ID]],Tabla7[],36,FALSE))</f>
        <v/>
      </c>
      <c r="H644" s="16" t="str">
        <f>IF(Tabla1[[#This Row],[ID]]="","",VLOOKUP(Tabla1[[#This Row],[ID]],Tabla7[],4,FALSE))</f>
        <v/>
      </c>
      <c r="I644" s="16" t="str">
        <f>IF(Tabla1[[#This Row],[ID]]="","",VLOOKUP(Tabla1[[#This Row],[ID]],Tabla1[],4,FALSE))</f>
        <v/>
      </c>
      <c r="J644" s="16">
        <f>Tabla1[[#This Row],[CN Literatura]]-Tabla1[[#This Row],[CN Predicted]]</f>
        <v>-4.5566161636383953</v>
      </c>
    </row>
    <row r="645" spans="1:10" x14ac:dyDescent="0.25">
      <c r="A645" s="1">
        <f>Desgloce!A644</f>
        <v>714</v>
      </c>
      <c r="B645" s="14">
        <f>VLOOKUP(Tabla1[[#This Row],[No]],Tabla7[],7,FALSE)</f>
        <v>89</v>
      </c>
      <c r="C645" s="24">
        <v>91.859237029595903</v>
      </c>
      <c r="D645" s="15">
        <f>(B645-C645)/B645*100</f>
        <v>-3.2126258759504527</v>
      </c>
      <c r="E645" s="16" t="str">
        <f>IF(Tabla1[[#This Row],[% Error1]]&gt;$E$1,Tabla1[[#This Row],[No]],IF(Tabla1[[#This Row],[% Error1]]&lt;-$E$1,Tabla1[[#This Row],[No]],""))</f>
        <v/>
      </c>
      <c r="F645" s="16" t="str">
        <f>IF(Tabla1[[#This Row],[ID]]="","",VLOOKUP(Tabla1[[#This Row],[ID]],Tabla7[],2,FALSE))</f>
        <v/>
      </c>
      <c r="G645" s="14" t="str">
        <f>IF(Tabla1[[#This Row],[ID]]="","",VLOOKUP(Tabla1[[#This Row],[ID]],Tabla7[],36,FALSE))</f>
        <v/>
      </c>
      <c r="H645" s="16" t="str">
        <f>IF(Tabla1[[#This Row],[ID]]="","",VLOOKUP(Tabla1[[#This Row],[ID]],Tabla7[],4,FALSE))</f>
        <v/>
      </c>
      <c r="I645" s="16" t="str">
        <f>IF(Tabla1[[#This Row],[ID]]="","",VLOOKUP(Tabla1[[#This Row],[ID]],Tabla1[],4,FALSE))</f>
        <v/>
      </c>
      <c r="J645" s="16">
        <f>Tabla1[[#This Row],[CN Literatura]]-Tabla1[[#This Row],[CN Predicted]]</f>
        <v>-2.8592370295959029</v>
      </c>
    </row>
    <row r="646" spans="1:10" x14ac:dyDescent="0.25">
      <c r="A646" s="1">
        <f>Desgloce!A645</f>
        <v>715</v>
      </c>
      <c r="B646" s="14">
        <f>VLOOKUP(Tabla1[[#This Row],[No]],Tabla7[],7,FALSE)</f>
        <v>89</v>
      </c>
      <c r="C646" s="24">
        <v>81.683498267797503</v>
      </c>
      <c r="D646" s="15">
        <f>(B646-C646)/B646*100</f>
        <v>8.2207884631488728</v>
      </c>
      <c r="E646" s="16" t="str">
        <f>IF(Tabla1[[#This Row],[% Error1]]&gt;$E$1,Tabla1[[#This Row],[No]],IF(Tabla1[[#This Row],[% Error1]]&lt;-$E$1,Tabla1[[#This Row],[No]],""))</f>
        <v/>
      </c>
      <c r="F646" s="16" t="str">
        <f>IF(Tabla1[[#This Row],[ID]]="","",VLOOKUP(Tabla1[[#This Row],[ID]],Tabla7[],2,FALSE))</f>
        <v/>
      </c>
      <c r="G646" s="14" t="str">
        <f>IF(Tabla1[[#This Row],[ID]]="","",VLOOKUP(Tabla1[[#This Row],[ID]],Tabla7[],36,FALSE))</f>
        <v/>
      </c>
      <c r="H646" s="16" t="str">
        <f>IF(Tabla1[[#This Row],[ID]]="","",VLOOKUP(Tabla1[[#This Row],[ID]],Tabla7[],4,FALSE))</f>
        <v/>
      </c>
      <c r="I646" s="16" t="str">
        <f>IF(Tabla1[[#This Row],[ID]]="","",VLOOKUP(Tabla1[[#This Row],[ID]],Tabla1[],4,FALSE))</f>
        <v/>
      </c>
      <c r="J646" s="16">
        <f>Tabla1[[#This Row],[CN Literatura]]-Tabla1[[#This Row],[CN Predicted]]</f>
        <v>7.3165017322024966</v>
      </c>
    </row>
    <row r="647" spans="1:10" x14ac:dyDescent="0.25">
      <c r="A647" s="1">
        <f>Desgloce!A646</f>
        <v>716</v>
      </c>
      <c r="B647" s="14">
        <f>VLOOKUP(Tabla1[[#This Row],[No]],Tabla7[],7,FALSE)</f>
        <v>89.45</v>
      </c>
      <c r="C647" s="24">
        <v>79.932773640807198</v>
      </c>
      <c r="D647" s="15">
        <f>(B647-C647)/B647*100</f>
        <v>10.639716444038909</v>
      </c>
      <c r="E647" s="16">
        <f>IF(Tabla1[[#This Row],[% Error1]]&gt;$E$1,Tabla1[[#This Row],[No]],IF(Tabla1[[#This Row],[% Error1]]&lt;-$E$1,Tabla1[[#This Row],[No]],""))</f>
        <v>716</v>
      </c>
      <c r="F647" s="16" t="str">
        <f>IF(Tabla1[[#This Row],[ID]]="","",VLOOKUP(Tabla1[[#This Row],[ID]],Tabla7[],2,FALSE))</f>
        <v>CCCCCCCCCCCCCCCC(=O)OCCCC</v>
      </c>
      <c r="G647" s="14" t="str">
        <f>IF(Tabla1[[#This Row],[ID]]="","",VLOOKUP(Tabla1[[#This Row],[ID]],Tabla7[],36,FALSE))</f>
        <v>Training</v>
      </c>
      <c r="H647" s="16" t="str">
        <f>IF(Tabla1[[#This Row],[ID]]="","",VLOOKUP(Tabla1[[#This Row],[ID]],Tabla7[],4,FALSE))</f>
        <v>Ester</v>
      </c>
      <c r="I647" s="16">
        <f>IF(Tabla1[[#This Row],[ID]]="","",VLOOKUP(Tabla1[[#This Row],[ID]],Tabla1[],4,FALSE))</f>
        <v>10.639716444038909</v>
      </c>
      <c r="J647" s="16">
        <f>Tabla1[[#This Row],[CN Literatura]]-Tabla1[[#This Row],[CN Predicted]]</f>
        <v>9.5172263591928044</v>
      </c>
    </row>
    <row r="648" spans="1:10" x14ac:dyDescent="0.25">
      <c r="A648" s="1">
        <f>Desgloce!A647</f>
        <v>717</v>
      </c>
      <c r="B648" s="14">
        <f>VLOOKUP(Tabla1[[#This Row],[No]],Tabla7[],7,FALSE)</f>
        <v>90</v>
      </c>
      <c r="C648" s="24">
        <v>78.873776216349</v>
      </c>
      <c r="D648" s="15">
        <f>(B648-C648)/B648*100</f>
        <v>12.362470870723334</v>
      </c>
      <c r="E648" s="16">
        <f>IF(Tabla1[[#This Row],[% Error1]]&gt;$E$1,Tabla1[[#This Row],[No]],IF(Tabla1[[#This Row],[% Error1]]&lt;-$E$1,Tabla1[[#This Row],[No]],""))</f>
        <v>717</v>
      </c>
      <c r="F648" s="16" t="str">
        <f>IF(Tabla1[[#This Row],[ID]]="","",VLOOKUP(Tabla1[[#This Row],[ID]],Tabla7[],2,FALSE))</f>
        <v>CCCCCCCCCCCCCCCCC=C</v>
      </c>
      <c r="G648" s="14" t="str">
        <f>IF(Tabla1[[#This Row],[ID]]="","",VLOOKUP(Tabla1[[#This Row],[ID]],Tabla7[],36,FALSE))</f>
        <v>Training</v>
      </c>
      <c r="H648" s="16" t="str">
        <f>IF(Tabla1[[#This Row],[ID]]="","",VLOOKUP(Tabla1[[#This Row],[ID]],Tabla7[],4,FALSE))</f>
        <v>Alkene</v>
      </c>
      <c r="I648" s="16">
        <f>IF(Tabla1[[#This Row],[ID]]="","",VLOOKUP(Tabla1[[#This Row],[ID]],Tabla1[],4,FALSE))</f>
        <v>12.362470870723334</v>
      </c>
      <c r="J648" s="16">
        <f>Tabla1[[#This Row],[CN Literatura]]-Tabla1[[#This Row],[CN Predicted]]</f>
        <v>11.126223783651</v>
      </c>
    </row>
    <row r="649" spans="1:10" x14ac:dyDescent="0.25">
      <c r="A649" s="1">
        <f>Desgloce!A648</f>
        <v>718</v>
      </c>
      <c r="B649" s="14">
        <f>VLOOKUP(Tabla1[[#This Row],[No]],Tabla7[],7,FALSE)</f>
        <v>90</v>
      </c>
      <c r="C649" s="24">
        <v>81.293985523345697</v>
      </c>
      <c r="D649" s="15">
        <f>(B649-C649)/B649*100</f>
        <v>9.673349418504781</v>
      </c>
      <c r="E649" s="16" t="str">
        <f>IF(Tabla1[[#This Row],[% Error1]]&gt;$E$1,Tabla1[[#This Row],[No]],IF(Tabla1[[#This Row],[% Error1]]&lt;-$E$1,Tabla1[[#This Row],[No]],""))</f>
        <v/>
      </c>
      <c r="F649" s="16" t="str">
        <f>IF(Tabla1[[#This Row],[ID]]="","",VLOOKUP(Tabla1[[#This Row],[ID]],Tabla7[],2,FALSE))</f>
        <v/>
      </c>
      <c r="G649" s="14" t="str">
        <f>IF(Tabla1[[#This Row],[ID]]="","",VLOOKUP(Tabla1[[#This Row],[ID]],Tabla7[],36,FALSE))</f>
        <v/>
      </c>
      <c r="H649" s="16" t="str">
        <f>IF(Tabla1[[#This Row],[ID]]="","",VLOOKUP(Tabla1[[#This Row],[ID]],Tabla7[],4,FALSE))</f>
        <v/>
      </c>
      <c r="I649" s="16" t="str">
        <f>IF(Tabla1[[#This Row],[ID]]="","",VLOOKUP(Tabla1[[#This Row],[ID]],Tabla1[],4,FALSE))</f>
        <v/>
      </c>
      <c r="J649" s="16">
        <f>Tabla1[[#This Row],[CN Literatura]]-Tabla1[[#This Row],[CN Predicted]]</f>
        <v>8.7060144766543033</v>
      </c>
    </row>
    <row r="650" spans="1:10" x14ac:dyDescent="0.25">
      <c r="A650" s="1">
        <f>Desgloce!A649</f>
        <v>719</v>
      </c>
      <c r="B650" s="14">
        <f>VLOOKUP(Tabla1[[#This Row],[No]],Tabla7[],7,FALSE)</f>
        <v>90</v>
      </c>
      <c r="C650" s="24">
        <v>84.375382317708898</v>
      </c>
      <c r="D650" s="15">
        <f>(B650-C650)/B650*100</f>
        <v>6.2495752025456692</v>
      </c>
      <c r="E650" s="16" t="str">
        <f>IF(Tabla1[[#This Row],[% Error1]]&gt;$E$1,Tabla1[[#This Row],[No]],IF(Tabla1[[#This Row],[% Error1]]&lt;-$E$1,Tabla1[[#This Row],[No]],""))</f>
        <v/>
      </c>
      <c r="F650" s="16" t="str">
        <f>IF(Tabla1[[#This Row],[ID]]="","",VLOOKUP(Tabla1[[#This Row],[ID]],Tabla7[],2,FALSE))</f>
        <v/>
      </c>
      <c r="G650" s="14" t="str">
        <f>IF(Tabla1[[#This Row],[ID]]="","",VLOOKUP(Tabla1[[#This Row],[ID]],Tabla7[],36,FALSE))</f>
        <v/>
      </c>
      <c r="H650" s="16" t="str">
        <f>IF(Tabla1[[#This Row],[ID]]="","",VLOOKUP(Tabla1[[#This Row],[ID]],Tabla7[],4,FALSE))</f>
        <v/>
      </c>
      <c r="I650" s="16" t="str">
        <f>IF(Tabla1[[#This Row],[ID]]="","",VLOOKUP(Tabla1[[#This Row],[ID]],Tabla1[],4,FALSE))</f>
        <v/>
      </c>
      <c r="J650" s="16">
        <f>Tabla1[[#This Row],[CN Literatura]]-Tabla1[[#This Row],[CN Predicted]]</f>
        <v>5.6246176822911025</v>
      </c>
    </row>
    <row r="651" spans="1:10" x14ac:dyDescent="0.25">
      <c r="A651" s="1">
        <f>Desgloce!A650</f>
        <v>720</v>
      </c>
      <c r="B651" s="14">
        <f>VLOOKUP(Tabla1[[#This Row],[No]],Tabla7[],7,FALSE)</f>
        <v>90</v>
      </c>
      <c r="C651" s="24">
        <v>86.2069238252258</v>
      </c>
      <c r="D651" s="15">
        <f>(B651-C651)/B651*100</f>
        <v>4.2145290830824438</v>
      </c>
      <c r="E651" s="16" t="str">
        <f>IF(Tabla1[[#This Row],[% Error1]]&gt;$E$1,Tabla1[[#This Row],[No]],IF(Tabla1[[#This Row],[% Error1]]&lt;-$E$1,Tabla1[[#This Row],[No]],""))</f>
        <v/>
      </c>
      <c r="F651" s="16" t="str">
        <f>IF(Tabla1[[#This Row],[ID]]="","",VLOOKUP(Tabla1[[#This Row],[ID]],Tabla7[],2,FALSE))</f>
        <v/>
      </c>
      <c r="G651" s="14" t="str">
        <f>IF(Tabla1[[#This Row],[ID]]="","",VLOOKUP(Tabla1[[#This Row],[ID]],Tabla7[],36,FALSE))</f>
        <v/>
      </c>
      <c r="H651" s="16" t="str">
        <f>IF(Tabla1[[#This Row],[ID]]="","",VLOOKUP(Tabla1[[#This Row],[ID]],Tabla7[],4,FALSE))</f>
        <v/>
      </c>
      <c r="I651" s="16" t="str">
        <f>IF(Tabla1[[#This Row],[ID]]="","",VLOOKUP(Tabla1[[#This Row],[ID]],Tabla1[],4,FALSE))</f>
        <v/>
      </c>
      <c r="J651" s="16">
        <f>Tabla1[[#This Row],[CN Literatura]]-Tabla1[[#This Row],[CN Predicted]]</f>
        <v>3.7930761747741997</v>
      </c>
    </row>
    <row r="652" spans="1:10" x14ac:dyDescent="0.25">
      <c r="A652" s="1">
        <f>Desgloce!A651</f>
        <v>721</v>
      </c>
      <c r="B652" s="14">
        <f>VLOOKUP(Tabla1[[#This Row],[No]],Tabla7[],7,FALSE)</f>
        <v>91</v>
      </c>
      <c r="C652" s="24">
        <v>59.355061473758497</v>
      </c>
      <c r="D652" s="15">
        <f>(B652-C652)/B652*100</f>
        <v>34.774657721144507</v>
      </c>
      <c r="E652" s="16">
        <f>IF(Tabla1[[#This Row],[% Error1]]&gt;$E$1,Tabla1[[#This Row],[No]],IF(Tabla1[[#This Row],[% Error1]]&lt;-$E$1,Tabla1[[#This Row],[No]],""))</f>
        <v>721</v>
      </c>
      <c r="F652" s="16" t="str">
        <f>IF(Tabla1[[#This Row],[ID]]="","",VLOOKUP(Tabla1[[#This Row],[ID]],Tabla7[],2,FALSE))</f>
        <v>C(CCCCCCCCCCCCCCC)(=O)OCCCCCCCCCC</v>
      </c>
      <c r="G652" s="14" t="str">
        <f>IF(Tabla1[[#This Row],[ID]]="","",VLOOKUP(Tabla1[[#This Row],[ID]],Tabla7[],36,FALSE))</f>
        <v>Training</v>
      </c>
      <c r="H652" s="16" t="str">
        <f>IF(Tabla1[[#This Row],[ID]]="","",VLOOKUP(Tabla1[[#This Row],[ID]],Tabla7[],4,FALSE))</f>
        <v>Ester: saturated</v>
      </c>
      <c r="I652" s="16">
        <f>IF(Tabla1[[#This Row],[ID]]="","",VLOOKUP(Tabla1[[#This Row],[ID]],Tabla1[],4,FALSE))</f>
        <v>34.774657721144507</v>
      </c>
      <c r="J652" s="16">
        <f>Tabla1[[#This Row],[CN Literatura]]-Tabla1[[#This Row],[CN Predicted]]</f>
        <v>31.644938526241503</v>
      </c>
    </row>
    <row r="653" spans="1:10" x14ac:dyDescent="0.25">
      <c r="A653" s="1">
        <f>Desgloce!A652</f>
        <v>722</v>
      </c>
      <c r="B653" s="14">
        <f>VLOOKUP(Tabla1[[#This Row],[No]],Tabla7[],7,FALSE)</f>
        <v>91</v>
      </c>
      <c r="C653" s="24">
        <v>87.510966893614906</v>
      </c>
      <c r="D653" s="15">
        <f>(B653-C653)/B653*100</f>
        <v>3.8341023147088942</v>
      </c>
      <c r="E653" s="16" t="str">
        <f>IF(Tabla1[[#This Row],[% Error1]]&gt;$E$1,Tabla1[[#This Row],[No]],IF(Tabla1[[#This Row],[% Error1]]&lt;-$E$1,Tabla1[[#This Row],[No]],""))</f>
        <v/>
      </c>
      <c r="F653" s="16" t="str">
        <f>IF(Tabla1[[#This Row],[ID]]="","",VLOOKUP(Tabla1[[#This Row],[ID]],Tabla7[],2,FALSE))</f>
        <v/>
      </c>
      <c r="G653" s="14" t="str">
        <f>IF(Tabla1[[#This Row],[ID]]="","",VLOOKUP(Tabla1[[#This Row],[ID]],Tabla7[],36,FALSE))</f>
        <v/>
      </c>
      <c r="H653" s="16" t="str">
        <f>IF(Tabla1[[#This Row],[ID]]="","",VLOOKUP(Tabla1[[#This Row],[ID]],Tabla7[],4,FALSE))</f>
        <v/>
      </c>
      <c r="I653" s="16" t="str">
        <f>IF(Tabla1[[#This Row],[ID]]="","",VLOOKUP(Tabla1[[#This Row],[ID]],Tabla1[],4,FALSE))</f>
        <v/>
      </c>
      <c r="J653" s="16">
        <f>Tabla1[[#This Row],[CN Literatura]]-Tabla1[[#This Row],[CN Predicted]]</f>
        <v>3.4890331063850937</v>
      </c>
    </row>
    <row r="654" spans="1:10" x14ac:dyDescent="0.25">
      <c r="A654" s="1">
        <f>Desgloce!A653</f>
        <v>724</v>
      </c>
      <c r="B654" s="14">
        <f>VLOOKUP(Tabla1[[#This Row],[No]],Tabla7[],7,FALSE)</f>
        <v>95</v>
      </c>
      <c r="C654" s="24">
        <v>85.545136397379395</v>
      </c>
      <c r="D654" s="15">
        <f>(B654-C654)/B654*100</f>
        <v>9.9524880027585318</v>
      </c>
      <c r="E654" s="16" t="str">
        <f>IF(Tabla1[[#This Row],[% Error1]]&gt;$E$1,Tabla1[[#This Row],[No]],IF(Tabla1[[#This Row],[% Error1]]&lt;-$E$1,Tabla1[[#This Row],[No]],""))</f>
        <v/>
      </c>
      <c r="F654" s="16" t="str">
        <f>IF(Tabla1[[#This Row],[ID]]="","",VLOOKUP(Tabla1[[#This Row],[ID]],Tabla7[],2,FALSE))</f>
        <v/>
      </c>
      <c r="G654" s="14" t="str">
        <f>IF(Tabla1[[#This Row],[ID]]="","",VLOOKUP(Tabla1[[#This Row],[ID]],Tabla7[],36,FALSE))</f>
        <v/>
      </c>
      <c r="H654" s="16" t="str">
        <f>IF(Tabla1[[#This Row],[ID]]="","",VLOOKUP(Tabla1[[#This Row],[ID]],Tabla7[],4,FALSE))</f>
        <v/>
      </c>
      <c r="I654" s="16" t="str">
        <f>IF(Tabla1[[#This Row],[ID]]="","",VLOOKUP(Tabla1[[#This Row],[ID]],Tabla1[],4,FALSE))</f>
        <v/>
      </c>
      <c r="J654" s="16">
        <f>Tabla1[[#This Row],[CN Literatura]]-Tabla1[[#This Row],[CN Predicted]]</f>
        <v>9.4548636026206054</v>
      </c>
    </row>
    <row r="655" spans="1:10" x14ac:dyDescent="0.25">
      <c r="A655" s="1">
        <f>Desgloce!A654</f>
        <v>725</v>
      </c>
      <c r="B655" s="14">
        <f>VLOOKUP(Tabla1[[#This Row],[No]],Tabla7[],7,FALSE)</f>
        <v>96</v>
      </c>
      <c r="C655" s="24">
        <v>80.667349935868501</v>
      </c>
      <c r="D655" s="15">
        <f>(B655-C655)/B655*100</f>
        <v>15.971510483470311</v>
      </c>
      <c r="E655" s="16">
        <f>IF(Tabla1[[#This Row],[% Error1]]&gt;$E$1,Tabla1[[#This Row],[No]],IF(Tabla1[[#This Row],[% Error1]]&lt;-$E$1,Tabla1[[#This Row],[No]],""))</f>
        <v>725</v>
      </c>
      <c r="F655" s="16" t="str">
        <f>IF(Tabla1[[#This Row],[ID]]="","",VLOOKUP(Tabla1[[#This Row],[ID]],Tabla7[],2,FALSE))</f>
        <v>CCCCCCCCCCCCCCC</v>
      </c>
      <c r="G655" s="14" t="str">
        <f>IF(Tabla1[[#This Row],[ID]]="","",VLOOKUP(Tabla1[[#This Row],[ID]],Tabla7[],36,FALSE))</f>
        <v>Training</v>
      </c>
      <c r="H655" s="16" t="str">
        <f>IF(Tabla1[[#This Row],[ID]]="","",VLOOKUP(Tabla1[[#This Row],[ID]],Tabla7[],4,FALSE))</f>
        <v>iso-alkane</v>
      </c>
      <c r="I655" s="16">
        <f>IF(Tabla1[[#This Row],[ID]]="","",VLOOKUP(Tabla1[[#This Row],[ID]],Tabla1[],4,FALSE))</f>
        <v>15.971510483470311</v>
      </c>
      <c r="J655" s="16">
        <f>Tabla1[[#This Row],[CN Literatura]]-Tabla1[[#This Row],[CN Predicted]]</f>
        <v>15.332650064131499</v>
      </c>
    </row>
    <row r="656" spans="1:10" x14ac:dyDescent="0.25">
      <c r="A656" s="1">
        <f>Desgloce!A655</f>
        <v>726</v>
      </c>
      <c r="B656" s="14">
        <f>VLOOKUP(Tabla1[[#This Row],[No]],Tabla7[],7,FALSE)</f>
        <v>96.3</v>
      </c>
      <c r="C656" s="24">
        <v>87.084834120179195</v>
      </c>
      <c r="D656" s="15">
        <f>(B656-C656)/B656*100</f>
        <v>9.5692272895335417</v>
      </c>
      <c r="E656" s="16" t="str">
        <f>IF(Tabla1[[#This Row],[% Error1]]&gt;$E$1,Tabla1[[#This Row],[No]],IF(Tabla1[[#This Row],[% Error1]]&lt;-$E$1,Tabla1[[#This Row],[No]],""))</f>
        <v/>
      </c>
      <c r="F656" s="16" t="str">
        <f>IF(Tabla1[[#This Row],[ID]]="","",VLOOKUP(Tabla1[[#This Row],[ID]],Tabla7[],2,FALSE))</f>
        <v/>
      </c>
      <c r="G656" s="14" t="str">
        <f>IF(Tabla1[[#This Row],[ID]]="","",VLOOKUP(Tabla1[[#This Row],[ID]],Tabla7[],36,FALSE))</f>
        <v/>
      </c>
      <c r="H656" s="16" t="str">
        <f>IF(Tabla1[[#This Row],[ID]]="","",VLOOKUP(Tabla1[[#This Row],[ID]],Tabla7[],4,FALSE))</f>
        <v/>
      </c>
      <c r="I656" s="16" t="str">
        <f>IF(Tabla1[[#This Row],[ID]]="","",VLOOKUP(Tabla1[[#This Row],[ID]],Tabla1[],4,FALSE))</f>
        <v/>
      </c>
      <c r="J656" s="16">
        <f>Tabla1[[#This Row],[CN Literatura]]-Tabla1[[#This Row],[CN Predicted]]</f>
        <v>9.2151658798208018</v>
      </c>
    </row>
    <row r="657" spans="1:10" x14ac:dyDescent="0.25">
      <c r="A657" s="1">
        <f>Desgloce!A656</f>
        <v>727</v>
      </c>
      <c r="B657" s="14">
        <f>VLOOKUP(Tabla1[[#This Row],[No]],Tabla7[],7,FALSE)</f>
        <v>96.5</v>
      </c>
      <c r="C657" s="24">
        <v>92.730540504202096</v>
      </c>
      <c r="D657" s="15">
        <f>(B657-C657)/B657*100</f>
        <v>3.9061756433138894</v>
      </c>
      <c r="E657" s="16" t="str">
        <f>IF(Tabla1[[#This Row],[% Error1]]&gt;$E$1,Tabla1[[#This Row],[No]],IF(Tabla1[[#This Row],[% Error1]]&lt;-$E$1,Tabla1[[#This Row],[No]],""))</f>
        <v/>
      </c>
      <c r="F657" s="16" t="str">
        <f>IF(Tabla1[[#This Row],[ID]]="","",VLOOKUP(Tabla1[[#This Row],[ID]],Tabla7[],2,FALSE))</f>
        <v/>
      </c>
      <c r="G657" s="14" t="str">
        <f>IF(Tabla1[[#This Row],[ID]]="","",VLOOKUP(Tabla1[[#This Row],[ID]],Tabla7[],36,FALSE))</f>
        <v/>
      </c>
      <c r="H657" s="16" t="str">
        <f>IF(Tabla1[[#This Row],[ID]]="","",VLOOKUP(Tabla1[[#This Row],[ID]],Tabla7[],4,FALSE))</f>
        <v/>
      </c>
      <c r="I657" s="16" t="str">
        <f>IF(Tabla1[[#This Row],[ID]]="","",VLOOKUP(Tabla1[[#This Row],[ID]],Tabla1[],4,FALSE))</f>
        <v/>
      </c>
      <c r="J657" s="16">
        <f>Tabla1[[#This Row],[CN Literatura]]-Tabla1[[#This Row],[CN Predicted]]</f>
        <v>3.7694594957979035</v>
      </c>
    </row>
    <row r="658" spans="1:10" x14ac:dyDescent="0.25">
      <c r="A658" s="1">
        <f>Desgloce!A657</f>
        <v>728</v>
      </c>
      <c r="B658" s="14">
        <f>VLOOKUP(Tabla1[[#This Row],[No]],Tabla7[],7,FALSE)</f>
        <v>97.5</v>
      </c>
      <c r="C658" s="24">
        <v>92.527192444518107</v>
      </c>
      <c r="D658" s="15">
        <f>(B658-C658)/B658*100</f>
        <v>5.1003154415198901</v>
      </c>
      <c r="E658" s="16" t="str">
        <f>IF(Tabla1[[#This Row],[% Error1]]&gt;$E$1,Tabla1[[#This Row],[No]],IF(Tabla1[[#This Row],[% Error1]]&lt;-$E$1,Tabla1[[#This Row],[No]],""))</f>
        <v/>
      </c>
      <c r="F658" s="16" t="str">
        <f>IF(Tabla1[[#This Row],[ID]]="","",VLOOKUP(Tabla1[[#This Row],[ID]],Tabla7[],2,FALSE))</f>
        <v/>
      </c>
      <c r="G658" s="14" t="str">
        <f>IF(Tabla1[[#This Row],[ID]]="","",VLOOKUP(Tabla1[[#This Row],[ID]],Tabla7[],36,FALSE))</f>
        <v/>
      </c>
      <c r="H658" s="16" t="str">
        <f>IF(Tabla1[[#This Row],[ID]]="","",VLOOKUP(Tabla1[[#This Row],[ID]],Tabla7[],4,FALSE))</f>
        <v/>
      </c>
      <c r="I658" s="16" t="str">
        <f>IF(Tabla1[[#This Row],[ID]]="","",VLOOKUP(Tabla1[[#This Row],[ID]],Tabla1[],4,FALSE))</f>
        <v/>
      </c>
      <c r="J658" s="16">
        <f>Tabla1[[#This Row],[CN Literatura]]-Tabla1[[#This Row],[CN Predicted]]</f>
        <v>4.9728075554818929</v>
      </c>
    </row>
    <row r="659" spans="1:10" x14ac:dyDescent="0.25">
      <c r="A659" s="1">
        <f>Desgloce!A658</f>
        <v>730</v>
      </c>
      <c r="B659" s="14">
        <f>VLOOKUP(Tabla1[[#This Row],[No]],Tabla7[],7,FALSE)</f>
        <v>99.3</v>
      </c>
      <c r="C659" s="24">
        <v>84.208395816580605</v>
      </c>
      <c r="D659" s="15">
        <f>(B659-C659)/B659*100</f>
        <v>15.197990114218927</v>
      </c>
      <c r="E659" s="16">
        <f>IF(Tabla1[[#This Row],[% Error1]]&gt;$E$1,Tabla1[[#This Row],[No]],IF(Tabla1[[#This Row],[% Error1]]&lt;-$E$1,Tabla1[[#This Row],[No]],""))</f>
        <v>730</v>
      </c>
      <c r="F659" s="16" t="str">
        <f>IF(Tabla1[[#This Row],[ID]]="","",VLOOKUP(Tabla1[[#This Row],[ID]],Tabla7[],2,FALSE))</f>
        <v>CCCCCCCCCCCCCCCCCC(=O)OCC(C)C</v>
      </c>
      <c r="G659" s="14" t="str">
        <f>IF(Tabla1[[#This Row],[ID]]="","",VLOOKUP(Tabla1[[#This Row],[ID]],Tabla7[],36,FALSE))</f>
        <v>Training</v>
      </c>
      <c r="H659" s="16" t="str">
        <f>IF(Tabla1[[#This Row],[ID]]="","",VLOOKUP(Tabla1[[#This Row],[ID]],Tabla7[],4,FALSE))</f>
        <v>Ester</v>
      </c>
      <c r="I659" s="16">
        <f>IF(Tabla1[[#This Row],[ID]]="","",VLOOKUP(Tabla1[[#This Row],[ID]],Tabla1[],4,FALSE))</f>
        <v>15.197990114218927</v>
      </c>
      <c r="J659" s="16">
        <f>Tabla1[[#This Row],[CN Literatura]]-Tabla1[[#This Row],[CN Predicted]]</f>
        <v>15.091604183419392</v>
      </c>
    </row>
    <row r="660" spans="1:10" x14ac:dyDescent="0.25">
      <c r="A660" s="1">
        <f>Desgloce!A659</f>
        <v>732</v>
      </c>
      <c r="B660" s="14">
        <f>VLOOKUP(Tabla1[[#This Row],[No]],Tabla7[],7,FALSE)</f>
        <v>100</v>
      </c>
      <c r="C660" s="24">
        <v>97.937904472040003</v>
      </c>
      <c r="D660" s="15">
        <f>(B660-C660)/B660*100</f>
        <v>2.0620955279599968</v>
      </c>
      <c r="E660" s="16" t="str">
        <f>IF(Tabla1[[#This Row],[% Error1]]&gt;$E$1,Tabla1[[#This Row],[No]],IF(Tabla1[[#This Row],[% Error1]]&lt;-$E$1,Tabla1[[#This Row],[No]],""))</f>
        <v/>
      </c>
      <c r="F660" s="16" t="str">
        <f>IF(Tabla1[[#This Row],[ID]]="","",VLOOKUP(Tabla1[[#This Row],[ID]],Tabla7[],2,FALSE))</f>
        <v/>
      </c>
      <c r="G660" s="14" t="str">
        <f>IF(Tabla1[[#This Row],[ID]]="","",VLOOKUP(Tabla1[[#This Row],[ID]],Tabla7[],36,FALSE))</f>
        <v/>
      </c>
      <c r="H660" s="16" t="str">
        <f>IF(Tabla1[[#This Row],[ID]]="","",VLOOKUP(Tabla1[[#This Row],[ID]],Tabla7[],4,FALSE))</f>
        <v/>
      </c>
      <c r="I660" s="16" t="str">
        <f>IF(Tabla1[[#This Row],[ID]]="","",VLOOKUP(Tabla1[[#This Row],[ID]],Tabla1[],4,FALSE))</f>
        <v/>
      </c>
      <c r="J660" s="16">
        <f>Tabla1[[#This Row],[CN Literatura]]-Tabla1[[#This Row],[CN Predicted]]</f>
        <v>2.0620955279599968</v>
      </c>
    </row>
    <row r="661" spans="1:10" x14ac:dyDescent="0.25">
      <c r="A661" s="1">
        <f>Desgloce!A660</f>
        <v>734</v>
      </c>
      <c r="B661" s="14">
        <f>VLOOKUP(Tabla1[[#This Row],[No]],Tabla7[],7,FALSE)</f>
        <v>100</v>
      </c>
      <c r="C661" s="24">
        <v>90.758971090276802</v>
      </c>
      <c r="D661" s="15">
        <f>(B661-C661)/B661*100</f>
        <v>9.2410289097231981</v>
      </c>
      <c r="E661" s="16" t="str">
        <f>IF(Tabla1[[#This Row],[% Error1]]&gt;$E$1,Tabla1[[#This Row],[No]],IF(Tabla1[[#This Row],[% Error1]]&lt;-$E$1,Tabla1[[#This Row],[No]],""))</f>
        <v/>
      </c>
      <c r="F661" s="16" t="str">
        <f>IF(Tabla1[[#This Row],[ID]]="","",VLOOKUP(Tabla1[[#This Row],[ID]],Tabla7[],2,FALSE))</f>
        <v/>
      </c>
      <c r="G661" s="14" t="str">
        <f>IF(Tabla1[[#This Row],[ID]]="","",VLOOKUP(Tabla1[[#This Row],[ID]],Tabla7[],36,FALSE))</f>
        <v/>
      </c>
      <c r="H661" s="16" t="str">
        <f>IF(Tabla1[[#This Row],[ID]]="","",VLOOKUP(Tabla1[[#This Row],[ID]],Tabla7[],4,FALSE))</f>
        <v/>
      </c>
      <c r="I661" s="16" t="str">
        <f>IF(Tabla1[[#This Row],[ID]]="","",VLOOKUP(Tabla1[[#This Row],[ID]],Tabla1[],4,FALSE))</f>
        <v/>
      </c>
      <c r="J661" s="16">
        <f>Tabla1[[#This Row],[CN Literatura]]-Tabla1[[#This Row],[CN Predicted]]</f>
        <v>9.2410289097231981</v>
      </c>
    </row>
    <row r="662" spans="1:10" x14ac:dyDescent="0.25">
      <c r="A662" s="1">
        <f>Desgloce!A661</f>
        <v>736</v>
      </c>
      <c r="B662" s="14">
        <f>VLOOKUP(Tabla1[[#This Row],[No]],Tabla7[],7,FALSE)</f>
        <v>100</v>
      </c>
      <c r="C662" s="24">
        <v>99.666406226760799</v>
      </c>
      <c r="D662" s="15">
        <f>(B662-C662)/B662*100</f>
        <v>0.33359377323920114</v>
      </c>
      <c r="E662" s="16" t="str">
        <f>IF(Tabla1[[#This Row],[% Error1]]&gt;$E$1,Tabla1[[#This Row],[No]],IF(Tabla1[[#This Row],[% Error1]]&lt;-$E$1,Tabla1[[#This Row],[No]],""))</f>
        <v/>
      </c>
      <c r="F662" s="16" t="str">
        <f>IF(Tabla1[[#This Row],[ID]]="","",VLOOKUP(Tabla1[[#This Row],[ID]],Tabla7[],2,FALSE))</f>
        <v/>
      </c>
      <c r="G662" s="14" t="str">
        <f>IF(Tabla1[[#This Row],[ID]]="","",VLOOKUP(Tabla1[[#This Row],[ID]],Tabla7[],36,FALSE))</f>
        <v/>
      </c>
      <c r="H662" s="16" t="str">
        <f>IF(Tabla1[[#This Row],[ID]]="","",VLOOKUP(Tabla1[[#This Row],[ID]],Tabla7[],4,FALSE))</f>
        <v/>
      </c>
      <c r="I662" s="16" t="str">
        <f>IF(Tabla1[[#This Row],[ID]]="","",VLOOKUP(Tabla1[[#This Row],[ID]],Tabla1[],4,FALSE))</f>
        <v/>
      </c>
      <c r="J662" s="16">
        <f>Tabla1[[#This Row],[CN Literatura]]-Tabla1[[#This Row],[CN Predicted]]</f>
        <v>0.33359377323920114</v>
      </c>
    </row>
    <row r="663" spans="1:10" x14ac:dyDescent="0.25">
      <c r="A663" s="1">
        <f>Desgloce!A662</f>
        <v>737</v>
      </c>
      <c r="B663" s="14">
        <f>VLOOKUP(Tabla1[[#This Row],[No]],Tabla7[],7,FALSE)</f>
        <v>101.7</v>
      </c>
      <c r="C663" s="24">
        <v>-0.33709036314353602</v>
      </c>
      <c r="D663" s="15">
        <f>(B663-C663)/B663*100</f>
        <v>100.33145561764358</v>
      </c>
      <c r="E663" s="16">
        <f>IF(Tabla1[[#This Row],[% Error1]]&gt;$E$1,Tabla1[[#This Row],[No]],IF(Tabla1[[#This Row],[% Error1]]&lt;-$E$1,Tabla1[[#This Row],[No]],""))</f>
        <v>737</v>
      </c>
      <c r="F663" s="16" t="str">
        <f>IF(Tabla1[[#This Row],[ID]]="","",VLOOKUP(Tabla1[[#This Row],[ID]],Tabla7[],2,FALSE))</f>
        <v>C(=C)OCCCCCCCCCCCC</v>
      </c>
      <c r="G663" s="14" t="str">
        <f>IF(Tabla1[[#This Row],[ID]]="","",VLOOKUP(Tabla1[[#This Row],[ID]],Tabla7[],36,FALSE))</f>
        <v>Training</v>
      </c>
      <c r="H663" s="16" t="str">
        <f>IF(Tabla1[[#This Row],[ID]]="","",VLOOKUP(Tabla1[[#This Row],[ID]],Tabla7[],4,FALSE))</f>
        <v>Ether</v>
      </c>
      <c r="I663" s="16">
        <f>IF(Tabla1[[#This Row],[ID]]="","",VLOOKUP(Tabla1[[#This Row],[ID]],Tabla1[],4,FALSE))</f>
        <v>100.33145561764358</v>
      </c>
      <c r="J663" s="16">
        <f>Tabla1[[#This Row],[CN Literatura]]-Tabla1[[#This Row],[CN Predicted]]</f>
        <v>102.03709036314353</v>
      </c>
    </row>
    <row r="664" spans="1:10" x14ac:dyDescent="0.25">
      <c r="A664" s="1">
        <f>Desgloce!A663</f>
        <v>1</v>
      </c>
      <c r="B664" s="14">
        <f>VLOOKUP(Tabla1[[#This Row],[No]],Tabla7[],7,FALSE)</f>
        <v>0</v>
      </c>
      <c r="C664" s="24">
        <v>-0.224823842034509</v>
      </c>
      <c r="D664" s="15" t="e">
        <f>(B664-C664)/B664*100</f>
        <v>#DIV/0!</v>
      </c>
      <c r="E664" s="16"/>
      <c r="F664" s="16"/>
      <c r="G664" s="14"/>
      <c r="H664" s="16"/>
      <c r="I664" s="16"/>
      <c r="J664" s="16">
        <f>Tabla1[[#This Row],[CN Literatura]]-Tabla1[[#This Row],[CN Predicted]]</f>
        <v>0.224823842034509</v>
      </c>
    </row>
    <row r="665" spans="1:10" x14ac:dyDescent="0.25">
      <c r="A665" s="1">
        <f>Desgloce!A664</f>
        <v>4</v>
      </c>
      <c r="B665" s="14">
        <f>VLOOKUP(Tabla1[[#This Row],[No]],Tabla7[],7,FALSE)</f>
        <v>0</v>
      </c>
      <c r="C665" s="24">
        <v>8.7077828155162198</v>
      </c>
      <c r="D665" s="15" t="e">
        <f>(B665-C665)/B665*100</f>
        <v>#DIV/0!</v>
      </c>
      <c r="E665" s="16"/>
      <c r="F665" s="16"/>
      <c r="G665" s="14"/>
      <c r="H665" s="16"/>
      <c r="I665" s="16"/>
      <c r="J665" s="16">
        <f>Tabla1[[#This Row],[CN Literatura]]-Tabla1[[#This Row],[CN Predicted]]</f>
        <v>-8.7077828155162198</v>
      </c>
    </row>
    <row r="666" spans="1:10" x14ac:dyDescent="0.25">
      <c r="A666" s="1">
        <f>Desgloce!A665</f>
        <v>24</v>
      </c>
      <c r="B666" s="14">
        <f>VLOOKUP(Tabla1[[#This Row],[No]],Tabla7[],7,FALSE)</f>
        <v>6</v>
      </c>
      <c r="C666" s="24">
        <v>8.4234493085856208</v>
      </c>
      <c r="D666" s="15">
        <f>(B666-C666)/B666*100</f>
        <v>-40.390821809760347</v>
      </c>
      <c r="E666" s="16">
        <f>IF(Tabla1[[#This Row],[% Error1]]&gt;$E$1,Tabla1[[#This Row],[No]],IF(Tabla1[[#This Row],[% Error1]]&lt;-$E$1,Tabla1[[#This Row],[No]],""))</f>
        <v>24</v>
      </c>
      <c r="F666" s="16" t="str">
        <f>IF(Tabla1[[#This Row],[ID]]="","",VLOOKUP(Tabla1[[#This Row],[ID]],Tabla7[],2,FALSE))</f>
        <v>CC[C@H](C)c1ccccc1</v>
      </c>
      <c r="G666" s="14" t="str">
        <f>IF(Tabla1[[#This Row],[ID]]="","",VLOOKUP(Tabla1[[#This Row],[ID]],Tabla7[],36,FALSE))</f>
        <v>Validation</v>
      </c>
      <c r="H666" s="16" t="str">
        <f>IF(Tabla1[[#This Row],[ID]]="","",VLOOKUP(Tabla1[[#This Row],[ID]],Tabla7[],4,FALSE))</f>
        <v>Aromatic</v>
      </c>
      <c r="I666" s="24">
        <f>IF(Tabla1[[#This Row],[ID]]="","",VLOOKUP(Tabla1[[#This Row],[ID]],Tabla1[],4,FALSE))</f>
        <v>-40.390821809760347</v>
      </c>
      <c r="J666" s="16">
        <f>Tabla1[[#This Row],[CN Literatura]]-Tabla1[[#This Row],[CN Predicted]]</f>
        <v>-2.4234493085856208</v>
      </c>
    </row>
    <row r="667" spans="1:10" x14ac:dyDescent="0.25">
      <c r="A667" s="1">
        <f>Desgloce!A666</f>
        <v>25</v>
      </c>
      <c r="B667" s="14">
        <f>VLOOKUP(Tabla1[[#This Row],[No]],Tabla7[],7,FALSE)</f>
        <v>6</v>
      </c>
      <c r="C667" s="24">
        <v>6.9688469844995504</v>
      </c>
      <c r="D667" s="15">
        <f>(B667-C667)/B667*100</f>
        <v>-16.147449741659173</v>
      </c>
      <c r="E667" s="16">
        <f>IF(Tabla1[[#This Row],[% Error1]]&gt;$E$1,Tabla1[[#This Row],[No]],IF(Tabla1[[#This Row],[% Error1]]&lt;-$E$1,Tabla1[[#This Row],[No]],""))</f>
        <v>25</v>
      </c>
      <c r="F667" s="16" t="str">
        <f>IF(Tabla1[[#This Row],[ID]]="","",VLOOKUP(Tabla1[[#This Row],[ID]],Tabla7[],2,FALSE))</f>
        <v>C1(=CC=CC=C1)C</v>
      </c>
      <c r="G667" s="14" t="str">
        <f>IF(Tabla1[[#This Row],[ID]]="","",VLOOKUP(Tabla1[[#This Row],[ID]],Tabla7[],36,FALSE))</f>
        <v>Validation</v>
      </c>
      <c r="H667" s="16" t="str">
        <f>IF(Tabla1[[#This Row],[ID]]="","",VLOOKUP(Tabla1[[#This Row],[ID]],Tabla7[],4,FALSE))</f>
        <v>Aromatic</v>
      </c>
      <c r="I667" s="24">
        <f>IF(Tabla1[[#This Row],[ID]]="","",VLOOKUP(Tabla1[[#This Row],[ID]],Tabla1[],4,FALSE))</f>
        <v>-16.147449741659173</v>
      </c>
      <c r="J667" s="16">
        <f>Tabla1[[#This Row],[CN Literatura]]-Tabla1[[#This Row],[CN Predicted]]</f>
        <v>-0.96884698449955042</v>
      </c>
    </row>
    <row r="668" spans="1:10" x14ac:dyDescent="0.25">
      <c r="A668" s="1">
        <f>Desgloce!A667</f>
        <v>27</v>
      </c>
      <c r="B668" s="14">
        <f>VLOOKUP(Tabla1[[#This Row],[No]],Tabla7[],7,FALSE)</f>
        <v>6</v>
      </c>
      <c r="C668" s="24">
        <v>11.8179937404849</v>
      </c>
      <c r="D668" s="15">
        <f>(B668-C668)/B668*100</f>
        <v>-96.966562341414999</v>
      </c>
      <c r="E668" s="16">
        <f>IF(Tabla1[[#This Row],[% Error1]]&gt;$E$1,Tabla1[[#This Row],[No]],IF(Tabla1[[#This Row],[% Error1]]&lt;-$E$1,Tabla1[[#This Row],[No]],""))</f>
        <v>27</v>
      </c>
      <c r="F668" s="16" t="str">
        <f>IF(Tabla1[[#This Row],[ID]]="","",VLOOKUP(Tabla1[[#This Row],[ID]],Tabla7[],2,FALSE))</f>
        <v>CC1=CC2=CC=CC=C2C=C1</v>
      </c>
      <c r="G668" s="14" t="str">
        <f>IF(Tabla1[[#This Row],[ID]]="","",VLOOKUP(Tabla1[[#This Row],[ID]],Tabla7[],36,FALSE))</f>
        <v>Validation</v>
      </c>
      <c r="H668" s="16" t="str">
        <f>IF(Tabla1[[#This Row],[ID]]="","",VLOOKUP(Tabla1[[#This Row],[ID]],Tabla7[],4,FALSE))</f>
        <v>Aromatic</v>
      </c>
      <c r="I668" s="24">
        <f>IF(Tabla1[[#This Row],[ID]]="","",VLOOKUP(Tabla1[[#This Row],[ID]],Tabla1[],4,FALSE))</f>
        <v>-96.966562341414999</v>
      </c>
      <c r="J668" s="16">
        <f>Tabla1[[#This Row],[CN Literatura]]-Tabla1[[#This Row],[CN Predicted]]</f>
        <v>-5.8179937404848996</v>
      </c>
    </row>
    <row r="669" spans="1:10" x14ac:dyDescent="0.25">
      <c r="A669" s="1">
        <f>Desgloce!A668</f>
        <v>35</v>
      </c>
      <c r="B669" s="14">
        <f>VLOOKUP(Tabla1[[#This Row],[No]],Tabla7[],7,FALSE)</f>
        <v>6.4</v>
      </c>
      <c r="C669" s="24">
        <v>11.5170546422566</v>
      </c>
      <c r="D669" s="15">
        <f>(B669-C669)/B669*100</f>
        <v>-79.953978785259366</v>
      </c>
      <c r="E669" s="16">
        <f>IF(Tabla1[[#This Row],[% Error1]]&gt;$E$1,Tabla1[[#This Row],[No]],IF(Tabla1[[#This Row],[% Error1]]&lt;-$E$1,Tabla1[[#This Row],[No]],""))</f>
        <v>35</v>
      </c>
      <c r="F669" s="16" t="str">
        <f>IF(Tabla1[[#This Row],[ID]]="","",VLOOKUP(Tabla1[[#This Row],[ID]],Tabla7[],2,FALSE))</f>
        <v>COC1=CC=CC=C1</v>
      </c>
      <c r="G669" s="14" t="str">
        <f>IF(Tabla1[[#This Row],[ID]]="","",VLOOKUP(Tabla1[[#This Row],[ID]],Tabla7[],36,FALSE))</f>
        <v>Validation</v>
      </c>
      <c r="H669" s="16" t="str">
        <f>IF(Tabla1[[#This Row],[ID]]="","",VLOOKUP(Tabla1[[#This Row],[ID]],Tabla7[],4,FALSE))</f>
        <v>Aromatic</v>
      </c>
      <c r="I669" s="24">
        <f>IF(Tabla1[[#This Row],[ID]]="","",VLOOKUP(Tabla1[[#This Row],[ID]],Tabla1[],4,FALSE))</f>
        <v>-79.953978785259366</v>
      </c>
      <c r="J669" s="16">
        <f>Tabla1[[#This Row],[CN Literatura]]-Tabla1[[#This Row],[CN Predicted]]</f>
        <v>-5.1170546422565995</v>
      </c>
    </row>
    <row r="670" spans="1:10" x14ac:dyDescent="0.25">
      <c r="A670" s="1">
        <f>Desgloce!A669</f>
        <v>52</v>
      </c>
      <c r="B670" s="14">
        <f>VLOOKUP(Tabla1[[#This Row],[No]],Tabla7[],7,FALSE)</f>
        <v>8</v>
      </c>
      <c r="C670" s="24">
        <v>11.1210783062674</v>
      </c>
      <c r="D670" s="15">
        <f>(B670-C670)/B670*100</f>
        <v>-39.0134788283425</v>
      </c>
      <c r="E670" s="16">
        <f>IF(Tabla1[[#This Row],[% Error1]]&gt;$E$1,Tabla1[[#This Row],[No]],IF(Tabla1[[#This Row],[% Error1]]&lt;-$E$1,Tabla1[[#This Row],[No]],""))</f>
        <v>52</v>
      </c>
      <c r="F670" s="16" t="str">
        <f>IF(Tabla1[[#This Row],[ID]]="","",VLOOKUP(Tabla1[[#This Row],[ID]],Tabla7[],2,FALSE))</f>
        <v>C(CC)C1CCCC2=CC=CC=C12</v>
      </c>
      <c r="G670" s="14" t="str">
        <f>IF(Tabla1[[#This Row],[ID]]="","",VLOOKUP(Tabla1[[#This Row],[ID]],Tabla7[],36,FALSE))</f>
        <v>Validation</v>
      </c>
      <c r="H670" s="16" t="str">
        <f>IF(Tabla1[[#This Row],[ID]]="","",VLOOKUP(Tabla1[[#This Row],[ID]],Tabla7[],4,FALSE))</f>
        <v>Aromatic</v>
      </c>
      <c r="I670" s="24">
        <f>IF(Tabla1[[#This Row],[ID]]="","",VLOOKUP(Tabla1[[#This Row],[ID]],Tabla1[],4,FALSE))</f>
        <v>-39.0134788283425</v>
      </c>
      <c r="J670" s="16">
        <f>Tabla1[[#This Row],[CN Literatura]]-Tabla1[[#This Row],[CN Predicted]]</f>
        <v>-3.1210783062673997</v>
      </c>
    </row>
    <row r="671" spans="1:10" x14ac:dyDescent="0.25">
      <c r="A671" s="1">
        <f>Desgloce!A670</f>
        <v>71</v>
      </c>
      <c r="B671" s="14">
        <f>VLOOKUP(Tabla1[[#This Row],[No]],Tabla7[],7,FALSE)</f>
        <v>9</v>
      </c>
      <c r="C671" s="24">
        <v>15.8980900209169</v>
      </c>
      <c r="D671" s="15">
        <f>(B671-C671)/B671*100</f>
        <v>-76.645444676854453</v>
      </c>
      <c r="E671" s="16">
        <f>IF(Tabla1[[#This Row],[% Error1]]&gt;$E$1,Tabla1[[#This Row],[No]],IF(Tabla1[[#This Row],[% Error1]]&lt;-$E$1,Tabla1[[#This Row],[No]],""))</f>
        <v>71</v>
      </c>
      <c r="F671" s="16" t="str">
        <f>IF(Tabla1[[#This Row],[ID]]="","",VLOOKUP(Tabla1[[#This Row],[ID]],Tabla7[],2,FALSE))</f>
        <v>CC(C)(CC(C(C(C)C)C)C)C</v>
      </c>
      <c r="G671" s="14" t="str">
        <f>IF(Tabla1[[#This Row],[ID]]="","",VLOOKUP(Tabla1[[#This Row],[ID]],Tabla7[],36,FALSE))</f>
        <v>Validation</v>
      </c>
      <c r="H671" s="16" t="str">
        <f>IF(Tabla1[[#This Row],[ID]]="","",VLOOKUP(Tabla1[[#This Row],[ID]],Tabla7[],4,FALSE))</f>
        <v>iso-alkane</v>
      </c>
      <c r="I671" s="16">
        <f>IF(Tabla1[[#This Row],[ID]]="","",VLOOKUP(Tabla1[[#This Row],[ID]],Tabla1[],4,FALSE))</f>
        <v>-76.645444676854453</v>
      </c>
      <c r="J671" s="16">
        <f>Tabla1[[#This Row],[CN Literatura]]-Tabla1[[#This Row],[CN Predicted]]</f>
        <v>-6.8980900209169</v>
      </c>
    </row>
    <row r="672" spans="1:10" x14ac:dyDescent="0.25">
      <c r="A672" s="1">
        <f>Desgloce!A671</f>
        <v>96</v>
      </c>
      <c r="B672" s="14">
        <f>VLOOKUP(Tabla1[[#This Row],[No]],Tabla7[],7,FALSE)</f>
        <v>12</v>
      </c>
      <c r="C672" s="24">
        <v>11.333925246871701</v>
      </c>
      <c r="D672" s="15">
        <f>(B672-C672)/B672*100</f>
        <v>5.5506229427358278</v>
      </c>
      <c r="E672" s="16" t="str">
        <f>IF(Tabla1[[#This Row],[% Error1]]&gt;$E$1,Tabla1[[#This Row],[No]],IF(Tabla1[[#This Row],[% Error1]]&lt;-$E$1,Tabla1[[#This Row],[No]],""))</f>
        <v/>
      </c>
      <c r="F672" s="16" t="str">
        <f>IF(Tabla1[[#This Row],[ID]]="","",VLOOKUP(Tabla1[[#This Row],[ID]],Tabla7[],2,FALSE))</f>
        <v/>
      </c>
      <c r="G672" s="14" t="str">
        <f>IF(Tabla1[[#This Row],[ID]]="","",VLOOKUP(Tabla1[[#This Row],[ID]],Tabla7[],36,FALSE))</f>
        <v/>
      </c>
      <c r="H672" s="16" t="str">
        <f>IF(Tabla1[[#This Row],[ID]]="","",VLOOKUP(Tabla1[[#This Row],[ID]],Tabla7[],4,FALSE))</f>
        <v/>
      </c>
      <c r="I672" s="16" t="str">
        <f>IF(Tabla1[[#This Row],[ID]]="","",VLOOKUP(Tabla1[[#This Row],[ID]],Tabla1[],4,FALSE))</f>
        <v/>
      </c>
      <c r="J672" s="16">
        <f>Tabla1[[#This Row],[CN Literatura]]-Tabla1[[#This Row],[CN Predicted]]</f>
        <v>0.66607475312829934</v>
      </c>
    </row>
    <row r="673" spans="1:10" x14ac:dyDescent="0.25">
      <c r="A673" s="1">
        <f>Desgloce!A672</f>
        <v>112</v>
      </c>
      <c r="B673" s="14">
        <f>VLOOKUP(Tabla1[[#This Row],[No]],Tabla7[],7,FALSE)</f>
        <v>13.7</v>
      </c>
      <c r="C673" s="24">
        <v>10.939789087114001</v>
      </c>
      <c r="D673" s="15">
        <f>(B673-C673)/B673*100</f>
        <v>20.147524911576635</v>
      </c>
      <c r="E673" s="16">
        <f>IF(Tabla1[[#This Row],[% Error1]]&gt;$E$1,Tabla1[[#This Row],[No]],IF(Tabla1[[#This Row],[% Error1]]&lt;-$E$1,Tabla1[[#This Row],[No]],""))</f>
        <v>112</v>
      </c>
      <c r="F673" s="16" t="str">
        <f>IF(Tabla1[[#This Row],[ID]]="","",VLOOKUP(Tabla1[[#This Row],[ID]],Tabla7[],2,FALSE))</f>
        <v>CCOC(=O)CC(=O)C</v>
      </c>
      <c r="G673" s="14" t="str">
        <f>IF(Tabla1[[#This Row],[ID]]="","",VLOOKUP(Tabla1[[#This Row],[ID]],Tabla7[],36,FALSE))</f>
        <v>Validation</v>
      </c>
      <c r="H673" s="16" t="str">
        <f>IF(Tabla1[[#This Row],[ID]]="","",VLOOKUP(Tabla1[[#This Row],[ID]],Tabla7[],4,FALSE))</f>
        <v>Polyfunctional</v>
      </c>
      <c r="I673" s="16">
        <f>IF(Tabla1[[#This Row],[ID]]="","",VLOOKUP(Tabla1[[#This Row],[ID]],Tabla1[],4,FALSE))</f>
        <v>20.147524911576635</v>
      </c>
      <c r="J673" s="16">
        <f>Tabla1[[#This Row],[CN Literatura]]-Tabla1[[#This Row],[CN Predicted]]</f>
        <v>2.7602109128859986</v>
      </c>
    </row>
    <row r="674" spans="1:10" x14ac:dyDescent="0.25">
      <c r="A674" s="1">
        <f>Desgloce!A673</f>
        <v>118</v>
      </c>
      <c r="B674" s="14">
        <f>VLOOKUP(Tabla1[[#This Row],[No]],Tabla7[],7,FALSE)</f>
        <v>14.3</v>
      </c>
      <c r="C674" s="24">
        <v>13.6832339874403</v>
      </c>
      <c r="D674" s="15">
        <f>(B674-C674)/B674*100</f>
        <v>4.3130490388790275</v>
      </c>
      <c r="E674" s="16" t="str">
        <f>IF(Tabla1[[#This Row],[% Error1]]&gt;$E$1,Tabla1[[#This Row],[No]],IF(Tabla1[[#This Row],[% Error1]]&lt;-$E$1,Tabla1[[#This Row],[No]],""))</f>
        <v/>
      </c>
      <c r="F674" s="16" t="str">
        <f>IF(Tabla1[[#This Row],[ID]]="","",VLOOKUP(Tabla1[[#This Row],[ID]],Tabla7[],2,FALSE))</f>
        <v/>
      </c>
      <c r="G674" s="14" t="str">
        <f>IF(Tabla1[[#This Row],[ID]]="","",VLOOKUP(Tabla1[[#This Row],[ID]],Tabla7[],36,FALSE))</f>
        <v/>
      </c>
      <c r="H674" s="16" t="str">
        <f>IF(Tabla1[[#This Row],[ID]]="","",VLOOKUP(Tabla1[[#This Row],[ID]],Tabla7[],4,FALSE))</f>
        <v/>
      </c>
      <c r="I674" s="24" t="str">
        <f>IF(Tabla1[[#This Row],[ID]]="","",VLOOKUP(Tabla1[[#This Row],[ID]],Tabla1[],4,FALSE))</f>
        <v/>
      </c>
      <c r="J674" s="16">
        <f>Tabla1[[#This Row],[CN Literatura]]-Tabla1[[#This Row],[CN Predicted]]</f>
        <v>0.61676601255970098</v>
      </c>
    </row>
    <row r="675" spans="1:10" x14ac:dyDescent="0.25">
      <c r="A675" s="1">
        <f>Desgloce!A674</f>
        <v>124</v>
      </c>
      <c r="B675" s="14">
        <f>VLOOKUP(Tabla1[[#This Row],[No]],Tabla7[],7,FALSE)</f>
        <v>15</v>
      </c>
      <c r="C675" s="24">
        <v>15.6878833547306</v>
      </c>
      <c r="D675" s="15">
        <f>(B675-C675)/B675*100</f>
        <v>-4.5858890315373317</v>
      </c>
      <c r="E675" s="16" t="str">
        <f>IF(Tabla1[[#This Row],[% Error1]]&gt;$E$1,Tabla1[[#This Row],[No]],IF(Tabla1[[#This Row],[% Error1]]&lt;-$E$1,Tabla1[[#This Row],[No]],""))</f>
        <v/>
      </c>
      <c r="F675" s="16" t="str">
        <f>IF(Tabla1[[#This Row],[ID]]="","",VLOOKUP(Tabla1[[#This Row],[ID]],Tabla7[],2,FALSE))</f>
        <v/>
      </c>
      <c r="G675" s="14" t="str">
        <f>IF(Tabla1[[#This Row],[ID]]="","",VLOOKUP(Tabla1[[#This Row],[ID]],Tabla7[],36,FALSE))</f>
        <v/>
      </c>
      <c r="H675" s="16" t="str">
        <f>IF(Tabla1[[#This Row],[ID]]="","",VLOOKUP(Tabla1[[#This Row],[ID]],Tabla7[],4,FALSE))</f>
        <v/>
      </c>
      <c r="I675" s="16" t="str">
        <f>IF(Tabla1[[#This Row],[ID]]="","",VLOOKUP(Tabla1[[#This Row],[ID]],Tabla1[],4,FALSE))</f>
        <v/>
      </c>
      <c r="J675" s="16">
        <f>Tabla1[[#This Row],[CN Literatura]]-Tabla1[[#This Row],[CN Predicted]]</f>
        <v>-0.68788335473059981</v>
      </c>
    </row>
    <row r="676" spans="1:10" x14ac:dyDescent="0.25">
      <c r="A676" s="1">
        <f>Desgloce!A675</f>
        <v>131</v>
      </c>
      <c r="B676" s="14">
        <f>VLOOKUP(Tabla1[[#This Row],[No]],Tabla7[],7,FALSE)</f>
        <v>15.8</v>
      </c>
      <c r="C676" s="24">
        <v>13.782786572393</v>
      </c>
      <c r="D676" s="15">
        <f>(B676-C676)/B676*100</f>
        <v>12.767173592449369</v>
      </c>
      <c r="E676" s="16">
        <f>IF(Tabla1[[#This Row],[% Error1]]&gt;$E$1,Tabla1[[#This Row],[No]],IF(Tabla1[[#This Row],[% Error1]]&lt;-$E$1,Tabla1[[#This Row],[No]],""))</f>
        <v>131</v>
      </c>
      <c r="F676" s="16" t="str">
        <f>IF(Tabla1[[#This Row],[ID]]="","",VLOOKUP(Tabla1[[#This Row],[ID]],Tabla7[],2,FALSE))</f>
        <v>CC(C)C(=O)C(C)C</v>
      </c>
      <c r="G676" s="14" t="str">
        <f>IF(Tabla1[[#This Row],[ID]]="","",VLOOKUP(Tabla1[[#This Row],[ID]],Tabla7[],36,FALSE))</f>
        <v>Validation</v>
      </c>
      <c r="H676" s="16" t="str">
        <f>IF(Tabla1[[#This Row],[ID]]="","",VLOOKUP(Tabla1[[#This Row],[ID]],Tabla7[],4,FALSE))</f>
        <v>Ketone</v>
      </c>
      <c r="I676" s="16">
        <f>IF(Tabla1[[#This Row],[ID]]="","",VLOOKUP(Tabla1[[#This Row],[ID]],Tabla1[],4,FALSE))</f>
        <v>12.767173592449369</v>
      </c>
      <c r="J676" s="16">
        <f>Tabla1[[#This Row],[CN Literatura]]-Tabla1[[#This Row],[CN Predicted]]</f>
        <v>2.0172134276070004</v>
      </c>
    </row>
    <row r="677" spans="1:10" x14ac:dyDescent="0.25">
      <c r="A677" s="1">
        <f>Desgloce!A676</f>
        <v>133</v>
      </c>
      <c r="B677" s="14">
        <f>VLOOKUP(Tabla1[[#This Row],[No]],Tabla7[],7,FALSE)</f>
        <v>16</v>
      </c>
      <c r="C677" s="24">
        <v>14.036187147202201</v>
      </c>
      <c r="D677" s="15">
        <f>(B677-C677)/B677*100</f>
        <v>12.273830329986247</v>
      </c>
      <c r="E677" s="16">
        <f>IF(Tabla1[[#This Row],[% Error1]]&gt;$E$1,Tabla1[[#This Row],[No]],IF(Tabla1[[#This Row],[% Error1]]&lt;-$E$1,Tabla1[[#This Row],[No]],""))</f>
        <v>133</v>
      </c>
      <c r="F677" s="16" t="str">
        <f>IF(Tabla1[[#This Row],[ID]]="","",VLOOKUP(Tabla1[[#This Row],[ID]],Tabla7[],2,FALSE))</f>
        <v>C(CC)C1=CC=CC=C1</v>
      </c>
      <c r="G677" s="14" t="str">
        <f>IF(Tabla1[[#This Row],[ID]]="","",VLOOKUP(Tabla1[[#This Row],[ID]],Tabla7[],36,FALSE))</f>
        <v>Validation</v>
      </c>
      <c r="H677" s="16" t="str">
        <f>IF(Tabla1[[#This Row],[ID]]="","",VLOOKUP(Tabla1[[#This Row],[ID]],Tabla7[],4,FALSE))</f>
        <v>Aromatic</v>
      </c>
      <c r="I677" s="24">
        <f>IF(Tabla1[[#This Row],[ID]]="","",VLOOKUP(Tabla1[[#This Row],[ID]],Tabla1[],4,FALSE))</f>
        <v>12.273830329986247</v>
      </c>
      <c r="J677" s="16">
        <f>Tabla1[[#This Row],[CN Literatura]]-Tabla1[[#This Row],[CN Predicted]]</f>
        <v>1.9638128527977994</v>
      </c>
    </row>
    <row r="678" spans="1:10" x14ac:dyDescent="0.25">
      <c r="A678" s="1">
        <f>Desgloce!A677</f>
        <v>140</v>
      </c>
      <c r="B678" s="14">
        <f>VLOOKUP(Tabla1[[#This Row],[No]],Tabla7[],7,FALSE)</f>
        <v>17</v>
      </c>
      <c r="C678" s="24">
        <v>19.8108755879928</v>
      </c>
      <c r="D678" s="15">
        <f>(B678-C678)/B678*100</f>
        <v>-16.534562282310592</v>
      </c>
      <c r="E678" s="16">
        <f>IF(Tabla1[[#This Row],[% Error1]]&gt;$E$1,Tabla1[[#This Row],[No]],IF(Tabla1[[#This Row],[% Error1]]&lt;-$E$1,Tabla1[[#This Row],[No]],""))</f>
        <v>140</v>
      </c>
      <c r="F678" s="16" t="str">
        <f>IF(Tabla1[[#This Row],[ID]]="","",VLOOKUP(Tabla1[[#This Row],[ID]],Tabla7[],2,FALSE))</f>
        <v>CC(C)(C)C1CCCc2ccccc12</v>
      </c>
      <c r="G678" s="14" t="str">
        <f>IF(Tabla1[[#This Row],[ID]]="","",VLOOKUP(Tabla1[[#This Row],[ID]],Tabla7[],36,FALSE))</f>
        <v>Validation</v>
      </c>
      <c r="H678" s="16" t="str">
        <f>IF(Tabla1[[#This Row],[ID]]="","",VLOOKUP(Tabla1[[#This Row],[ID]],Tabla7[],4,FALSE))</f>
        <v>Aromatic</v>
      </c>
      <c r="I678" s="24">
        <f>IF(Tabla1[[#This Row],[ID]]="","",VLOOKUP(Tabla1[[#This Row],[ID]],Tabla1[],4,FALSE))</f>
        <v>-16.534562282310592</v>
      </c>
      <c r="J678" s="16">
        <f>Tabla1[[#This Row],[CN Literatura]]-Tabla1[[#This Row],[CN Predicted]]</f>
        <v>-2.8108755879928005</v>
      </c>
    </row>
    <row r="679" spans="1:10" x14ac:dyDescent="0.25">
      <c r="A679" s="1">
        <f>Desgloce!A678</f>
        <v>142</v>
      </c>
      <c r="B679" s="14">
        <f>VLOOKUP(Tabla1[[#This Row],[No]],Tabla7[],7,FALSE)</f>
        <v>17</v>
      </c>
      <c r="C679" s="24">
        <v>15.3502998438871</v>
      </c>
      <c r="D679" s="15">
        <f>(B679-C679)/B679*100</f>
        <v>9.7041185653699991</v>
      </c>
      <c r="E679" s="16" t="str">
        <f>IF(Tabla1[[#This Row],[% Error1]]&gt;$E$1,Tabla1[[#This Row],[No]],IF(Tabla1[[#This Row],[% Error1]]&lt;-$E$1,Tabla1[[#This Row],[No]],""))</f>
        <v/>
      </c>
      <c r="F679" s="16" t="str">
        <f>IF(Tabla1[[#This Row],[ID]]="","",VLOOKUP(Tabla1[[#This Row],[ID]],Tabla7[],2,FALSE))</f>
        <v/>
      </c>
      <c r="G679" s="14" t="str">
        <f>IF(Tabla1[[#This Row],[ID]]="","",VLOOKUP(Tabla1[[#This Row],[ID]],Tabla7[],36,FALSE))</f>
        <v/>
      </c>
      <c r="H679" s="16" t="str">
        <f>IF(Tabla1[[#This Row],[ID]]="","",VLOOKUP(Tabla1[[#This Row],[ID]],Tabla7[],4,FALSE))</f>
        <v/>
      </c>
      <c r="I679" s="16" t="str">
        <f>IF(Tabla1[[#This Row],[ID]]="","",VLOOKUP(Tabla1[[#This Row],[ID]],Tabla1[],4,FALSE))</f>
        <v/>
      </c>
      <c r="J679" s="16">
        <f>Tabla1[[#This Row],[CN Literatura]]-Tabla1[[#This Row],[CN Predicted]]</f>
        <v>1.6497001561128997</v>
      </c>
    </row>
    <row r="680" spans="1:10" x14ac:dyDescent="0.25">
      <c r="A680" s="1">
        <f>Desgloce!A679</f>
        <v>152</v>
      </c>
      <c r="B680" s="14">
        <f>VLOOKUP(Tabla1[[#This Row],[No]],Tabla7[],7,FALSE)</f>
        <v>18</v>
      </c>
      <c r="C680" s="24">
        <v>15.6172482249896</v>
      </c>
      <c r="D680" s="15">
        <f>(B680-C680)/B680*100</f>
        <v>13.237509861168887</v>
      </c>
      <c r="E680" s="16">
        <f>IF(Tabla1[[#This Row],[% Error1]]&gt;$E$1,Tabla1[[#This Row],[No]],IF(Tabla1[[#This Row],[% Error1]]&lt;-$E$1,Tabla1[[#This Row],[No]],""))</f>
        <v>152</v>
      </c>
      <c r="F680" s="16" t="str">
        <f>IF(Tabla1[[#This Row],[ID]]="","",VLOOKUP(Tabla1[[#This Row],[ID]],Tabla7[],2,FALSE))</f>
        <v>CCCCC1CCCc2ccccc12</v>
      </c>
      <c r="G680" s="14" t="str">
        <f>IF(Tabla1[[#This Row],[ID]]="","",VLOOKUP(Tabla1[[#This Row],[ID]],Tabla7[],36,FALSE))</f>
        <v>Validation</v>
      </c>
      <c r="H680" s="16" t="str">
        <f>IF(Tabla1[[#This Row],[ID]]="","",VLOOKUP(Tabla1[[#This Row],[ID]],Tabla7[],4,FALSE))</f>
        <v>Aromatic</v>
      </c>
      <c r="I680" s="24">
        <f>IF(Tabla1[[#This Row],[ID]]="","",VLOOKUP(Tabla1[[#This Row],[ID]],Tabla1[],4,FALSE))</f>
        <v>13.237509861168887</v>
      </c>
      <c r="J680" s="16">
        <f>Tabla1[[#This Row],[CN Literatura]]-Tabla1[[#This Row],[CN Predicted]]</f>
        <v>2.3827517750103997</v>
      </c>
    </row>
    <row r="681" spans="1:10" x14ac:dyDescent="0.25">
      <c r="A681" s="1">
        <f>Desgloce!A680</f>
        <v>183</v>
      </c>
      <c r="B681" s="14">
        <f>VLOOKUP(Tabla1[[#This Row],[No]],Tabla7[],7,FALSE)</f>
        <v>19.8</v>
      </c>
      <c r="C681" s="24">
        <v>20.498258696837102</v>
      </c>
      <c r="D681" s="15">
        <f>(B681-C681)/B681*100</f>
        <v>-3.5265590749348532</v>
      </c>
      <c r="E681" s="16" t="str">
        <f>IF(Tabla1[[#This Row],[% Error1]]&gt;$E$1,Tabla1[[#This Row],[No]],IF(Tabla1[[#This Row],[% Error1]]&lt;-$E$1,Tabla1[[#This Row],[No]],""))</f>
        <v/>
      </c>
      <c r="F681" s="16" t="str">
        <f>IF(Tabla1[[#This Row],[ID]]="","",VLOOKUP(Tabla1[[#This Row],[ID]],Tabla7[],2,FALSE))</f>
        <v/>
      </c>
      <c r="G681" s="14" t="str">
        <f>IF(Tabla1[[#This Row],[ID]]="","",VLOOKUP(Tabla1[[#This Row],[ID]],Tabla7[],36,FALSE))</f>
        <v/>
      </c>
      <c r="H681" s="16" t="str">
        <f>IF(Tabla1[[#This Row],[ID]]="","",VLOOKUP(Tabla1[[#This Row],[ID]],Tabla7[],4,FALSE))</f>
        <v/>
      </c>
      <c r="I681" s="16" t="str">
        <f>IF(Tabla1[[#This Row],[ID]]="","",VLOOKUP(Tabla1[[#This Row],[ID]],Tabla1[],4,FALSE))</f>
        <v/>
      </c>
      <c r="J681" s="16">
        <f>Tabla1[[#This Row],[CN Literatura]]-Tabla1[[#This Row],[CN Predicted]]</f>
        <v>-0.69825869683710096</v>
      </c>
    </row>
    <row r="682" spans="1:10" x14ac:dyDescent="0.25">
      <c r="A682" s="1">
        <f>Desgloce!A681</f>
        <v>190</v>
      </c>
      <c r="B682" s="14">
        <f>VLOOKUP(Tabla1[[#This Row],[No]],Tabla7[],7,FALSE)</f>
        <v>20</v>
      </c>
      <c r="C682" s="24">
        <v>26.522387301147901</v>
      </c>
      <c r="D682" s="15">
        <f>(B682-C682)/B682*100</f>
        <v>-32.611936505739507</v>
      </c>
      <c r="E682" s="16">
        <f>IF(Tabla1[[#This Row],[% Error1]]&gt;$E$1,Tabla1[[#This Row],[No]],IF(Tabla1[[#This Row],[% Error1]]&lt;-$E$1,Tabla1[[#This Row],[No]],""))</f>
        <v>190</v>
      </c>
      <c r="F682" s="16" t="str">
        <f>IF(Tabla1[[#This Row],[ID]]="","",VLOOKUP(Tabla1[[#This Row],[ID]],Tabla7[],2,FALSE))</f>
        <v>O1CCC=C1</v>
      </c>
      <c r="G682" s="14" t="str">
        <f>IF(Tabla1[[#This Row],[ID]]="","",VLOOKUP(Tabla1[[#This Row],[ID]],Tabla7[],36,FALSE))</f>
        <v>Validation</v>
      </c>
      <c r="H682" s="16" t="str">
        <f>IF(Tabla1[[#This Row],[ID]]="","",VLOOKUP(Tabla1[[#This Row],[ID]],Tabla7[],4,FALSE))</f>
        <v>Furans</v>
      </c>
      <c r="I682" s="16">
        <f>IF(Tabla1[[#This Row],[ID]]="","",VLOOKUP(Tabla1[[#This Row],[ID]],Tabla1[],4,FALSE))</f>
        <v>-32.611936505739507</v>
      </c>
      <c r="J682" s="16">
        <f>Tabla1[[#This Row],[CN Literatura]]-Tabla1[[#This Row],[CN Predicted]]</f>
        <v>-6.5223873011479014</v>
      </c>
    </row>
    <row r="683" spans="1:10" x14ac:dyDescent="0.25">
      <c r="A683" s="1">
        <f>Desgloce!A682</f>
        <v>197</v>
      </c>
      <c r="B683" s="14">
        <f>VLOOKUP(Tabla1[[#This Row],[No]],Tabla7[],7,FALSE)</f>
        <v>20.3</v>
      </c>
      <c r="C683" s="24">
        <v>21.275111021831702</v>
      </c>
      <c r="D683" s="15">
        <f>(B683-C683)/B683*100</f>
        <v>-4.8035025705995116</v>
      </c>
      <c r="E683" s="16" t="str">
        <f>IF(Tabla1[[#This Row],[% Error1]]&gt;$E$1,Tabla1[[#This Row],[No]],IF(Tabla1[[#This Row],[% Error1]]&lt;-$E$1,Tabla1[[#This Row],[No]],""))</f>
        <v/>
      </c>
      <c r="F683" s="16" t="str">
        <f>IF(Tabla1[[#This Row],[ID]]="","",VLOOKUP(Tabla1[[#This Row],[ID]],Tabla7[],2,FALSE))</f>
        <v/>
      </c>
      <c r="G683" s="14" t="str">
        <f>IF(Tabla1[[#This Row],[ID]]="","",VLOOKUP(Tabla1[[#This Row],[ID]],Tabla7[],36,FALSE))</f>
        <v/>
      </c>
      <c r="H683" s="16" t="str">
        <f>IF(Tabla1[[#This Row],[ID]]="","",VLOOKUP(Tabla1[[#This Row],[ID]],Tabla7[],4,FALSE))</f>
        <v/>
      </c>
      <c r="I683" s="16" t="str">
        <f>IF(Tabla1[[#This Row],[ID]]="","",VLOOKUP(Tabla1[[#This Row],[ID]],Tabla1[],4,FALSE))</f>
        <v/>
      </c>
      <c r="J683" s="16">
        <f>Tabla1[[#This Row],[CN Literatura]]-Tabla1[[#This Row],[CN Predicted]]</f>
        <v>-0.97511102183170095</v>
      </c>
    </row>
    <row r="684" spans="1:10" x14ac:dyDescent="0.25">
      <c r="A684" s="1">
        <f>Desgloce!A683</f>
        <v>221</v>
      </c>
      <c r="B684" s="14">
        <f>VLOOKUP(Tabla1[[#This Row],[No]],Tabla7[],7,FALSE)</f>
        <v>21.1</v>
      </c>
      <c r="C684" s="24">
        <v>33.706436795358599</v>
      </c>
      <c r="D684" s="15">
        <f>(B684-C684)/B684*100</f>
        <v>-59.746145949566809</v>
      </c>
      <c r="E684" s="16">
        <f>IF(Tabla1[[#This Row],[% Error1]]&gt;$E$1,Tabla1[[#This Row],[No]],IF(Tabla1[[#This Row],[% Error1]]&lt;-$E$1,Tabla1[[#This Row],[No]],""))</f>
        <v>221</v>
      </c>
      <c r="F684" s="16" t="str">
        <f>IF(Tabla1[[#This Row],[ID]]="","",VLOOKUP(Tabla1[[#This Row],[ID]],Tabla7[],2,FALSE))</f>
        <v>CC(C)C=O</v>
      </c>
      <c r="G684" s="14" t="str">
        <f>IF(Tabla1[[#This Row],[ID]]="","",VLOOKUP(Tabla1[[#This Row],[ID]],Tabla7[],36,FALSE))</f>
        <v>Validation</v>
      </c>
      <c r="H684" s="16" t="str">
        <f>IF(Tabla1[[#This Row],[ID]]="","",VLOOKUP(Tabla1[[#This Row],[ID]],Tabla7[],4,FALSE))</f>
        <v>Aldehyde</v>
      </c>
      <c r="I684" s="16">
        <f>IF(Tabla1[[#This Row],[ID]]="","",VLOOKUP(Tabla1[[#This Row],[ID]],Tabla1[],4,FALSE))</f>
        <v>-59.746145949566809</v>
      </c>
      <c r="J684" s="16">
        <f>Tabla1[[#This Row],[CN Literatura]]-Tabla1[[#This Row],[CN Predicted]]</f>
        <v>-12.606436795358597</v>
      </c>
    </row>
    <row r="685" spans="1:10" x14ac:dyDescent="0.25">
      <c r="A685" s="1">
        <f>Desgloce!A684</f>
        <v>228</v>
      </c>
      <c r="B685" s="14">
        <f>VLOOKUP(Tabla1[[#This Row],[No]],Tabla7[],7,FALSE)</f>
        <v>22</v>
      </c>
      <c r="C685" s="24">
        <v>27.4549911376963</v>
      </c>
      <c r="D685" s="15">
        <f>(B685-C685)/B685*100</f>
        <v>-24.79541426225591</v>
      </c>
      <c r="E685" s="16">
        <f>IF(Tabla1[[#This Row],[% Error1]]&gt;$E$1,Tabla1[[#This Row],[No]],IF(Tabla1[[#This Row],[% Error1]]&lt;-$E$1,Tabla1[[#This Row],[No]],""))</f>
        <v>228</v>
      </c>
      <c r="F685" s="16" t="str">
        <f>IF(Tabla1[[#This Row],[ID]]="","",VLOOKUP(Tabla1[[#This Row],[ID]],Tabla7[],2,FALSE))</f>
        <v>C#CCCCCC</v>
      </c>
      <c r="G685" s="14" t="str">
        <f>IF(Tabla1[[#This Row],[ID]]="","",VLOOKUP(Tabla1[[#This Row],[ID]],Tabla7[],36,FALSE))</f>
        <v>Validation</v>
      </c>
      <c r="H685" s="16" t="str">
        <f>IF(Tabla1[[#This Row],[ID]]="","",VLOOKUP(Tabla1[[#This Row],[ID]],Tabla7[],4,FALSE))</f>
        <v>Alkene</v>
      </c>
      <c r="I685" s="16">
        <f>IF(Tabla1[[#This Row],[ID]]="","",VLOOKUP(Tabla1[[#This Row],[ID]],Tabla1[],4,FALSE))</f>
        <v>-24.79541426225591</v>
      </c>
      <c r="J685" s="16">
        <f>Tabla1[[#This Row],[CN Literatura]]-Tabla1[[#This Row],[CN Predicted]]</f>
        <v>-5.4549911376963003</v>
      </c>
    </row>
    <row r="686" spans="1:10" x14ac:dyDescent="0.25">
      <c r="A686" s="1">
        <f>Desgloce!A685</f>
        <v>242</v>
      </c>
      <c r="B686" s="14">
        <f>VLOOKUP(Tabla1[[#This Row],[No]],Tabla7[],7,FALSE)</f>
        <v>23.4</v>
      </c>
      <c r="C686" s="24">
        <v>29.284857002867401</v>
      </c>
      <c r="D686" s="15">
        <f>(B686-C686)/B686*100</f>
        <v>-25.148961550715399</v>
      </c>
      <c r="E686" s="16">
        <f>IF(Tabla1[[#This Row],[% Error1]]&gt;$E$1,Tabla1[[#This Row],[No]],IF(Tabla1[[#This Row],[% Error1]]&lt;-$E$1,Tabla1[[#This Row],[No]],""))</f>
        <v>242</v>
      </c>
      <c r="F686" s="16" t="str">
        <f>IF(Tabla1[[#This Row],[ID]]="","",VLOOKUP(Tabla1[[#This Row],[ID]],Tabla7[],2,FALSE))</f>
        <v>CCCC[C@H](CC)CO</v>
      </c>
      <c r="G686" s="14" t="str">
        <f>IF(Tabla1[[#This Row],[ID]]="","",VLOOKUP(Tabla1[[#This Row],[ID]],Tabla7[],36,FALSE))</f>
        <v>Validation</v>
      </c>
      <c r="H686" s="16" t="str">
        <f>IF(Tabla1[[#This Row],[ID]]="","",VLOOKUP(Tabla1[[#This Row],[ID]],Tabla7[],4,FALSE))</f>
        <v>Alcohol</v>
      </c>
      <c r="I686" s="16">
        <f>IF(Tabla1[[#This Row],[ID]]="","",VLOOKUP(Tabla1[[#This Row],[ID]],Tabla1[],4,FALSE))</f>
        <v>-25.148961550715399</v>
      </c>
      <c r="J686" s="16">
        <f>Tabla1[[#This Row],[CN Literatura]]-Tabla1[[#This Row],[CN Predicted]]</f>
        <v>-5.8848570028674025</v>
      </c>
    </row>
    <row r="687" spans="1:10" x14ac:dyDescent="0.25">
      <c r="A687" s="1">
        <f>Desgloce!A686</f>
        <v>245</v>
      </c>
      <c r="B687" s="14">
        <f>VLOOKUP(Tabla1[[#This Row],[No]],Tabla7[],7,FALSE)</f>
        <v>23.5</v>
      </c>
      <c r="C687" s="24">
        <v>21.045541859684999</v>
      </c>
      <c r="D687" s="15">
        <f>(B687-C687)/B687*100</f>
        <v>10.444502724744687</v>
      </c>
      <c r="E687" s="16">
        <f>IF(Tabla1[[#This Row],[% Error1]]&gt;$E$1,Tabla1[[#This Row],[No]],IF(Tabla1[[#This Row],[% Error1]]&lt;-$E$1,Tabla1[[#This Row],[No]],""))</f>
        <v>245</v>
      </c>
      <c r="F687" s="16" t="str">
        <f>IF(Tabla1[[#This Row],[ID]]="","",VLOOKUP(Tabla1[[#This Row],[ID]],Tabla7[],2,FALSE))</f>
        <v>C(CCCC)(=O)OCCCC</v>
      </c>
      <c r="G687" s="14" t="str">
        <f>IF(Tabla1[[#This Row],[ID]]="","",VLOOKUP(Tabla1[[#This Row],[ID]],Tabla7[],36,FALSE))</f>
        <v>Validation</v>
      </c>
      <c r="H687" s="16" t="str">
        <f>IF(Tabla1[[#This Row],[ID]]="","",VLOOKUP(Tabla1[[#This Row],[ID]],Tabla7[],4,FALSE))</f>
        <v>Ester: saturated</v>
      </c>
      <c r="I687" s="16">
        <f>IF(Tabla1[[#This Row],[ID]]="","",VLOOKUP(Tabla1[[#This Row],[ID]],Tabla1[],4,FALSE))</f>
        <v>10.444502724744687</v>
      </c>
      <c r="J687" s="16">
        <f>Tabla1[[#This Row],[CN Literatura]]-Tabla1[[#This Row],[CN Predicted]]</f>
        <v>2.4544581403150012</v>
      </c>
    </row>
    <row r="688" spans="1:10" x14ac:dyDescent="0.25">
      <c r="A688" s="1">
        <f>Desgloce!A687</f>
        <v>246</v>
      </c>
      <c r="B688" s="14">
        <f>VLOOKUP(Tabla1[[#This Row],[No]],Tabla7[],7,FALSE)</f>
        <v>23.6</v>
      </c>
      <c r="C688" s="24">
        <v>24.062569021538</v>
      </c>
      <c r="D688" s="15">
        <f>(B688-C688)/B688*100</f>
        <v>-1.9600382268559247</v>
      </c>
      <c r="E688" s="16" t="str">
        <f>IF(Tabla1[[#This Row],[% Error1]]&gt;$E$1,Tabla1[[#This Row],[No]],IF(Tabla1[[#This Row],[% Error1]]&lt;-$E$1,Tabla1[[#This Row],[No]],""))</f>
        <v/>
      </c>
      <c r="F688" s="16" t="str">
        <f>IF(Tabla1[[#This Row],[ID]]="","",VLOOKUP(Tabla1[[#This Row],[ID]],Tabla7[],2,FALSE))</f>
        <v/>
      </c>
      <c r="G688" s="14" t="str">
        <f>IF(Tabla1[[#This Row],[ID]]="","",VLOOKUP(Tabla1[[#This Row],[ID]],Tabla7[],36,FALSE))</f>
        <v/>
      </c>
      <c r="H688" s="16" t="str">
        <f>IF(Tabla1[[#This Row],[ID]]="","",VLOOKUP(Tabla1[[#This Row],[ID]],Tabla7[],4,FALSE))</f>
        <v/>
      </c>
      <c r="I688" s="16" t="str">
        <f>IF(Tabla1[[#This Row],[ID]]="","",VLOOKUP(Tabla1[[#This Row],[ID]],Tabla1[],4,FALSE))</f>
        <v/>
      </c>
      <c r="J688" s="16">
        <f>Tabla1[[#This Row],[CN Literatura]]-Tabla1[[#This Row],[CN Predicted]]</f>
        <v>-0.46256902153799828</v>
      </c>
    </row>
    <row r="689" spans="1:10" x14ac:dyDescent="0.25">
      <c r="A689" s="1">
        <f>Desgloce!A688</f>
        <v>253</v>
      </c>
      <c r="B689" s="14">
        <f>VLOOKUP(Tabla1[[#This Row],[No]],Tabla7[],7,FALSE)</f>
        <v>24</v>
      </c>
      <c r="C689" s="24">
        <v>15.670066309870601</v>
      </c>
      <c r="D689" s="15">
        <f>(B689-C689)/B689*100</f>
        <v>34.70805704220583</v>
      </c>
      <c r="E689" s="16">
        <f>IF(Tabla1[[#This Row],[% Error1]]&gt;$E$1,Tabla1[[#This Row],[No]],IF(Tabla1[[#This Row],[% Error1]]&lt;-$E$1,Tabla1[[#This Row],[No]],""))</f>
        <v>253</v>
      </c>
      <c r="F689" s="16" t="str">
        <f>IF(Tabla1[[#This Row],[ID]]="","",VLOOKUP(Tabla1[[#This Row],[ID]],Tabla7[],2,FALSE))</f>
        <v>CCCCCC/C(=C(/C)\CCC=C(C)C)/C</v>
      </c>
      <c r="G689" s="14" t="str">
        <f>IF(Tabla1[[#This Row],[ID]]="","",VLOOKUP(Tabla1[[#This Row],[ID]],Tabla7[],36,FALSE))</f>
        <v>Validation</v>
      </c>
      <c r="H689" s="16" t="str">
        <f>IF(Tabla1[[#This Row],[ID]]="","",VLOOKUP(Tabla1[[#This Row],[ID]],Tabla7[],4,FALSE))</f>
        <v>Alkene</v>
      </c>
      <c r="I689" s="16">
        <f>IF(Tabla1[[#This Row],[ID]]="","",VLOOKUP(Tabla1[[#This Row],[ID]],Tabla1[],4,FALSE))</f>
        <v>34.70805704220583</v>
      </c>
      <c r="J689" s="16">
        <f>Tabla1[[#This Row],[CN Literatura]]-Tabla1[[#This Row],[CN Predicted]]</f>
        <v>8.3299336901293994</v>
      </c>
    </row>
    <row r="690" spans="1:10" x14ac:dyDescent="0.25">
      <c r="A690" s="1">
        <f>Desgloce!A689</f>
        <v>261</v>
      </c>
      <c r="B690" s="14">
        <f>VLOOKUP(Tabla1[[#This Row],[No]],Tabla7[],7,FALSE)</f>
        <v>24</v>
      </c>
      <c r="C690" s="24">
        <v>26.5986267483155</v>
      </c>
      <c r="D690" s="15">
        <f>(B690-C690)/B690*100</f>
        <v>-10.827611451314583</v>
      </c>
      <c r="E690" s="16">
        <f>IF(Tabla1[[#This Row],[% Error1]]&gt;$E$1,Tabla1[[#This Row],[No]],IF(Tabla1[[#This Row],[% Error1]]&lt;-$E$1,Tabla1[[#This Row],[No]],""))</f>
        <v>261</v>
      </c>
      <c r="F690" s="16" t="str">
        <f>IF(Tabla1[[#This Row],[ID]]="","",VLOOKUP(Tabla1[[#This Row],[ID]],Tabla7[],2,FALSE))</f>
        <v>CC(C)(C)CCC(C)(C)C</v>
      </c>
      <c r="G690" s="14" t="str">
        <f>IF(Tabla1[[#This Row],[ID]]="","",VLOOKUP(Tabla1[[#This Row],[ID]],Tabla7[],36,FALSE))</f>
        <v>Validation</v>
      </c>
      <c r="H690" s="16" t="str">
        <f>IF(Tabla1[[#This Row],[ID]]="","",VLOOKUP(Tabla1[[#This Row],[ID]],Tabla7[],4,FALSE))</f>
        <v>iso-alkane</v>
      </c>
      <c r="I690" s="16">
        <f>IF(Tabla1[[#This Row],[ID]]="","",VLOOKUP(Tabla1[[#This Row],[ID]],Tabla1[],4,FALSE))</f>
        <v>-10.827611451314583</v>
      </c>
      <c r="J690" s="16">
        <f>Tabla1[[#This Row],[CN Literatura]]-Tabla1[[#This Row],[CN Predicted]]</f>
        <v>-2.5986267483154997</v>
      </c>
    </row>
    <row r="691" spans="1:10" x14ac:dyDescent="0.25">
      <c r="A691" s="1">
        <f>Desgloce!A690</f>
        <v>275</v>
      </c>
      <c r="B691" s="14">
        <f>VLOOKUP(Tabla1[[#This Row],[No]],Tabla7[],7,FALSE)</f>
        <v>25.7</v>
      </c>
      <c r="C691" s="24">
        <v>28.982785953736801</v>
      </c>
      <c r="D691" s="15">
        <f>(B691-C691)/B691*100</f>
        <v>-12.773486201310513</v>
      </c>
      <c r="E691" s="16">
        <f>IF(Tabla1[[#This Row],[% Error1]]&gt;$E$1,Tabla1[[#This Row],[No]],IF(Tabla1[[#This Row],[% Error1]]&lt;-$E$1,Tabla1[[#This Row],[No]],""))</f>
        <v>275</v>
      </c>
      <c r="F691" s="16" t="str">
        <f>IF(Tabla1[[#This Row],[ID]]="","",VLOOKUP(Tabla1[[#This Row],[ID]],Tabla7[],2,FALSE))</f>
        <v>C1CC=CCCC=C1</v>
      </c>
      <c r="G691" s="14" t="str">
        <f>IF(Tabla1[[#This Row],[ID]]="","",VLOOKUP(Tabla1[[#This Row],[ID]],Tabla7[],36,FALSE))</f>
        <v>Validation</v>
      </c>
      <c r="H691" s="16" t="str">
        <f>IF(Tabla1[[#This Row],[ID]]="","",VLOOKUP(Tabla1[[#This Row],[ID]],Tabla7[],4,FALSE))</f>
        <v>Alkene</v>
      </c>
      <c r="I691" s="16">
        <f>IF(Tabla1[[#This Row],[ID]]="","",VLOOKUP(Tabla1[[#This Row],[ID]],Tabla1[],4,FALSE))</f>
        <v>-12.773486201310513</v>
      </c>
      <c r="J691" s="16">
        <f>Tabla1[[#This Row],[CN Literatura]]-Tabla1[[#This Row],[CN Predicted]]</f>
        <v>-3.282785953736802</v>
      </c>
    </row>
    <row r="692" spans="1:10" x14ac:dyDescent="0.25">
      <c r="A692" s="1">
        <f>Desgloce!A691</f>
        <v>283</v>
      </c>
      <c r="B692" s="14">
        <f>VLOOKUP(Tabla1[[#This Row],[No]],Tabla7[],7,FALSE)</f>
        <v>26.7</v>
      </c>
      <c r="C692" s="24">
        <v>28.555586138601299</v>
      </c>
      <c r="D692" s="15">
        <f>(B692-C692)/B692*100</f>
        <v>-6.9497608187314608</v>
      </c>
      <c r="E692" s="16" t="str">
        <f>IF(Tabla1[[#This Row],[% Error1]]&gt;$E$1,Tabla1[[#This Row],[No]],IF(Tabla1[[#This Row],[% Error1]]&lt;-$E$1,Tabla1[[#This Row],[No]],""))</f>
        <v/>
      </c>
      <c r="F692" s="16" t="str">
        <f>IF(Tabla1[[#This Row],[ID]]="","",VLOOKUP(Tabla1[[#This Row],[ID]],Tabla7[],2,FALSE))</f>
        <v/>
      </c>
      <c r="G692" s="14" t="str">
        <f>IF(Tabla1[[#This Row],[ID]]="","",VLOOKUP(Tabla1[[#This Row],[ID]],Tabla7[],36,FALSE))</f>
        <v/>
      </c>
      <c r="H692" s="16" t="str">
        <f>IF(Tabla1[[#This Row],[ID]]="","",VLOOKUP(Tabla1[[#This Row],[ID]],Tabla7[],4,FALSE))</f>
        <v/>
      </c>
      <c r="I692" s="16" t="str">
        <f>IF(Tabla1[[#This Row],[ID]]="","",VLOOKUP(Tabla1[[#This Row],[ID]],Tabla1[],4,FALSE))</f>
        <v/>
      </c>
      <c r="J692" s="16">
        <f>Tabla1[[#This Row],[CN Literatura]]-Tabla1[[#This Row],[CN Predicted]]</f>
        <v>-1.8555861386013</v>
      </c>
    </row>
    <row r="693" spans="1:10" x14ac:dyDescent="0.25">
      <c r="A693" s="1">
        <f>Desgloce!A692</f>
        <v>285</v>
      </c>
      <c r="B693" s="14">
        <f>VLOOKUP(Tabla1[[#This Row],[No]],Tabla7[],7,FALSE)</f>
        <v>26.8</v>
      </c>
      <c r="C693" s="24">
        <v>28.1731251924374</v>
      </c>
      <c r="D693" s="15">
        <f>(B693-C693)/B693*100</f>
        <v>-5.1236014643186545</v>
      </c>
      <c r="E693" s="16" t="str">
        <f>IF(Tabla1[[#This Row],[% Error1]]&gt;$E$1,Tabla1[[#This Row],[No]],IF(Tabla1[[#This Row],[% Error1]]&lt;-$E$1,Tabla1[[#This Row],[No]],""))</f>
        <v/>
      </c>
      <c r="F693" s="16" t="str">
        <f>IF(Tabla1[[#This Row],[ID]]="","",VLOOKUP(Tabla1[[#This Row],[ID]],Tabla7[],2,FALSE))</f>
        <v/>
      </c>
      <c r="G693" s="14" t="str">
        <f>IF(Tabla1[[#This Row],[ID]]="","",VLOOKUP(Tabla1[[#This Row],[ID]],Tabla7[],36,FALSE))</f>
        <v/>
      </c>
      <c r="H693" s="16" t="str">
        <f>IF(Tabla1[[#This Row],[ID]]="","",VLOOKUP(Tabla1[[#This Row],[ID]],Tabla7[],4,FALSE))</f>
        <v/>
      </c>
      <c r="I693" s="16" t="str">
        <f>IF(Tabla1[[#This Row],[ID]]="","",VLOOKUP(Tabla1[[#This Row],[ID]],Tabla1[],4,FALSE))</f>
        <v/>
      </c>
      <c r="J693" s="16">
        <f>Tabla1[[#This Row],[CN Literatura]]-Tabla1[[#This Row],[CN Predicted]]</f>
        <v>-1.3731251924373993</v>
      </c>
    </row>
    <row r="694" spans="1:10" x14ac:dyDescent="0.25">
      <c r="A694" s="1">
        <f>Desgloce!A693</f>
        <v>294</v>
      </c>
      <c r="B694" s="14">
        <f>VLOOKUP(Tabla1[[#This Row],[No]],Tabla7[],7,FALSE)</f>
        <v>27.3</v>
      </c>
      <c r="C694" s="24">
        <v>30.849551402559101</v>
      </c>
      <c r="D694" s="15">
        <f>(B694-C694)/B694*100</f>
        <v>-13.002019789593772</v>
      </c>
      <c r="E694" s="16">
        <f>IF(Tabla1[[#This Row],[% Error1]]&gt;$E$1,Tabla1[[#This Row],[No]],IF(Tabla1[[#This Row],[% Error1]]&lt;-$E$1,Tabla1[[#This Row],[No]],""))</f>
        <v>294</v>
      </c>
      <c r="F694" s="16" t="str">
        <f>IF(Tabla1[[#This Row],[ID]]="","",VLOOKUP(Tabla1[[#This Row],[ID]],Tabla7[],2,FALSE))</f>
        <v>C=CCCCC</v>
      </c>
      <c r="G694" s="14" t="str">
        <f>IF(Tabla1[[#This Row],[ID]]="","",VLOOKUP(Tabla1[[#This Row],[ID]],Tabla7[],36,FALSE))</f>
        <v>Validation</v>
      </c>
      <c r="H694" s="16" t="str">
        <f>IF(Tabla1[[#This Row],[ID]]="","",VLOOKUP(Tabla1[[#This Row],[ID]],Tabla7[],4,FALSE))</f>
        <v>Alkene</v>
      </c>
      <c r="I694" s="16">
        <f>IF(Tabla1[[#This Row],[ID]]="","",VLOOKUP(Tabla1[[#This Row],[ID]],Tabla1[],4,FALSE))</f>
        <v>-13.002019789593772</v>
      </c>
      <c r="J694" s="16">
        <f>Tabla1[[#This Row],[CN Literatura]]-Tabla1[[#This Row],[CN Predicted]]</f>
        <v>-3.5495514025591</v>
      </c>
    </row>
    <row r="695" spans="1:10" x14ac:dyDescent="0.25">
      <c r="A695" s="1">
        <f>Desgloce!A694</f>
        <v>308</v>
      </c>
      <c r="B695" s="14">
        <f>VLOOKUP(Tabla1[[#This Row],[No]],Tabla7[],7,FALSE)</f>
        <v>28.75</v>
      </c>
      <c r="C695" s="24">
        <v>29.862120705620601</v>
      </c>
      <c r="D695" s="15">
        <f>(B695-C695)/B695*100</f>
        <v>-3.8682459325933949</v>
      </c>
      <c r="E695" s="16" t="str">
        <f>IF(Tabla1[[#This Row],[% Error1]]&gt;$E$1,Tabla1[[#This Row],[No]],IF(Tabla1[[#This Row],[% Error1]]&lt;-$E$1,Tabla1[[#This Row],[No]],""))</f>
        <v/>
      </c>
      <c r="F695" s="16" t="str">
        <f>IF(Tabla1[[#This Row],[ID]]="","",VLOOKUP(Tabla1[[#This Row],[ID]],Tabla7[],2,FALSE))</f>
        <v/>
      </c>
      <c r="G695" s="14" t="str">
        <f>IF(Tabla1[[#This Row],[ID]]="","",VLOOKUP(Tabla1[[#This Row],[ID]],Tabla7[],36,FALSE))</f>
        <v/>
      </c>
      <c r="H695" s="16" t="str">
        <f>IF(Tabla1[[#This Row],[ID]]="","",VLOOKUP(Tabla1[[#This Row],[ID]],Tabla7[],4,FALSE))</f>
        <v/>
      </c>
      <c r="I695" s="16" t="str">
        <f>IF(Tabla1[[#This Row],[ID]]="","",VLOOKUP(Tabla1[[#This Row],[ID]],Tabla1[],4,FALSE))</f>
        <v/>
      </c>
      <c r="J695" s="16">
        <f>Tabla1[[#This Row],[CN Literatura]]-Tabla1[[#This Row],[CN Predicted]]</f>
        <v>-1.1121207056206011</v>
      </c>
    </row>
    <row r="696" spans="1:10" x14ac:dyDescent="0.25">
      <c r="A696" s="1">
        <f>Desgloce!A695</f>
        <v>318</v>
      </c>
      <c r="B696" s="14">
        <f>VLOOKUP(Tabla1[[#This Row],[No]],Tabla7[],7,FALSE)</f>
        <v>29.3</v>
      </c>
      <c r="C696" s="24">
        <v>50.106049786111697</v>
      </c>
      <c r="D696" s="15">
        <f>(B696-C696)/B696*100</f>
        <v>-71.010408826319775</v>
      </c>
      <c r="E696" s="16">
        <f>IF(Tabla1[[#This Row],[% Error1]]&gt;$E$1,Tabla1[[#This Row],[No]],IF(Tabla1[[#This Row],[% Error1]]&lt;-$E$1,Tabla1[[#This Row],[No]],""))</f>
        <v>318</v>
      </c>
      <c r="F696" s="16" t="str">
        <f>IF(Tabla1[[#This Row],[ID]]="","",VLOOKUP(Tabla1[[#This Row],[ID]],Tabla7[],2,FALSE))</f>
        <v>CC(C)CCCC(C)CCO</v>
      </c>
      <c r="G696" s="14" t="str">
        <f>IF(Tabla1[[#This Row],[ID]]="","",VLOOKUP(Tabla1[[#This Row],[ID]],Tabla7[],36,FALSE))</f>
        <v>Validation</v>
      </c>
      <c r="H696" s="16" t="str">
        <f>IF(Tabla1[[#This Row],[ID]]="","",VLOOKUP(Tabla1[[#This Row],[ID]],Tabla7[],4,FALSE))</f>
        <v>Alcohol</v>
      </c>
      <c r="I696" s="16">
        <f>IF(Tabla1[[#This Row],[ID]]="","",VLOOKUP(Tabla1[[#This Row],[ID]],Tabla1[],4,FALSE))</f>
        <v>-71.010408826319775</v>
      </c>
      <c r="J696" s="16">
        <f>Tabla1[[#This Row],[CN Literatura]]-Tabla1[[#This Row],[CN Predicted]]</f>
        <v>-20.806049786111696</v>
      </c>
    </row>
    <row r="697" spans="1:10" x14ac:dyDescent="0.25">
      <c r="A697" s="1">
        <f>Desgloce!A696</f>
        <v>325</v>
      </c>
      <c r="B697" s="14">
        <f>VLOOKUP(Tabla1[[#This Row],[No]],Tabla7[],7,FALSE)</f>
        <v>30</v>
      </c>
      <c r="C697" s="24">
        <v>27.988160739186998</v>
      </c>
      <c r="D697" s="15">
        <f>(B697-C697)/B697*100</f>
        <v>6.7061308693766728</v>
      </c>
      <c r="E697" s="16" t="str">
        <f>IF(Tabla1[[#This Row],[% Error1]]&gt;$E$1,Tabla1[[#This Row],[No]],IF(Tabla1[[#This Row],[% Error1]]&lt;-$E$1,Tabla1[[#This Row],[No]],""))</f>
        <v/>
      </c>
      <c r="F697" s="16" t="str">
        <f>IF(Tabla1[[#This Row],[ID]]="","",VLOOKUP(Tabla1[[#This Row],[ID]],Tabla7[],2,FALSE))</f>
        <v/>
      </c>
      <c r="G697" s="14" t="str">
        <f>IF(Tabla1[[#This Row],[ID]]="","",VLOOKUP(Tabla1[[#This Row],[ID]],Tabla7[],36,FALSE))</f>
        <v/>
      </c>
      <c r="H697" s="16" t="str">
        <f>IF(Tabla1[[#This Row],[ID]]="","",VLOOKUP(Tabla1[[#This Row],[ID]],Tabla7[],4,FALSE))</f>
        <v/>
      </c>
      <c r="I697" s="16" t="str">
        <f>IF(Tabla1[[#This Row],[ID]]="","",VLOOKUP(Tabla1[[#This Row],[ID]],Tabla1[],4,FALSE))</f>
        <v/>
      </c>
      <c r="J697" s="16">
        <f>Tabla1[[#This Row],[CN Literatura]]-Tabla1[[#This Row],[CN Predicted]]</f>
        <v>2.0118392608130016</v>
      </c>
    </row>
    <row r="698" spans="1:10" x14ac:dyDescent="0.25">
      <c r="A698" s="1">
        <f>Desgloce!A697</f>
        <v>340</v>
      </c>
      <c r="B698" s="14">
        <f>VLOOKUP(Tabla1[[#This Row],[No]],Tabla7[],7,FALSE)</f>
        <v>31.1</v>
      </c>
      <c r="C698" s="24">
        <v>29.414955778990699</v>
      </c>
      <c r="D698" s="15">
        <f>(B698-C698)/B698*100</f>
        <v>5.4181486206086902</v>
      </c>
      <c r="E698" s="16" t="str">
        <f>IF(Tabla1[[#This Row],[% Error1]]&gt;$E$1,Tabla1[[#This Row],[No]],IF(Tabla1[[#This Row],[% Error1]]&lt;-$E$1,Tabla1[[#This Row],[No]],""))</f>
        <v/>
      </c>
      <c r="F698" s="16" t="str">
        <f>IF(Tabla1[[#This Row],[ID]]="","",VLOOKUP(Tabla1[[#This Row],[ID]],Tabla7[],2,FALSE))</f>
        <v/>
      </c>
      <c r="G698" s="14" t="str">
        <f>IF(Tabla1[[#This Row],[ID]]="","",VLOOKUP(Tabla1[[#This Row],[ID]],Tabla7[],36,FALSE))</f>
        <v/>
      </c>
      <c r="H698" s="16" t="str">
        <f>IF(Tabla1[[#This Row],[ID]]="","",VLOOKUP(Tabla1[[#This Row],[ID]],Tabla7[],4,FALSE))</f>
        <v/>
      </c>
      <c r="I698" s="16" t="str">
        <f>IF(Tabla1[[#This Row],[ID]]="","",VLOOKUP(Tabla1[[#This Row],[ID]],Tabla1[],4,FALSE))</f>
        <v/>
      </c>
      <c r="J698" s="16">
        <f>Tabla1[[#This Row],[CN Literatura]]-Tabla1[[#This Row],[CN Predicted]]</f>
        <v>1.6850442210093028</v>
      </c>
    </row>
    <row r="699" spans="1:10" x14ac:dyDescent="0.25">
      <c r="A699" s="1">
        <f>Desgloce!A698</f>
        <v>350</v>
      </c>
      <c r="B699" s="14">
        <f>VLOOKUP(Tabla1[[#This Row],[No]],Tabla7[],7,FALSE)</f>
        <v>33</v>
      </c>
      <c r="C699" s="24">
        <v>32.189533130703602</v>
      </c>
      <c r="D699" s="15">
        <f>(B699-C699)/B699*100</f>
        <v>2.4559602099890858</v>
      </c>
      <c r="E699" s="16" t="str">
        <f>IF(Tabla1[[#This Row],[% Error1]]&gt;$E$1,Tabla1[[#This Row],[No]],IF(Tabla1[[#This Row],[% Error1]]&lt;-$E$1,Tabla1[[#This Row],[No]],""))</f>
        <v/>
      </c>
      <c r="F699" s="16" t="str">
        <f>IF(Tabla1[[#This Row],[ID]]="","",VLOOKUP(Tabla1[[#This Row],[ID]],Tabla7[],2,FALSE))</f>
        <v/>
      </c>
      <c r="G699" s="14" t="str">
        <f>IF(Tabla1[[#This Row],[ID]]="","",VLOOKUP(Tabla1[[#This Row],[ID]],Tabla7[],36,FALSE))</f>
        <v/>
      </c>
      <c r="H699" s="16" t="str">
        <f>IF(Tabla1[[#This Row],[ID]]="","",VLOOKUP(Tabla1[[#This Row],[ID]],Tabla7[],4,FALSE))</f>
        <v/>
      </c>
      <c r="I699" s="24" t="str">
        <f>IF(Tabla1[[#This Row],[ID]]="","",VLOOKUP(Tabla1[[#This Row],[ID]],Tabla1[],4,FALSE))</f>
        <v/>
      </c>
      <c r="J699" s="16">
        <f>Tabla1[[#This Row],[CN Literatura]]-Tabla1[[#This Row],[CN Predicted]]</f>
        <v>0.81046686929639833</v>
      </c>
    </row>
    <row r="700" spans="1:10" x14ac:dyDescent="0.25">
      <c r="A700" s="1">
        <f>Desgloce!A699</f>
        <v>354</v>
      </c>
      <c r="B700" s="14">
        <f>VLOOKUP(Tabla1[[#This Row],[No]],Tabla7[],7,FALSE)</f>
        <v>33.6</v>
      </c>
      <c r="C700" s="24">
        <v>32.911936321583902</v>
      </c>
      <c r="D700" s="15">
        <f>(B700-C700)/B700*100</f>
        <v>2.0478085667145827</v>
      </c>
      <c r="E700" s="16" t="str">
        <f>IF(Tabla1[[#This Row],[% Error1]]&gt;$E$1,Tabla1[[#This Row],[No]],IF(Tabla1[[#This Row],[% Error1]]&lt;-$E$1,Tabla1[[#This Row],[No]],""))</f>
        <v/>
      </c>
      <c r="F700" s="16" t="str">
        <f>IF(Tabla1[[#This Row],[ID]]="","",VLOOKUP(Tabla1[[#This Row],[ID]],Tabla7[],2,FALSE))</f>
        <v/>
      </c>
      <c r="G700" s="14" t="str">
        <f>IF(Tabla1[[#This Row],[ID]]="","",VLOOKUP(Tabla1[[#This Row],[ID]],Tabla7[],36,FALSE))</f>
        <v/>
      </c>
      <c r="H700" s="16" t="str">
        <f>IF(Tabla1[[#This Row],[ID]]="","",VLOOKUP(Tabla1[[#This Row],[ID]],Tabla7[],4,FALSE))</f>
        <v/>
      </c>
      <c r="I700" s="16" t="str">
        <f>IF(Tabla1[[#This Row],[ID]]="","",VLOOKUP(Tabla1[[#This Row],[ID]],Tabla1[],4,FALSE))</f>
        <v/>
      </c>
      <c r="J700" s="16">
        <f>Tabla1[[#This Row],[CN Literatura]]-Tabla1[[#This Row],[CN Predicted]]</f>
        <v>0.68806367841609983</v>
      </c>
    </row>
    <row r="701" spans="1:10" x14ac:dyDescent="0.25">
      <c r="A701" s="1">
        <f>Desgloce!A700</f>
        <v>360</v>
      </c>
      <c r="B701" s="14">
        <f>VLOOKUP(Tabla1[[#This Row],[No]],Tabla7[],7,FALSE)</f>
        <v>34</v>
      </c>
      <c r="C701" s="24">
        <v>37.555550284712297</v>
      </c>
      <c r="D701" s="15">
        <f>(B701-C701)/B701*100</f>
        <v>-10.457500837389109</v>
      </c>
      <c r="E701" s="16">
        <f>IF(Tabla1[[#This Row],[% Error1]]&gt;$E$1,Tabla1[[#This Row],[No]],IF(Tabla1[[#This Row],[% Error1]]&lt;-$E$1,Tabla1[[#This Row],[No]],""))</f>
        <v>360</v>
      </c>
      <c r="F701" s="16" t="str">
        <f>IF(Tabla1[[#This Row],[ID]]="","",VLOOKUP(Tabla1[[#This Row],[ID]],Tabla7[],2,FALSE))</f>
        <v>CC[C@@H](C)C1CCCC2CCCCC12</v>
      </c>
      <c r="G701" s="14" t="str">
        <f>IF(Tabla1[[#This Row],[ID]]="","",VLOOKUP(Tabla1[[#This Row],[ID]],Tabla7[],36,FALSE))</f>
        <v>Validation</v>
      </c>
      <c r="H701" s="16" t="str">
        <f>IF(Tabla1[[#This Row],[ID]]="","",VLOOKUP(Tabla1[[#This Row],[ID]],Tabla7[],4,FALSE))</f>
        <v>Polyfunctional</v>
      </c>
      <c r="I701" s="16">
        <f>IF(Tabla1[[#This Row],[ID]]="","",VLOOKUP(Tabla1[[#This Row],[ID]],Tabla1[],4,FALSE))</f>
        <v>-10.457500837389109</v>
      </c>
      <c r="J701" s="16">
        <f>Tabla1[[#This Row],[CN Literatura]]-Tabla1[[#This Row],[CN Predicted]]</f>
        <v>-3.5555502847122966</v>
      </c>
    </row>
    <row r="702" spans="1:10" x14ac:dyDescent="0.25">
      <c r="A702" s="1">
        <f>Desgloce!A701</f>
        <v>369</v>
      </c>
      <c r="B702" s="14">
        <f>VLOOKUP(Tabla1[[#This Row],[No]],Tabla7[],7,FALSE)</f>
        <v>35.1</v>
      </c>
      <c r="C702" s="24">
        <v>36.543764383858999</v>
      </c>
      <c r="D702" s="15">
        <f>(B702-C702)/B702*100</f>
        <v>-4.1132888429031276</v>
      </c>
      <c r="E702" s="16" t="str">
        <f>IF(Tabla1[[#This Row],[% Error1]]&gt;$E$1,Tabla1[[#This Row],[No]],IF(Tabla1[[#This Row],[% Error1]]&lt;-$E$1,Tabla1[[#This Row],[No]],""))</f>
        <v/>
      </c>
      <c r="F702" s="16" t="str">
        <f>IF(Tabla1[[#This Row],[ID]]="","",VLOOKUP(Tabla1[[#This Row],[ID]],Tabla7[],2,FALSE))</f>
        <v/>
      </c>
      <c r="G702" s="14" t="str">
        <f>IF(Tabla1[[#This Row],[ID]]="","",VLOOKUP(Tabla1[[#This Row],[ID]],Tabla7[],36,FALSE))</f>
        <v/>
      </c>
      <c r="H702" s="16" t="str">
        <f>IF(Tabla1[[#This Row],[ID]]="","",VLOOKUP(Tabla1[[#This Row],[ID]],Tabla7[],4,FALSE))</f>
        <v/>
      </c>
      <c r="I702" s="16" t="str">
        <f>IF(Tabla1[[#This Row],[ID]]="","",VLOOKUP(Tabla1[[#This Row],[ID]],Tabla1[],4,FALSE))</f>
        <v/>
      </c>
      <c r="J702" s="16">
        <f>Tabla1[[#This Row],[CN Literatura]]-Tabla1[[#This Row],[CN Predicted]]</f>
        <v>-1.4437643838589977</v>
      </c>
    </row>
    <row r="703" spans="1:10" x14ac:dyDescent="0.25">
      <c r="A703" s="1">
        <f>Desgloce!A702</f>
        <v>377</v>
      </c>
      <c r="B703" s="14">
        <f>VLOOKUP(Tabla1[[#This Row],[No]],Tabla7[],7,FALSE)</f>
        <v>36</v>
      </c>
      <c r="C703" s="24">
        <v>42.067674490161501</v>
      </c>
      <c r="D703" s="15">
        <f>(B703-C703)/B703*100</f>
        <v>-16.854651361559725</v>
      </c>
      <c r="E703" s="16">
        <f>IF(Tabla1[[#This Row],[% Error1]]&gt;$E$1,Tabla1[[#This Row],[No]],IF(Tabla1[[#This Row],[% Error1]]&lt;-$E$1,Tabla1[[#This Row],[No]],""))</f>
        <v>377</v>
      </c>
      <c r="F703" s="16" t="str">
        <f>IF(Tabla1[[#This Row],[ID]]="","",VLOOKUP(Tabla1[[#This Row],[ID]],Tabla7[],2,FALSE))</f>
        <v>CCC(CCCCC)=O</v>
      </c>
      <c r="G703" s="14" t="str">
        <f>IF(Tabla1[[#This Row],[ID]]="","",VLOOKUP(Tabla1[[#This Row],[ID]],Tabla7[],36,FALSE))</f>
        <v>Validation</v>
      </c>
      <c r="H703" s="16" t="str">
        <f>IF(Tabla1[[#This Row],[ID]]="","",VLOOKUP(Tabla1[[#This Row],[ID]],Tabla7[],4,FALSE))</f>
        <v>Ketone</v>
      </c>
      <c r="I703" s="16">
        <f>IF(Tabla1[[#This Row],[ID]]="","",VLOOKUP(Tabla1[[#This Row],[ID]],Tabla1[],4,FALSE))</f>
        <v>-16.854651361559725</v>
      </c>
      <c r="J703" s="16">
        <f>Tabla1[[#This Row],[CN Literatura]]-Tabla1[[#This Row],[CN Predicted]]</f>
        <v>-6.067674490161501</v>
      </c>
    </row>
    <row r="704" spans="1:10" x14ac:dyDescent="0.25">
      <c r="A704" s="1">
        <f>Desgloce!A703</f>
        <v>393</v>
      </c>
      <c r="B704" s="14">
        <f>VLOOKUP(Tabla1[[#This Row],[No]],Tabla7[],7,FALSE)</f>
        <v>38.299999999999997</v>
      </c>
      <c r="C704" s="24">
        <v>52.114675168325803</v>
      </c>
      <c r="D704" s="15">
        <f>(B704-C704)/B704*100</f>
        <v>-36.069647959075212</v>
      </c>
      <c r="E704" s="16">
        <f>IF(Tabla1[[#This Row],[% Error1]]&gt;$E$1,Tabla1[[#This Row],[No]],IF(Tabla1[[#This Row],[% Error1]]&lt;-$E$1,Tabla1[[#This Row],[No]],""))</f>
        <v>393</v>
      </c>
      <c r="F704" s="16" t="str">
        <f>IF(Tabla1[[#This Row],[ID]]="","",VLOOKUP(Tabla1[[#This Row],[ID]],Tabla7[],2,FALSE))</f>
        <v>COC(CCCCCCCC=C)=O</v>
      </c>
      <c r="G704" s="14" t="str">
        <f>IF(Tabla1[[#This Row],[ID]]="","",VLOOKUP(Tabla1[[#This Row],[ID]],Tabla7[],36,FALSE))</f>
        <v>Validation</v>
      </c>
      <c r="H704" s="16" t="str">
        <f>IF(Tabla1[[#This Row],[ID]]="","",VLOOKUP(Tabla1[[#This Row],[ID]],Tabla7[],4,FALSE))</f>
        <v>Ester: saturated</v>
      </c>
      <c r="I704" s="16">
        <f>IF(Tabla1[[#This Row],[ID]]="","",VLOOKUP(Tabla1[[#This Row],[ID]],Tabla1[],4,FALSE))</f>
        <v>-36.069647959075212</v>
      </c>
      <c r="J704" s="16">
        <f>Tabla1[[#This Row],[CN Literatura]]-Tabla1[[#This Row],[CN Predicted]]</f>
        <v>-13.814675168325806</v>
      </c>
    </row>
    <row r="705" spans="1:10" x14ac:dyDescent="0.25">
      <c r="A705" s="1">
        <f>Desgloce!A704</f>
        <v>407</v>
      </c>
      <c r="B705" s="14">
        <f>VLOOKUP(Tabla1[[#This Row],[No]],Tabla7[],7,FALSE)</f>
        <v>39</v>
      </c>
      <c r="C705" s="24">
        <v>41.262114673569101</v>
      </c>
      <c r="D705" s="15">
        <f>(B705-C705)/B705*100</f>
        <v>-5.800294034792568</v>
      </c>
      <c r="E705" s="16" t="str">
        <f>IF(Tabla1[[#This Row],[% Error1]]&gt;$E$1,Tabla1[[#This Row],[No]],IF(Tabla1[[#This Row],[% Error1]]&lt;-$E$1,Tabla1[[#This Row],[No]],""))</f>
        <v/>
      </c>
      <c r="F705" s="16" t="str">
        <f>IF(Tabla1[[#This Row],[ID]]="","",VLOOKUP(Tabla1[[#This Row],[ID]],Tabla7[],2,FALSE))</f>
        <v/>
      </c>
      <c r="G705" s="14" t="str">
        <f>IF(Tabla1[[#This Row],[ID]]="","",VLOOKUP(Tabla1[[#This Row],[ID]],Tabla7[],36,FALSE))</f>
        <v/>
      </c>
      <c r="H705" s="16" t="str">
        <f>IF(Tabla1[[#This Row],[ID]]="","",VLOOKUP(Tabla1[[#This Row],[ID]],Tabla7[],4,FALSE))</f>
        <v/>
      </c>
      <c r="I705" s="16" t="str">
        <f>IF(Tabla1[[#This Row],[ID]]="","",VLOOKUP(Tabla1[[#This Row],[ID]],Tabla1[],4,FALSE))</f>
        <v/>
      </c>
      <c r="J705" s="16">
        <f>Tabla1[[#This Row],[CN Literatura]]-Tabla1[[#This Row],[CN Predicted]]</f>
        <v>-2.2621146735691013</v>
      </c>
    </row>
    <row r="706" spans="1:10" x14ac:dyDescent="0.25">
      <c r="A706" s="1">
        <f>Desgloce!A705</f>
        <v>432</v>
      </c>
      <c r="B706" s="14">
        <f>VLOOKUP(Tabla1[[#This Row],[No]],Tabla7[],7,FALSE)</f>
        <v>41</v>
      </c>
      <c r="C706" s="24">
        <v>41.6343821197284</v>
      </c>
      <c r="D706" s="15">
        <f>(B706-C706)/B706*100</f>
        <v>-1.5472734627521953</v>
      </c>
      <c r="E706" s="16" t="str">
        <f>IF(Tabla1[[#This Row],[% Error1]]&gt;$E$1,Tabla1[[#This Row],[No]],IF(Tabla1[[#This Row],[% Error1]]&lt;-$E$1,Tabla1[[#This Row],[No]],""))</f>
        <v/>
      </c>
      <c r="F706" s="16" t="str">
        <f>IF(Tabla1[[#This Row],[ID]]="","",VLOOKUP(Tabla1[[#This Row],[ID]],Tabla7[],2,FALSE))</f>
        <v/>
      </c>
      <c r="G706" s="14" t="str">
        <f>IF(Tabla1[[#This Row],[ID]]="","",VLOOKUP(Tabla1[[#This Row],[ID]],Tabla7[],36,FALSE))</f>
        <v/>
      </c>
      <c r="H706" s="16" t="str">
        <f>IF(Tabla1[[#This Row],[ID]]="","",VLOOKUP(Tabla1[[#This Row],[ID]],Tabla7[],4,FALSE))</f>
        <v/>
      </c>
      <c r="I706" s="16" t="str">
        <f>IF(Tabla1[[#This Row],[ID]]="","",VLOOKUP(Tabla1[[#This Row],[ID]],Tabla1[],4,FALSE))</f>
        <v/>
      </c>
      <c r="J706" s="16">
        <f>Tabla1[[#This Row],[CN Literatura]]-Tabla1[[#This Row],[CN Predicted]]</f>
        <v>-0.63438211972840008</v>
      </c>
    </row>
    <row r="707" spans="1:10" x14ac:dyDescent="0.25">
      <c r="A707" s="1">
        <f>Desgloce!A706</f>
        <v>435</v>
      </c>
      <c r="B707" s="14">
        <f>VLOOKUP(Tabla1[[#This Row],[No]],Tabla7[],7,FALSE)</f>
        <v>41</v>
      </c>
      <c r="C707" s="24">
        <v>44.939917133043302</v>
      </c>
      <c r="D707" s="15">
        <f>(B707-C707)/B707*100</f>
        <v>-9.6095539830324448</v>
      </c>
      <c r="E707" s="16" t="str">
        <f>IF(Tabla1[[#This Row],[% Error1]]&gt;$E$1,Tabla1[[#This Row],[No]],IF(Tabla1[[#This Row],[% Error1]]&lt;-$E$1,Tabla1[[#This Row],[No]],""))</f>
        <v/>
      </c>
      <c r="F707" s="16" t="str">
        <f>IF(Tabla1[[#This Row],[ID]]="","",VLOOKUP(Tabla1[[#This Row],[ID]],Tabla7[],2,FALSE))</f>
        <v/>
      </c>
      <c r="G707" s="14" t="str">
        <f>IF(Tabla1[[#This Row],[ID]]="","",VLOOKUP(Tabla1[[#This Row],[ID]],Tabla7[],36,FALSE))</f>
        <v/>
      </c>
      <c r="H707" s="16" t="str">
        <f>IF(Tabla1[[#This Row],[ID]]="","",VLOOKUP(Tabla1[[#This Row],[ID]],Tabla7[],4,FALSE))</f>
        <v/>
      </c>
      <c r="I707" s="16" t="str">
        <f>IF(Tabla1[[#This Row],[ID]]="","",VLOOKUP(Tabla1[[#This Row],[ID]],Tabla1[],4,FALSE))</f>
        <v/>
      </c>
      <c r="J707" s="16">
        <f>Tabla1[[#This Row],[CN Literatura]]-Tabla1[[#This Row],[CN Predicted]]</f>
        <v>-3.939917133043302</v>
      </c>
    </row>
    <row r="708" spans="1:10" x14ac:dyDescent="0.25">
      <c r="A708" s="1">
        <f>Desgloce!A707</f>
        <v>441</v>
      </c>
      <c r="B708" s="14">
        <f>VLOOKUP(Tabla1[[#This Row],[No]],Tabla7[],7,FALSE)</f>
        <v>42</v>
      </c>
      <c r="C708" s="24">
        <v>35.572354429750398</v>
      </c>
      <c r="D708" s="15">
        <f>(B708-C708)/B708*100</f>
        <v>15.303918024403815</v>
      </c>
      <c r="E708" s="16">
        <f>IF(Tabla1[[#This Row],[% Error1]]&gt;$E$1,Tabla1[[#This Row],[No]],IF(Tabla1[[#This Row],[% Error1]]&lt;-$E$1,Tabla1[[#This Row],[No]],""))</f>
        <v>441</v>
      </c>
      <c r="F708" s="16" t="str">
        <f>IF(Tabla1[[#This Row],[ID]]="","",VLOOKUP(Tabla1[[#This Row],[ID]],Tabla7[],2,FALSE))</f>
        <v>CCCCCCCC[C@@H](CCC)c1ccccc1</v>
      </c>
      <c r="G708" s="14" t="str">
        <f>IF(Tabla1[[#This Row],[ID]]="","",VLOOKUP(Tabla1[[#This Row],[ID]],Tabla7[],36,FALSE))</f>
        <v>Validation</v>
      </c>
      <c r="H708" s="16" t="str">
        <f>IF(Tabla1[[#This Row],[ID]]="","",VLOOKUP(Tabla1[[#This Row],[ID]],Tabla7[],4,FALSE))</f>
        <v>Aromatic</v>
      </c>
      <c r="I708" s="24">
        <f>IF(Tabla1[[#This Row],[ID]]="","",VLOOKUP(Tabla1[[#This Row],[ID]],Tabla1[],4,FALSE))</f>
        <v>15.303918024403815</v>
      </c>
      <c r="J708" s="16">
        <f>Tabla1[[#This Row],[CN Literatura]]-Tabla1[[#This Row],[CN Predicted]]</f>
        <v>6.4276455702496023</v>
      </c>
    </row>
    <row r="709" spans="1:10" x14ac:dyDescent="0.25">
      <c r="A709" s="1">
        <f>Desgloce!A708</f>
        <v>446</v>
      </c>
      <c r="B709" s="14">
        <f>VLOOKUP(Tabla1[[#This Row],[No]],Tabla7[],7,FALSE)</f>
        <v>42.2</v>
      </c>
      <c r="C709" s="24">
        <v>38.838537541527003</v>
      </c>
      <c r="D709" s="15">
        <f>(B709-C709)/B709*100</f>
        <v>7.9655508494620832</v>
      </c>
      <c r="E709" s="16" t="str">
        <f>IF(Tabla1[[#This Row],[% Error1]]&gt;$E$1,Tabla1[[#This Row],[No]],IF(Tabla1[[#This Row],[% Error1]]&lt;-$E$1,Tabla1[[#This Row],[No]],""))</f>
        <v/>
      </c>
      <c r="F709" s="16" t="str">
        <f>IF(Tabla1[[#This Row],[ID]]="","",VLOOKUP(Tabla1[[#This Row],[ID]],Tabla7[],2,FALSE))</f>
        <v/>
      </c>
      <c r="G709" s="14" t="str">
        <f>IF(Tabla1[[#This Row],[ID]]="","",VLOOKUP(Tabla1[[#This Row],[ID]],Tabla7[],36,FALSE))</f>
        <v/>
      </c>
      <c r="H709" s="16" t="str">
        <f>IF(Tabla1[[#This Row],[ID]]="","",VLOOKUP(Tabla1[[#This Row],[ID]],Tabla7[],4,FALSE))</f>
        <v/>
      </c>
      <c r="I709" s="16" t="str">
        <f>IF(Tabla1[[#This Row],[ID]]="","",VLOOKUP(Tabla1[[#This Row],[ID]],Tabla1[],4,FALSE))</f>
        <v/>
      </c>
      <c r="J709" s="16">
        <f>Tabla1[[#This Row],[CN Literatura]]-Tabla1[[#This Row],[CN Predicted]]</f>
        <v>3.3614624584729995</v>
      </c>
    </row>
    <row r="710" spans="1:10" x14ac:dyDescent="0.25">
      <c r="A710" s="1">
        <f>Desgloce!A709</f>
        <v>451</v>
      </c>
      <c r="B710" s="14">
        <f>VLOOKUP(Tabla1[[#This Row],[No]],Tabla7[],7,FALSE)</f>
        <v>42.7</v>
      </c>
      <c r="C710" s="24">
        <v>44.733812957729199</v>
      </c>
      <c r="D710" s="15">
        <f>(B710-C710)/B710*100</f>
        <v>-4.76302800404964</v>
      </c>
      <c r="E710" s="16" t="str">
        <f>IF(Tabla1[[#This Row],[% Error1]]&gt;$E$1,Tabla1[[#This Row],[No]],IF(Tabla1[[#This Row],[% Error1]]&lt;-$E$1,Tabla1[[#This Row],[No]],""))</f>
        <v/>
      </c>
      <c r="F710" s="16" t="str">
        <f>IF(Tabla1[[#This Row],[ID]]="","",VLOOKUP(Tabla1[[#This Row],[ID]],Tabla7[],2,FALSE))</f>
        <v/>
      </c>
      <c r="G710" s="14" t="str">
        <f>IF(Tabla1[[#This Row],[ID]]="","",VLOOKUP(Tabla1[[#This Row],[ID]],Tabla7[],36,FALSE))</f>
        <v/>
      </c>
      <c r="H710" s="16" t="str">
        <f>IF(Tabla1[[#This Row],[ID]]="","",VLOOKUP(Tabla1[[#This Row],[ID]],Tabla7[],4,FALSE))</f>
        <v/>
      </c>
      <c r="I710" s="16" t="str">
        <f>IF(Tabla1[[#This Row],[ID]]="","",VLOOKUP(Tabla1[[#This Row],[ID]],Tabla1[],4,FALSE))</f>
        <v/>
      </c>
      <c r="J710" s="16">
        <f>Tabla1[[#This Row],[CN Literatura]]-Tabla1[[#This Row],[CN Predicted]]</f>
        <v>-2.0338129577291966</v>
      </c>
    </row>
    <row r="711" spans="1:10" x14ac:dyDescent="0.25">
      <c r="A711" s="1">
        <f>Desgloce!A710</f>
        <v>461</v>
      </c>
      <c r="B711" s="14">
        <f>VLOOKUP(Tabla1[[#This Row],[No]],Tabla7[],7,FALSE)</f>
        <v>43</v>
      </c>
      <c r="C711" s="24">
        <v>52.894311114514998</v>
      </c>
      <c r="D711" s="15">
        <f>(B711-C711)/B711*100</f>
        <v>-23.010025847709297</v>
      </c>
      <c r="E711" s="16">
        <f>IF(Tabla1[[#This Row],[% Error1]]&gt;$E$1,Tabla1[[#This Row],[No]],IF(Tabla1[[#This Row],[% Error1]]&lt;-$E$1,Tabla1[[#This Row],[No]],""))</f>
        <v>461</v>
      </c>
      <c r="F711" s="16" t="str">
        <f>IF(Tabla1[[#This Row],[ID]]="","",VLOOKUP(Tabla1[[#This Row],[ID]],Tabla7[],2,FALSE))</f>
        <v>CCCCCC[C@H](C)/C=C\[C@@H](C)CCCCCC</v>
      </c>
      <c r="G711" s="14" t="str">
        <f>IF(Tabla1[[#This Row],[ID]]="","",VLOOKUP(Tabla1[[#This Row],[ID]],Tabla7[],36,FALSE))</f>
        <v>Validation</v>
      </c>
      <c r="H711" s="16" t="str">
        <f>IF(Tabla1[[#This Row],[ID]]="","",VLOOKUP(Tabla1[[#This Row],[ID]],Tabla7[],4,FALSE))</f>
        <v>Alkene</v>
      </c>
      <c r="I711" s="16">
        <f>IF(Tabla1[[#This Row],[ID]]="","",VLOOKUP(Tabla1[[#This Row],[ID]],Tabla1[],4,FALSE))</f>
        <v>-23.010025847709297</v>
      </c>
      <c r="J711" s="16">
        <f>Tabla1[[#This Row],[CN Literatura]]-Tabla1[[#This Row],[CN Predicted]]</f>
        <v>-9.8943111145149985</v>
      </c>
    </row>
    <row r="712" spans="1:10" x14ac:dyDescent="0.25">
      <c r="A712" s="1">
        <f>Desgloce!A711</f>
        <v>476</v>
      </c>
      <c r="B712" s="14">
        <f>VLOOKUP(Tabla1[[#This Row],[No]],Tabla7[],7,FALSE)</f>
        <v>45</v>
      </c>
      <c r="C712" s="24">
        <v>56.735045756484297</v>
      </c>
      <c r="D712" s="15">
        <f>(B712-C712)/B712*100</f>
        <v>-26.077879458853992</v>
      </c>
      <c r="E712" s="16">
        <f>IF(Tabla1[[#This Row],[% Error1]]&gt;$E$1,Tabla1[[#This Row],[No]],IF(Tabla1[[#This Row],[% Error1]]&lt;-$E$1,Tabla1[[#This Row],[No]],""))</f>
        <v>476</v>
      </c>
      <c r="F712" s="16" t="str">
        <f>IF(Tabla1[[#This Row],[ID]]="","",VLOOKUP(Tabla1[[#This Row],[ID]],Tabla7[],2,FALSE))</f>
        <v>CCCCCCC/C=C(\CCC)/CCCC</v>
      </c>
      <c r="G712" s="14" t="str">
        <f>IF(Tabla1[[#This Row],[ID]]="","",VLOOKUP(Tabla1[[#This Row],[ID]],Tabla7[],36,FALSE))</f>
        <v>Validation</v>
      </c>
      <c r="H712" s="16" t="str">
        <f>IF(Tabla1[[#This Row],[ID]]="","",VLOOKUP(Tabla1[[#This Row],[ID]],Tabla7[],4,FALSE))</f>
        <v>Alkene</v>
      </c>
      <c r="I712" s="16">
        <f>IF(Tabla1[[#This Row],[ID]]="","",VLOOKUP(Tabla1[[#This Row],[ID]],Tabla1[],4,FALSE))</f>
        <v>-26.077879458853992</v>
      </c>
      <c r="J712" s="16">
        <f>Tabla1[[#This Row],[CN Literatura]]-Tabla1[[#This Row],[CN Predicted]]</f>
        <v>-11.735045756484297</v>
      </c>
    </row>
    <row r="713" spans="1:10" x14ac:dyDescent="0.25">
      <c r="A713" s="1">
        <f>Desgloce!A712</f>
        <v>481</v>
      </c>
      <c r="B713" s="14">
        <f>VLOOKUP(Tabla1[[#This Row],[No]],Tabla7[],7,FALSE)</f>
        <v>45</v>
      </c>
      <c r="C713" s="24">
        <v>53.657730080748301</v>
      </c>
      <c r="D713" s="15">
        <f>(B713-C713)/B713*100</f>
        <v>-19.239400179440668</v>
      </c>
      <c r="E713" s="16">
        <f>IF(Tabla1[[#This Row],[% Error1]]&gt;$E$1,Tabla1[[#This Row],[No]],IF(Tabla1[[#This Row],[% Error1]]&lt;-$E$1,Tabla1[[#This Row],[No]],""))</f>
        <v>481</v>
      </c>
      <c r="F713" s="16" t="str">
        <f>IF(Tabla1[[#This Row],[ID]]="","",VLOOKUP(Tabla1[[#This Row],[ID]],Tabla7[],2,FALSE))</f>
        <v>CCCCCCC/C(=C\CCCCCC)/CCC</v>
      </c>
      <c r="G713" s="14" t="str">
        <f>IF(Tabla1[[#This Row],[ID]]="","",VLOOKUP(Tabla1[[#This Row],[ID]],Tabla7[],36,FALSE))</f>
        <v>Validation</v>
      </c>
      <c r="H713" s="16" t="str">
        <f>IF(Tabla1[[#This Row],[ID]]="","",VLOOKUP(Tabla1[[#This Row],[ID]],Tabla7[],4,FALSE))</f>
        <v>Alkene</v>
      </c>
      <c r="I713" s="16">
        <f>IF(Tabla1[[#This Row],[ID]]="","",VLOOKUP(Tabla1[[#This Row],[ID]],Tabla1[],4,FALSE))</f>
        <v>-19.239400179440668</v>
      </c>
      <c r="J713" s="16">
        <f>Tabla1[[#This Row],[CN Literatura]]-Tabla1[[#This Row],[CN Predicted]]</f>
        <v>-8.6577300807483013</v>
      </c>
    </row>
    <row r="714" spans="1:10" x14ac:dyDescent="0.25">
      <c r="A714" s="1">
        <f>Desgloce!A713</f>
        <v>485</v>
      </c>
      <c r="B714" s="14">
        <f>VLOOKUP(Tabla1[[#This Row],[No]],Tabla7[],7,FALSE)</f>
        <v>45</v>
      </c>
      <c r="C714" s="24">
        <v>57.212362387964703</v>
      </c>
      <c r="D714" s="15">
        <f>(B714-C714)/B714*100</f>
        <v>-27.138583084366008</v>
      </c>
      <c r="E714" s="16">
        <f>IF(Tabla1[[#This Row],[% Error1]]&gt;$E$1,Tabla1[[#This Row],[No]],IF(Tabla1[[#This Row],[% Error1]]&lt;-$E$1,Tabla1[[#This Row],[No]],""))</f>
        <v>485</v>
      </c>
      <c r="F714" s="16" t="str">
        <f>IF(Tabla1[[#This Row],[ID]]="","",VLOOKUP(Tabla1[[#This Row],[ID]],Tabla7[],2,FALSE))</f>
        <v>CCCCCCCC(CCCC)CCCC</v>
      </c>
      <c r="G714" s="14" t="str">
        <f>IF(Tabla1[[#This Row],[ID]]="","",VLOOKUP(Tabla1[[#This Row],[ID]],Tabla7[],36,FALSE))</f>
        <v>Validation</v>
      </c>
      <c r="H714" s="16" t="str">
        <f>IF(Tabla1[[#This Row],[ID]]="","",VLOOKUP(Tabla1[[#This Row],[ID]],Tabla7[],4,FALSE))</f>
        <v>iso-alkane</v>
      </c>
      <c r="I714" s="16">
        <f>IF(Tabla1[[#This Row],[ID]]="","",VLOOKUP(Tabla1[[#This Row],[ID]],Tabla1[],4,FALSE))</f>
        <v>-27.138583084366008</v>
      </c>
      <c r="J714" s="16">
        <f>Tabla1[[#This Row],[CN Literatura]]-Tabla1[[#This Row],[CN Predicted]]</f>
        <v>-12.212362387964703</v>
      </c>
    </row>
    <row r="715" spans="1:10" x14ac:dyDescent="0.25">
      <c r="A715" s="1">
        <f>Desgloce!A714</f>
        <v>502</v>
      </c>
      <c r="B715" s="14">
        <f>VLOOKUP(Tabla1[[#This Row],[No]],Tabla7[],7,FALSE)</f>
        <v>47</v>
      </c>
      <c r="C715" s="24">
        <v>53.073496577532097</v>
      </c>
      <c r="D715" s="15">
        <f>(B715-C715)/B715*100</f>
        <v>-12.922333143685313</v>
      </c>
      <c r="E715" s="16">
        <f>IF(Tabla1[[#This Row],[% Error1]]&gt;$E$1,Tabla1[[#This Row],[No]],IF(Tabla1[[#This Row],[% Error1]]&lt;-$E$1,Tabla1[[#This Row],[No]],""))</f>
        <v>502</v>
      </c>
      <c r="F715" s="16" t="str">
        <f>IF(Tabla1[[#This Row],[ID]]="","",VLOOKUP(Tabla1[[#This Row],[ID]],Tabla7[],2,FALSE))</f>
        <v>C(CCCCC)C(CCCCCC)=CCCCCCCC</v>
      </c>
      <c r="G715" s="14" t="str">
        <f>IF(Tabla1[[#This Row],[ID]]="","",VLOOKUP(Tabla1[[#This Row],[ID]],Tabla7[],36,FALSE))</f>
        <v>Validation</v>
      </c>
      <c r="H715" s="16" t="str">
        <f>IF(Tabla1[[#This Row],[ID]]="","",VLOOKUP(Tabla1[[#This Row],[ID]],Tabla7[],4,FALSE))</f>
        <v>Alkene</v>
      </c>
      <c r="I715" s="16">
        <f>IF(Tabla1[[#This Row],[ID]]="","",VLOOKUP(Tabla1[[#This Row],[ID]],Tabla1[],4,FALSE))</f>
        <v>-12.922333143685313</v>
      </c>
      <c r="J715" s="16">
        <f>Tabla1[[#This Row],[CN Literatura]]-Tabla1[[#This Row],[CN Predicted]]</f>
        <v>-6.0734965775320973</v>
      </c>
    </row>
    <row r="716" spans="1:10" x14ac:dyDescent="0.25">
      <c r="A716" s="1">
        <f>Desgloce!A715</f>
        <v>506</v>
      </c>
      <c r="B716" s="14">
        <f>VLOOKUP(Tabla1[[#This Row],[No]],Tabla7[],7,FALSE)</f>
        <v>47</v>
      </c>
      <c r="C716" s="24">
        <v>54.656203560611303</v>
      </c>
      <c r="D716" s="15">
        <f>(B716-C716)/B716*100</f>
        <v>-16.289794809811283</v>
      </c>
      <c r="E716" s="16">
        <f>IF(Tabla1[[#This Row],[% Error1]]&gt;$E$1,Tabla1[[#This Row],[No]],IF(Tabla1[[#This Row],[% Error1]]&lt;-$E$1,Tabla1[[#This Row],[No]],""))</f>
        <v>506</v>
      </c>
      <c r="F716" s="16" t="str">
        <f>IF(Tabla1[[#This Row],[ID]]="","",VLOOKUP(Tabla1[[#This Row],[ID]],Tabla7[],2,FALSE))</f>
        <v>CCCCCCCC(CC)CC</v>
      </c>
      <c r="G716" s="14" t="str">
        <f>IF(Tabla1[[#This Row],[ID]]="","",VLOOKUP(Tabla1[[#This Row],[ID]],Tabla7[],36,FALSE))</f>
        <v>Validation</v>
      </c>
      <c r="H716" s="16" t="str">
        <f>IF(Tabla1[[#This Row],[ID]]="","",VLOOKUP(Tabla1[[#This Row],[ID]],Tabla7[],4,FALSE))</f>
        <v>iso-alkane</v>
      </c>
      <c r="I716" s="16">
        <f>IF(Tabla1[[#This Row],[ID]]="","",VLOOKUP(Tabla1[[#This Row],[ID]],Tabla1[],4,FALSE))</f>
        <v>-16.289794809811283</v>
      </c>
      <c r="J716" s="16">
        <f>Tabla1[[#This Row],[CN Literatura]]-Tabla1[[#This Row],[CN Predicted]]</f>
        <v>-7.6562035606113028</v>
      </c>
    </row>
    <row r="717" spans="1:10" x14ac:dyDescent="0.25">
      <c r="A717" s="1">
        <f>Desgloce!A716</f>
        <v>526</v>
      </c>
      <c r="B717" s="14">
        <f>VLOOKUP(Tabla1[[#This Row],[No]],Tabla7[],7,FALSE)</f>
        <v>49</v>
      </c>
      <c r="C717" s="24">
        <v>50.692442512335397</v>
      </c>
      <c r="D717" s="15">
        <f>(B717-C717)/B717*100</f>
        <v>-3.4539643108885651</v>
      </c>
      <c r="E717" s="16" t="str">
        <f>IF(Tabla1[[#This Row],[% Error1]]&gt;$E$1,Tabla1[[#This Row],[No]],IF(Tabla1[[#This Row],[% Error1]]&lt;-$E$1,Tabla1[[#This Row],[No]],""))</f>
        <v/>
      </c>
      <c r="F717" s="16" t="str">
        <f>IF(Tabla1[[#This Row],[ID]]="","",VLOOKUP(Tabla1[[#This Row],[ID]],Tabla7[],2,FALSE))</f>
        <v/>
      </c>
      <c r="G717" s="14" t="str">
        <f>IF(Tabla1[[#This Row],[ID]]="","",VLOOKUP(Tabla1[[#This Row],[ID]],Tabla7[],36,FALSE))</f>
        <v/>
      </c>
      <c r="H717" s="16" t="str">
        <f>IF(Tabla1[[#This Row],[ID]]="","",VLOOKUP(Tabla1[[#This Row],[ID]],Tabla7[],4,FALSE))</f>
        <v/>
      </c>
      <c r="I717" s="16" t="str">
        <f>IF(Tabla1[[#This Row],[ID]]="","",VLOOKUP(Tabla1[[#This Row],[ID]],Tabla1[],4,FALSE))</f>
        <v/>
      </c>
      <c r="J717" s="16">
        <f>Tabla1[[#This Row],[CN Literatura]]-Tabla1[[#This Row],[CN Predicted]]</f>
        <v>-1.692442512335397</v>
      </c>
    </row>
    <row r="718" spans="1:10" x14ac:dyDescent="0.25">
      <c r="A718" s="1">
        <f>Desgloce!A717</f>
        <v>538</v>
      </c>
      <c r="B718" s="14">
        <f>VLOOKUP(Tabla1[[#This Row],[No]],Tabla7[],7,FALSE)</f>
        <v>51</v>
      </c>
      <c r="C718" s="24">
        <v>49.579147181228898</v>
      </c>
      <c r="D718" s="15">
        <f>(B718-C718)/B718*100</f>
        <v>2.7859859191590246</v>
      </c>
      <c r="E718" s="16" t="str">
        <f>IF(Tabla1[[#This Row],[% Error1]]&gt;$E$1,Tabla1[[#This Row],[No]],IF(Tabla1[[#This Row],[% Error1]]&lt;-$E$1,Tabla1[[#This Row],[No]],""))</f>
        <v/>
      </c>
      <c r="F718" s="16" t="str">
        <f>IF(Tabla1[[#This Row],[ID]]="","",VLOOKUP(Tabla1[[#This Row],[ID]],Tabla7[],2,FALSE))</f>
        <v/>
      </c>
      <c r="G718" s="14" t="str">
        <f>IF(Tabla1[[#This Row],[ID]]="","",VLOOKUP(Tabla1[[#This Row],[ID]],Tabla7[],36,FALSE))</f>
        <v/>
      </c>
      <c r="H718" s="16" t="str">
        <f>IF(Tabla1[[#This Row],[ID]]="","",VLOOKUP(Tabla1[[#This Row],[ID]],Tabla7[],4,FALSE))</f>
        <v/>
      </c>
      <c r="I718" s="16" t="str">
        <f>IF(Tabla1[[#This Row],[ID]]="","",VLOOKUP(Tabla1[[#This Row],[ID]],Tabla1[],4,FALSE))</f>
        <v/>
      </c>
      <c r="J718" s="16">
        <f>Tabla1[[#This Row],[CN Literatura]]-Tabla1[[#This Row],[CN Predicted]]</f>
        <v>1.4208528187711025</v>
      </c>
    </row>
    <row r="719" spans="1:10" x14ac:dyDescent="0.25">
      <c r="A719" s="1">
        <f>Desgloce!A718</f>
        <v>539</v>
      </c>
      <c r="B719" s="14">
        <f>VLOOKUP(Tabla1[[#This Row],[No]],Tabla7[],7,FALSE)</f>
        <v>51</v>
      </c>
      <c r="C719" s="24">
        <v>50.540287165958702</v>
      </c>
      <c r="D719" s="15">
        <f>(B719-C719)/B719*100</f>
        <v>0.90139771380646649</v>
      </c>
      <c r="E719" s="16" t="str">
        <f>IF(Tabla1[[#This Row],[% Error1]]&gt;$E$1,Tabla1[[#This Row],[No]],IF(Tabla1[[#This Row],[% Error1]]&lt;-$E$1,Tabla1[[#This Row],[No]],""))</f>
        <v/>
      </c>
      <c r="F719" s="16" t="str">
        <f>IF(Tabla1[[#This Row],[ID]]="","",VLOOKUP(Tabla1[[#This Row],[ID]],Tabla7[],2,FALSE))</f>
        <v/>
      </c>
      <c r="G719" s="14" t="str">
        <f>IF(Tabla1[[#This Row],[ID]]="","",VLOOKUP(Tabla1[[#This Row],[ID]],Tabla7[],36,FALSE))</f>
        <v/>
      </c>
      <c r="H719" s="16" t="str">
        <f>IF(Tabla1[[#This Row],[ID]]="","",VLOOKUP(Tabla1[[#This Row],[ID]],Tabla7[],4,FALSE))</f>
        <v/>
      </c>
      <c r="I719" s="16" t="str">
        <f>IF(Tabla1[[#This Row],[ID]]="","",VLOOKUP(Tabla1[[#This Row],[ID]],Tabla1[],4,FALSE))</f>
        <v/>
      </c>
      <c r="J719" s="16">
        <f>Tabla1[[#This Row],[CN Literatura]]-Tabla1[[#This Row],[CN Predicted]]</f>
        <v>0.45971283404129792</v>
      </c>
    </row>
    <row r="720" spans="1:10" x14ac:dyDescent="0.25">
      <c r="A720" s="1">
        <f>Desgloce!A719</f>
        <v>544</v>
      </c>
      <c r="B720" s="14">
        <f>VLOOKUP(Tabla1[[#This Row],[No]],Tabla7[],7,FALSE)</f>
        <v>51</v>
      </c>
      <c r="C720" s="24">
        <v>50.074488388180598</v>
      </c>
      <c r="D720" s="15">
        <f>(B720-C720)/B720*100</f>
        <v>1.8147286506262794</v>
      </c>
      <c r="E720" s="16" t="str">
        <f>IF(Tabla1[[#This Row],[% Error1]]&gt;$E$1,Tabla1[[#This Row],[No]],IF(Tabla1[[#This Row],[% Error1]]&lt;-$E$1,Tabla1[[#This Row],[No]],""))</f>
        <v/>
      </c>
      <c r="F720" s="16" t="str">
        <f>IF(Tabla1[[#This Row],[ID]]="","",VLOOKUP(Tabla1[[#This Row],[ID]],Tabla7[],2,FALSE))</f>
        <v/>
      </c>
      <c r="G720" s="14" t="str">
        <f>IF(Tabla1[[#This Row],[ID]]="","",VLOOKUP(Tabla1[[#This Row],[ID]],Tabla7[],36,FALSE))</f>
        <v/>
      </c>
      <c r="H720" s="16" t="str">
        <f>IF(Tabla1[[#This Row],[ID]]="","",VLOOKUP(Tabla1[[#This Row],[ID]],Tabla7[],4,FALSE))</f>
        <v/>
      </c>
      <c r="I720" s="16" t="str">
        <f>IF(Tabla1[[#This Row],[ID]]="","",VLOOKUP(Tabla1[[#This Row],[ID]],Tabla1[],4,FALSE))</f>
        <v/>
      </c>
      <c r="J720" s="16">
        <f>Tabla1[[#This Row],[CN Literatura]]-Tabla1[[#This Row],[CN Predicted]]</f>
        <v>0.92551161181940245</v>
      </c>
    </row>
    <row r="721" spans="1:10" x14ac:dyDescent="0.25">
      <c r="A721" s="1">
        <f>Desgloce!A720</f>
        <v>554</v>
      </c>
      <c r="B721" s="14">
        <f>VLOOKUP(Tabla1[[#This Row],[No]],Tabla7[],7,FALSE)</f>
        <v>53</v>
      </c>
      <c r="C721" s="24">
        <v>53.594121600923302</v>
      </c>
      <c r="D721" s="15">
        <f>(B721-C721)/B721*100</f>
        <v>-1.1209841526854749</v>
      </c>
      <c r="E721" s="16" t="str">
        <f>IF(Tabla1[[#This Row],[% Error1]]&gt;$E$1,Tabla1[[#This Row],[No]],IF(Tabla1[[#This Row],[% Error1]]&lt;-$E$1,Tabla1[[#This Row],[No]],""))</f>
        <v/>
      </c>
      <c r="F721" s="16" t="str">
        <f>IF(Tabla1[[#This Row],[ID]]="","",VLOOKUP(Tabla1[[#This Row],[ID]],Tabla7[],2,FALSE))</f>
        <v/>
      </c>
      <c r="G721" s="14" t="str">
        <f>IF(Tabla1[[#This Row],[ID]]="","",VLOOKUP(Tabla1[[#This Row],[ID]],Tabla7[],36,FALSE))</f>
        <v/>
      </c>
      <c r="H721" s="16" t="str">
        <f>IF(Tabla1[[#This Row],[ID]]="","",VLOOKUP(Tabla1[[#This Row],[ID]],Tabla7[],4,FALSE))</f>
        <v/>
      </c>
      <c r="I721" s="16" t="str">
        <f>IF(Tabla1[[#This Row],[ID]]="","",VLOOKUP(Tabla1[[#This Row],[ID]],Tabla1[],4,FALSE))</f>
        <v/>
      </c>
      <c r="J721" s="16">
        <f>Tabla1[[#This Row],[CN Literatura]]-Tabla1[[#This Row],[CN Predicted]]</f>
        <v>-0.59412160092330168</v>
      </c>
    </row>
    <row r="722" spans="1:10" x14ac:dyDescent="0.25">
      <c r="A722" s="1">
        <f>Desgloce!A721</f>
        <v>557</v>
      </c>
      <c r="B722" s="14">
        <f>VLOOKUP(Tabla1[[#This Row],[No]],Tabla7[],7,FALSE)</f>
        <v>53.2</v>
      </c>
      <c r="C722" s="24">
        <v>58.084668799689901</v>
      </c>
      <c r="D722" s="15">
        <f>(B722-C722)/B722*100</f>
        <v>-9.1817082700937931</v>
      </c>
      <c r="E722" s="16" t="str">
        <f>IF(Tabla1[[#This Row],[% Error1]]&gt;$E$1,Tabla1[[#This Row],[No]],IF(Tabla1[[#This Row],[% Error1]]&lt;-$E$1,Tabla1[[#This Row],[No]],""))</f>
        <v/>
      </c>
      <c r="F722" s="16" t="str">
        <f>IF(Tabla1[[#This Row],[ID]]="","",VLOOKUP(Tabla1[[#This Row],[ID]],Tabla7[],2,FALSE))</f>
        <v/>
      </c>
      <c r="G722" s="14" t="str">
        <f>IF(Tabla1[[#This Row],[ID]]="","",VLOOKUP(Tabla1[[#This Row],[ID]],Tabla7[],36,FALSE))</f>
        <v/>
      </c>
      <c r="H722" s="16" t="str">
        <f>IF(Tabla1[[#This Row],[ID]]="","",VLOOKUP(Tabla1[[#This Row],[ID]],Tabla7[],4,FALSE))</f>
        <v/>
      </c>
      <c r="I722" s="16" t="str">
        <f>IF(Tabla1[[#This Row],[ID]]="","",VLOOKUP(Tabla1[[#This Row],[ID]],Tabla1[],4,FALSE))</f>
        <v/>
      </c>
      <c r="J722" s="16">
        <f>Tabla1[[#This Row],[CN Literatura]]-Tabla1[[#This Row],[CN Predicted]]</f>
        <v>-4.8846687996898979</v>
      </c>
    </row>
    <row r="723" spans="1:10" x14ac:dyDescent="0.25">
      <c r="A723" s="1">
        <f>Desgloce!A722</f>
        <v>558</v>
      </c>
      <c r="B723" s="14">
        <f>VLOOKUP(Tabla1[[#This Row],[No]],Tabla7[],7,FALSE)</f>
        <v>53.9</v>
      </c>
      <c r="C723" s="24">
        <v>58.210040715419602</v>
      </c>
      <c r="D723" s="15">
        <f>(B723-C723)/B723*100</f>
        <v>-7.9963649636727334</v>
      </c>
      <c r="E723" s="16" t="str">
        <f>IF(Tabla1[[#This Row],[% Error1]]&gt;$E$1,Tabla1[[#This Row],[No]],IF(Tabla1[[#This Row],[% Error1]]&lt;-$E$1,Tabla1[[#This Row],[No]],""))</f>
        <v/>
      </c>
      <c r="F723" s="16" t="str">
        <f>IF(Tabla1[[#This Row],[ID]]="","",VLOOKUP(Tabla1[[#This Row],[ID]],Tabla7[],2,FALSE))</f>
        <v/>
      </c>
      <c r="G723" s="14" t="str">
        <f>IF(Tabla1[[#This Row],[ID]]="","",VLOOKUP(Tabla1[[#This Row],[ID]],Tabla7[],36,FALSE))</f>
        <v/>
      </c>
      <c r="H723" s="16" t="str">
        <f>IF(Tabla1[[#This Row],[ID]]="","",VLOOKUP(Tabla1[[#This Row],[ID]],Tabla7[],4,FALSE))</f>
        <v/>
      </c>
      <c r="I723" s="16" t="str">
        <f>IF(Tabla1[[#This Row],[ID]]="","",VLOOKUP(Tabla1[[#This Row],[ID]],Tabla1[],4,FALSE))</f>
        <v/>
      </c>
      <c r="J723" s="16">
        <f>Tabla1[[#This Row],[CN Literatura]]-Tabla1[[#This Row],[CN Predicted]]</f>
        <v>-4.3100407154196034</v>
      </c>
    </row>
    <row r="724" spans="1:10" x14ac:dyDescent="0.25">
      <c r="A724" s="1">
        <f>Desgloce!A723</f>
        <v>563</v>
      </c>
      <c r="B724" s="14">
        <f>VLOOKUP(Tabla1[[#This Row],[No]],Tabla7[],7,FALSE)</f>
        <v>55.5</v>
      </c>
      <c r="C724" s="24">
        <v>54.207112984930802</v>
      </c>
      <c r="D724" s="15">
        <f>(B724-C724)/B724*100</f>
        <v>2.329526153277834</v>
      </c>
      <c r="E724" s="16" t="str">
        <f>IF(Tabla1[[#This Row],[% Error1]]&gt;$E$1,Tabla1[[#This Row],[No]],IF(Tabla1[[#This Row],[% Error1]]&lt;-$E$1,Tabla1[[#This Row],[No]],""))</f>
        <v/>
      </c>
      <c r="F724" s="16" t="str">
        <f>IF(Tabla1[[#This Row],[ID]]="","",VLOOKUP(Tabla1[[#This Row],[ID]],Tabla7[],2,FALSE))</f>
        <v/>
      </c>
      <c r="G724" s="14" t="str">
        <f>IF(Tabla1[[#This Row],[ID]]="","",VLOOKUP(Tabla1[[#This Row],[ID]],Tabla7[],36,FALSE))</f>
        <v/>
      </c>
      <c r="H724" s="16" t="str">
        <f>IF(Tabla1[[#This Row],[ID]]="","",VLOOKUP(Tabla1[[#This Row],[ID]],Tabla7[],4,FALSE))</f>
        <v/>
      </c>
      <c r="I724" s="16" t="str">
        <f>IF(Tabla1[[#This Row],[ID]]="","",VLOOKUP(Tabla1[[#This Row],[ID]],Tabla1[],4,FALSE))</f>
        <v/>
      </c>
      <c r="J724" s="16">
        <f>Tabla1[[#This Row],[CN Literatura]]-Tabla1[[#This Row],[CN Predicted]]</f>
        <v>1.2928870150691978</v>
      </c>
    </row>
    <row r="725" spans="1:10" x14ac:dyDescent="0.25">
      <c r="A725" s="1">
        <f>Desgloce!A724</f>
        <v>580</v>
      </c>
      <c r="B725" s="14">
        <f>VLOOKUP(Tabla1[[#This Row],[No]],Tabla7[],7,FALSE)</f>
        <v>57</v>
      </c>
      <c r="C725" s="24">
        <v>35.818866000087397</v>
      </c>
      <c r="D725" s="15">
        <f>(B725-C725)/B725*100</f>
        <v>37.159884210372987</v>
      </c>
      <c r="E725" s="16">
        <f>IF(Tabla1[[#This Row],[% Error1]]&gt;$E$1,Tabla1[[#This Row],[No]],IF(Tabla1[[#This Row],[% Error1]]&lt;-$E$1,Tabla1[[#This Row],[No]],""))</f>
        <v>580</v>
      </c>
      <c r="F725" s="16" t="str">
        <f>IF(Tabla1[[#This Row],[ID]]="","",VLOOKUP(Tabla1[[#This Row],[ID]],Tabla7[],2,FALSE))</f>
        <v>CCCCCCCCCCCC[C@@H](C)C1CCCCC1</v>
      </c>
      <c r="G725" s="14" t="str">
        <f>IF(Tabla1[[#This Row],[ID]]="","",VLOOKUP(Tabla1[[#This Row],[ID]],Tabla7[],36,FALSE))</f>
        <v>Validation</v>
      </c>
      <c r="H725" s="16" t="str">
        <f>IF(Tabla1[[#This Row],[ID]]="","",VLOOKUP(Tabla1[[#This Row],[ID]],Tabla7[],4,FALSE))</f>
        <v>Polyfunctional</v>
      </c>
      <c r="I725" s="16">
        <f>IF(Tabla1[[#This Row],[ID]]="","",VLOOKUP(Tabla1[[#This Row],[ID]],Tabla1[],4,FALSE))</f>
        <v>37.159884210372987</v>
      </c>
      <c r="J725" s="16">
        <f>Tabla1[[#This Row],[CN Literatura]]-Tabla1[[#This Row],[CN Predicted]]</f>
        <v>21.181133999912603</v>
      </c>
    </row>
    <row r="726" spans="1:10" x14ac:dyDescent="0.25">
      <c r="A726" s="1">
        <f>Desgloce!A725</f>
        <v>590</v>
      </c>
      <c r="B726" s="14">
        <f>VLOOKUP(Tabla1[[#This Row],[No]],Tabla7[],7,FALSE)</f>
        <v>58</v>
      </c>
      <c r="C726" s="24">
        <v>58.440752720012298</v>
      </c>
      <c r="D726" s="15">
        <f>(B726-C726)/B726*100</f>
        <v>-0.75991848277982499</v>
      </c>
      <c r="E726" s="16" t="str">
        <f>IF(Tabla1[[#This Row],[% Error1]]&gt;$E$1,Tabla1[[#This Row],[No]],IF(Tabla1[[#This Row],[% Error1]]&lt;-$E$1,Tabla1[[#This Row],[No]],""))</f>
        <v/>
      </c>
      <c r="F726" s="16" t="str">
        <f>IF(Tabla1[[#This Row],[ID]]="","",VLOOKUP(Tabla1[[#This Row],[ID]],Tabla7[],2,FALSE))</f>
        <v/>
      </c>
      <c r="G726" s="14" t="str">
        <f>IF(Tabla1[[#This Row],[ID]]="","",VLOOKUP(Tabla1[[#This Row],[ID]],Tabla7[],36,FALSE))</f>
        <v/>
      </c>
      <c r="H726" s="16" t="str">
        <f>IF(Tabla1[[#This Row],[ID]]="","",VLOOKUP(Tabla1[[#This Row],[ID]],Tabla7[],4,FALSE))</f>
        <v/>
      </c>
      <c r="I726" s="16" t="str">
        <f>IF(Tabla1[[#This Row],[ID]]="","",VLOOKUP(Tabla1[[#This Row],[ID]],Tabla1[],4,FALSE))</f>
        <v/>
      </c>
      <c r="J726" s="16">
        <f>Tabla1[[#This Row],[CN Literatura]]-Tabla1[[#This Row],[CN Predicted]]</f>
        <v>-0.44075272001229848</v>
      </c>
    </row>
    <row r="727" spans="1:10" x14ac:dyDescent="0.25">
      <c r="A727" s="1">
        <f>Desgloce!A726</f>
        <v>618</v>
      </c>
      <c r="B727" s="14">
        <f>VLOOKUP(Tabla1[[#This Row],[No]],Tabla7[],7,FALSE)</f>
        <v>63</v>
      </c>
      <c r="C727" s="24">
        <v>65.840167872814902</v>
      </c>
      <c r="D727" s="15">
        <f>(B727-C727)/B727*100</f>
        <v>-4.5082029727220672</v>
      </c>
      <c r="E727" s="16" t="str">
        <f>IF(Tabla1[[#This Row],[% Error1]]&gt;$E$1,Tabla1[[#This Row],[No]],IF(Tabla1[[#This Row],[% Error1]]&lt;-$E$1,Tabla1[[#This Row],[No]],""))</f>
        <v/>
      </c>
      <c r="F727" s="16" t="str">
        <f>IF(Tabla1[[#This Row],[ID]]="","",VLOOKUP(Tabla1[[#This Row],[ID]],Tabla7[],2,FALSE))</f>
        <v/>
      </c>
      <c r="G727" s="14" t="str">
        <f>IF(Tabla1[[#This Row],[ID]]="","",VLOOKUP(Tabla1[[#This Row],[ID]],Tabla7[],36,FALSE))</f>
        <v/>
      </c>
      <c r="H727" s="16" t="str">
        <f>IF(Tabla1[[#This Row],[ID]]="","",VLOOKUP(Tabla1[[#This Row],[ID]],Tabla7[],4,FALSE))</f>
        <v/>
      </c>
      <c r="I727" s="16" t="str">
        <f>IF(Tabla1[[#This Row],[ID]]="","",VLOOKUP(Tabla1[[#This Row],[ID]],Tabla1[],4,FALSE))</f>
        <v/>
      </c>
      <c r="J727" s="16">
        <f>Tabla1[[#This Row],[CN Literatura]]-Tabla1[[#This Row],[CN Predicted]]</f>
        <v>-2.8401678728149022</v>
      </c>
    </row>
    <row r="728" spans="1:10" x14ac:dyDescent="0.25">
      <c r="A728" s="1">
        <f>Desgloce!A727</f>
        <v>624</v>
      </c>
      <c r="B728" s="14">
        <f>VLOOKUP(Tabla1[[#This Row],[No]],Tabla7[],7,FALSE)</f>
        <v>65.900000000000006</v>
      </c>
      <c r="C728" s="24">
        <v>79.611679218463095</v>
      </c>
      <c r="D728" s="15">
        <f>(B728-C728)/B728*100</f>
        <v>-20.806796993115462</v>
      </c>
      <c r="E728" s="16">
        <f>IF(Tabla1[[#This Row],[% Error1]]&gt;$E$1,Tabla1[[#This Row],[No]],IF(Tabla1[[#This Row],[% Error1]]&lt;-$E$1,Tabla1[[#This Row],[No]],""))</f>
        <v>624</v>
      </c>
      <c r="F728" s="16" t="str">
        <f>IF(Tabla1[[#This Row],[ID]]="","",VLOOKUP(Tabla1[[#This Row],[ID]],Tabla7[],2,FALSE))</f>
        <v>CCCCCCCCCCCCCCO</v>
      </c>
      <c r="G728" s="14" t="str">
        <f>IF(Tabla1[[#This Row],[ID]]="","",VLOOKUP(Tabla1[[#This Row],[ID]],Tabla7[],36,FALSE))</f>
        <v>Validation</v>
      </c>
      <c r="H728" s="16" t="str">
        <f>IF(Tabla1[[#This Row],[ID]]="","",VLOOKUP(Tabla1[[#This Row],[ID]],Tabla7[],4,FALSE))</f>
        <v>Alcohol</v>
      </c>
      <c r="I728" s="16">
        <f>IF(Tabla1[[#This Row],[ID]]="","",VLOOKUP(Tabla1[[#This Row],[ID]],Tabla1[],4,FALSE))</f>
        <v>-20.806796993115462</v>
      </c>
      <c r="J728" s="16">
        <f>Tabla1[[#This Row],[CN Literatura]]-Tabla1[[#This Row],[CN Predicted]]</f>
        <v>-13.71167921846309</v>
      </c>
    </row>
    <row r="729" spans="1:10" x14ac:dyDescent="0.25">
      <c r="A729" s="1">
        <f>Desgloce!A728</f>
        <v>640</v>
      </c>
      <c r="B729" s="14">
        <f>VLOOKUP(Tabla1[[#This Row],[No]],Tabla7[],7,FALSE)</f>
        <v>68</v>
      </c>
      <c r="C729" s="24">
        <v>70.796782277414096</v>
      </c>
      <c r="D729" s="15">
        <f>(B729-C729)/B729*100</f>
        <v>-4.1129151138442577</v>
      </c>
      <c r="E729" s="16" t="str">
        <f>IF(Tabla1[[#This Row],[% Error1]]&gt;$E$1,Tabla1[[#This Row],[No]],IF(Tabla1[[#This Row],[% Error1]]&lt;-$E$1,Tabla1[[#This Row],[No]],""))</f>
        <v/>
      </c>
      <c r="F729" s="16" t="str">
        <f>IF(Tabla1[[#This Row],[ID]]="","",VLOOKUP(Tabla1[[#This Row],[ID]],Tabla7[],2,FALSE))</f>
        <v/>
      </c>
      <c r="G729" s="14" t="str">
        <f>IF(Tabla1[[#This Row],[ID]]="","",VLOOKUP(Tabla1[[#This Row],[ID]],Tabla7[],36,FALSE))</f>
        <v/>
      </c>
      <c r="H729" s="16" t="str">
        <f>IF(Tabla1[[#This Row],[ID]]="","",VLOOKUP(Tabla1[[#This Row],[ID]],Tabla7[],4,FALSE))</f>
        <v/>
      </c>
      <c r="I729" s="16" t="str">
        <f>IF(Tabla1[[#This Row],[ID]]="","",VLOOKUP(Tabla1[[#This Row],[ID]],Tabla1[],4,FALSE))</f>
        <v/>
      </c>
      <c r="J729" s="16">
        <f>Tabla1[[#This Row],[CN Literatura]]-Tabla1[[#This Row],[CN Predicted]]</f>
        <v>-2.7967822774140956</v>
      </c>
    </row>
    <row r="730" spans="1:10" x14ac:dyDescent="0.25">
      <c r="A730" s="1">
        <f>Desgloce!A729</f>
        <v>653</v>
      </c>
      <c r="B730" s="14">
        <f>VLOOKUP(Tabla1[[#This Row],[No]],Tabla7[],7,FALSE)</f>
        <v>72</v>
      </c>
      <c r="C730" s="24">
        <v>70.286979831338996</v>
      </c>
      <c r="D730" s="15">
        <f>(B730-C730)/B730*100</f>
        <v>2.3791946786958382</v>
      </c>
      <c r="E730" s="16" t="str">
        <f>IF(Tabla1[[#This Row],[% Error1]]&gt;$E$1,Tabla1[[#This Row],[No]],IF(Tabla1[[#This Row],[% Error1]]&lt;-$E$1,Tabla1[[#This Row],[No]],""))</f>
        <v/>
      </c>
      <c r="F730" s="16" t="str">
        <f>IF(Tabla1[[#This Row],[ID]]="","",VLOOKUP(Tabla1[[#This Row],[ID]],Tabla7[],2,FALSE))</f>
        <v/>
      </c>
      <c r="G730" s="14" t="str">
        <f>IF(Tabla1[[#This Row],[ID]]="","",VLOOKUP(Tabla1[[#This Row],[ID]],Tabla7[],36,FALSE))</f>
        <v/>
      </c>
      <c r="H730" s="16" t="str">
        <f>IF(Tabla1[[#This Row],[ID]]="","",VLOOKUP(Tabla1[[#This Row],[ID]],Tabla7[],4,FALSE))</f>
        <v/>
      </c>
      <c r="I730" s="24" t="str">
        <f>IF(Tabla1[[#This Row],[ID]]="","",VLOOKUP(Tabla1[[#This Row],[ID]],Tabla1[],4,FALSE))</f>
        <v/>
      </c>
      <c r="J730" s="16">
        <f>Tabla1[[#This Row],[CN Literatura]]-Tabla1[[#This Row],[CN Predicted]]</f>
        <v>1.7130201686610036</v>
      </c>
    </row>
    <row r="731" spans="1:10" x14ac:dyDescent="0.25">
      <c r="A731" s="1">
        <f>Desgloce!A730</f>
        <v>657</v>
      </c>
      <c r="B731" s="14">
        <f>VLOOKUP(Tabla1[[#This Row],[No]],Tabla7[],7,FALSE)</f>
        <v>72</v>
      </c>
      <c r="C731" s="24">
        <v>72.0464162917594</v>
      </c>
      <c r="D731" s="15">
        <f>(B731-C731)/B731*100</f>
        <v>-6.4467071888054922E-2</v>
      </c>
      <c r="E731" s="16" t="str">
        <f>IF(Tabla1[[#This Row],[% Error1]]&gt;$E$1,Tabla1[[#This Row],[No]],IF(Tabla1[[#This Row],[% Error1]]&lt;-$E$1,Tabla1[[#This Row],[No]],""))</f>
        <v/>
      </c>
      <c r="F731" s="16" t="str">
        <f>IF(Tabla1[[#This Row],[ID]]="","",VLOOKUP(Tabla1[[#This Row],[ID]],Tabla7[],2,FALSE))</f>
        <v/>
      </c>
      <c r="G731" s="14" t="str">
        <f>IF(Tabla1[[#This Row],[ID]]="","",VLOOKUP(Tabla1[[#This Row],[ID]],Tabla7[],36,FALSE))</f>
        <v/>
      </c>
      <c r="H731" s="16" t="str">
        <f>IF(Tabla1[[#This Row],[ID]]="","",VLOOKUP(Tabla1[[#This Row],[ID]],Tabla7[],4,FALSE))</f>
        <v/>
      </c>
      <c r="I731" s="16" t="str">
        <f>IF(Tabla1[[#This Row],[ID]]="","",VLOOKUP(Tabla1[[#This Row],[ID]],Tabla1[],4,FALSE))</f>
        <v/>
      </c>
      <c r="J731" s="16">
        <f>Tabla1[[#This Row],[CN Literatura]]-Tabla1[[#This Row],[CN Predicted]]</f>
        <v>-4.6416291759399542E-2</v>
      </c>
    </row>
    <row r="732" spans="1:10" x14ac:dyDescent="0.25">
      <c r="A732" s="1">
        <f>Desgloce!A731</f>
        <v>667</v>
      </c>
      <c r="B732" s="14">
        <f>VLOOKUP(Tabla1[[#This Row],[No]],Tabla7[],7,FALSE)</f>
        <v>75.2</v>
      </c>
      <c r="C732" s="24">
        <v>78.236155089876405</v>
      </c>
      <c r="D732" s="15">
        <f>(B732-C732)/B732*100</f>
        <v>-4.0374402790909603</v>
      </c>
      <c r="E732" s="16" t="str">
        <f>IF(Tabla1[[#This Row],[% Error1]]&gt;$E$1,Tabla1[[#This Row],[No]],IF(Tabla1[[#This Row],[% Error1]]&lt;-$E$1,Tabla1[[#This Row],[No]],""))</f>
        <v/>
      </c>
      <c r="F732" s="16" t="str">
        <f>IF(Tabla1[[#This Row],[ID]]="","",VLOOKUP(Tabla1[[#This Row],[ID]],Tabla7[],2,FALSE))</f>
        <v/>
      </c>
      <c r="G732" s="14" t="str">
        <f>IF(Tabla1[[#This Row],[ID]]="","",VLOOKUP(Tabla1[[#This Row],[ID]],Tabla7[],36,FALSE))</f>
        <v/>
      </c>
      <c r="H732" s="16" t="str">
        <f>IF(Tabla1[[#This Row],[ID]]="","",VLOOKUP(Tabla1[[#This Row],[ID]],Tabla7[],4,FALSE))</f>
        <v/>
      </c>
      <c r="I732" s="16" t="str">
        <f>IF(Tabla1[[#This Row],[ID]]="","",VLOOKUP(Tabla1[[#This Row],[ID]],Tabla1[],4,FALSE))</f>
        <v/>
      </c>
      <c r="J732" s="16">
        <f>Tabla1[[#This Row],[CN Literatura]]-Tabla1[[#This Row],[CN Predicted]]</f>
        <v>-3.0361550898764023</v>
      </c>
    </row>
    <row r="733" spans="1:10" x14ac:dyDescent="0.25">
      <c r="A733" s="1">
        <f>Desgloce!A732</f>
        <v>677</v>
      </c>
      <c r="B733" s="14">
        <f>VLOOKUP(Tabla1[[#This Row],[No]],Tabla7[],7,FALSE)</f>
        <v>80.7</v>
      </c>
      <c r="C733" s="24">
        <v>65.840167872814902</v>
      </c>
      <c r="D733" s="15">
        <f>(B733-C733)/B733*100</f>
        <v>18.413670541741141</v>
      </c>
      <c r="E733" s="16">
        <f>IF(Tabla1[[#This Row],[% Error1]]&gt;$E$1,Tabla1[[#This Row],[No]],IF(Tabla1[[#This Row],[% Error1]]&lt;-$E$1,Tabla1[[#This Row],[No]],""))</f>
        <v>677</v>
      </c>
      <c r="F733" s="16" t="str">
        <f>IF(Tabla1[[#This Row],[ID]]="","",VLOOKUP(Tabla1[[#This Row],[ID]],Tabla7[],2,FALSE))</f>
        <v>COCCOCCOCCO</v>
      </c>
      <c r="G733" s="14" t="str">
        <f>IF(Tabla1[[#This Row],[ID]]="","",VLOOKUP(Tabla1[[#This Row],[ID]],Tabla7[],36,FALSE))</f>
        <v>Validation</v>
      </c>
      <c r="H733" s="16" t="str">
        <f>IF(Tabla1[[#This Row],[ID]]="","",VLOOKUP(Tabla1[[#This Row],[ID]],Tabla7[],4,FALSE))</f>
        <v>Polyfunctional</v>
      </c>
      <c r="I733" s="16">
        <f>IF(Tabla1[[#This Row],[ID]]="","",VLOOKUP(Tabla1[[#This Row],[ID]],Tabla1[],4,FALSE))</f>
        <v>18.413670541741141</v>
      </c>
      <c r="J733" s="16">
        <f>Tabla1[[#This Row],[CN Literatura]]-Tabla1[[#This Row],[CN Predicted]]</f>
        <v>14.859832127185101</v>
      </c>
    </row>
    <row r="734" spans="1:10" x14ac:dyDescent="0.25">
      <c r="A734" s="1">
        <f>Desgloce!A733</f>
        <v>678</v>
      </c>
      <c r="B734" s="14">
        <f>VLOOKUP(Tabla1[[#This Row],[No]],Tabla7[],7,FALSE)</f>
        <v>80.8</v>
      </c>
      <c r="C734" s="24">
        <v>81.715952116135497</v>
      </c>
      <c r="D734" s="15">
        <f>(B734-C734)/B734*100</f>
        <v>-1.1336041041280944</v>
      </c>
      <c r="E734" s="16" t="str">
        <f>IF(Tabla1[[#This Row],[% Error1]]&gt;$E$1,Tabla1[[#This Row],[No]],IF(Tabla1[[#This Row],[% Error1]]&lt;-$E$1,Tabla1[[#This Row],[No]],""))</f>
        <v/>
      </c>
      <c r="F734" s="16" t="str">
        <f>IF(Tabla1[[#This Row],[ID]]="","",VLOOKUP(Tabla1[[#This Row],[ID]],Tabla7[],2,FALSE))</f>
        <v/>
      </c>
      <c r="G734" s="14" t="str">
        <f>IF(Tabla1[[#This Row],[ID]]="","",VLOOKUP(Tabla1[[#This Row],[ID]],Tabla7[],36,FALSE))</f>
        <v/>
      </c>
      <c r="H734" s="16" t="str">
        <f>IF(Tabla1[[#This Row],[ID]]="","",VLOOKUP(Tabla1[[#This Row],[ID]],Tabla7[],4,FALSE))</f>
        <v/>
      </c>
      <c r="I734" s="16" t="str">
        <f>IF(Tabla1[[#This Row],[ID]]="","",VLOOKUP(Tabla1[[#This Row],[ID]],Tabla1[],4,FALSE))</f>
        <v/>
      </c>
      <c r="J734" s="16">
        <f>Tabla1[[#This Row],[CN Literatura]]-Tabla1[[#This Row],[CN Predicted]]</f>
        <v>-0.91595211613550021</v>
      </c>
    </row>
    <row r="735" spans="1:10" x14ac:dyDescent="0.25">
      <c r="A735" s="1">
        <f>Desgloce!A734</f>
        <v>693</v>
      </c>
      <c r="B735" s="14">
        <f>VLOOKUP(Tabla1[[#This Row],[No]],Tabla7[],7,FALSE)</f>
        <v>84</v>
      </c>
      <c r="C735" s="24">
        <v>80.429822234898893</v>
      </c>
      <c r="D735" s="15">
        <f>(B735-C735)/B735*100</f>
        <v>4.2502116251203654</v>
      </c>
      <c r="E735" s="16" t="str">
        <f>IF(Tabla1[[#This Row],[% Error1]]&gt;$E$1,Tabla1[[#This Row],[No]],IF(Tabla1[[#This Row],[% Error1]]&lt;-$E$1,Tabla1[[#This Row],[No]],""))</f>
        <v/>
      </c>
      <c r="F735" s="16" t="str">
        <f>IF(Tabla1[[#This Row],[ID]]="","",VLOOKUP(Tabla1[[#This Row],[ID]],Tabla7[],2,FALSE))</f>
        <v/>
      </c>
      <c r="G735" s="14" t="str">
        <f>IF(Tabla1[[#This Row],[ID]]="","",VLOOKUP(Tabla1[[#This Row],[ID]],Tabla7[],36,FALSE))</f>
        <v/>
      </c>
      <c r="H735" s="16" t="str">
        <f>IF(Tabla1[[#This Row],[ID]]="","",VLOOKUP(Tabla1[[#This Row],[ID]],Tabla7[],4,FALSE))</f>
        <v/>
      </c>
      <c r="I735" s="16" t="str">
        <f>IF(Tabla1[[#This Row],[ID]]="","",VLOOKUP(Tabla1[[#This Row],[ID]],Tabla1[],4,FALSE))</f>
        <v/>
      </c>
      <c r="J735" s="16">
        <f>Tabla1[[#This Row],[CN Literatura]]-Tabla1[[#This Row],[CN Predicted]]</f>
        <v>3.5701777651011071</v>
      </c>
    </row>
    <row r="736" spans="1:10" x14ac:dyDescent="0.25">
      <c r="A736" s="1">
        <f>Desgloce!A735</f>
        <v>696</v>
      </c>
      <c r="B736" s="14">
        <f>VLOOKUP(Tabla1[[#This Row],[No]],Tabla7[],7,FALSE)</f>
        <v>85</v>
      </c>
      <c r="C736" s="24">
        <v>81.447257329483605</v>
      </c>
      <c r="D736" s="15">
        <f>(B736-C736)/B736*100</f>
        <v>4.1796972594310526</v>
      </c>
      <c r="E736" s="16" t="str">
        <f>IF(Tabla1[[#This Row],[% Error1]]&gt;$E$1,Tabla1[[#This Row],[No]],IF(Tabla1[[#This Row],[% Error1]]&lt;-$E$1,Tabla1[[#This Row],[No]],""))</f>
        <v/>
      </c>
      <c r="F736" s="16" t="str">
        <f>IF(Tabla1[[#This Row],[ID]]="","",VLOOKUP(Tabla1[[#This Row],[ID]],Tabla7[],2,FALSE))</f>
        <v/>
      </c>
      <c r="G736" s="14" t="str">
        <f>IF(Tabla1[[#This Row],[ID]]="","",VLOOKUP(Tabla1[[#This Row],[ID]],Tabla7[],36,FALSE))</f>
        <v/>
      </c>
      <c r="H736" s="16" t="str">
        <f>IF(Tabla1[[#This Row],[ID]]="","",VLOOKUP(Tabla1[[#This Row],[ID]],Tabla7[],4,FALSE))</f>
        <v/>
      </c>
      <c r="I736" s="16" t="str">
        <f>IF(Tabla1[[#This Row],[ID]]="","",VLOOKUP(Tabla1[[#This Row],[ID]],Tabla1[],4,FALSE))</f>
        <v/>
      </c>
      <c r="J736" s="16">
        <f>Tabla1[[#This Row],[CN Literatura]]-Tabla1[[#This Row],[CN Predicted]]</f>
        <v>3.5527426705163947</v>
      </c>
    </row>
    <row r="737" spans="1:10" x14ac:dyDescent="0.25">
      <c r="A737" s="1">
        <f>Desgloce!A736</f>
        <v>713</v>
      </c>
      <c r="B737" s="14">
        <f>VLOOKUP(Tabla1[[#This Row],[No]],Tabla7[],7,FALSE)</f>
        <v>88.2</v>
      </c>
      <c r="C737" s="24">
        <v>89.476137935401795</v>
      </c>
      <c r="D737" s="15">
        <f>(B737-C737)/B737*100</f>
        <v>-1.4468684074850249</v>
      </c>
      <c r="E737" s="16" t="str">
        <f>IF(Tabla1[[#This Row],[% Error1]]&gt;$E$1,Tabla1[[#This Row],[No]],IF(Tabla1[[#This Row],[% Error1]]&lt;-$E$1,Tabla1[[#This Row],[No]],""))</f>
        <v/>
      </c>
      <c r="F737" s="16" t="str">
        <f>IF(Tabla1[[#This Row],[ID]]="","",VLOOKUP(Tabla1[[#This Row],[ID]],Tabla7[],2,FALSE))</f>
        <v/>
      </c>
      <c r="G737" s="14" t="str">
        <f>IF(Tabla1[[#This Row],[ID]]="","",VLOOKUP(Tabla1[[#This Row],[ID]],Tabla7[],36,FALSE))</f>
        <v/>
      </c>
      <c r="H737" s="16" t="str">
        <f>IF(Tabla1[[#This Row],[ID]]="","",VLOOKUP(Tabla1[[#This Row],[ID]],Tabla7[],4,FALSE))</f>
        <v/>
      </c>
      <c r="I737" s="16" t="str">
        <f>IF(Tabla1[[#This Row],[ID]]="","",VLOOKUP(Tabla1[[#This Row],[ID]],Tabla1[],4,FALSE))</f>
        <v/>
      </c>
      <c r="J737" s="16">
        <f>Tabla1[[#This Row],[CN Literatura]]-Tabla1[[#This Row],[CN Predicted]]</f>
        <v>-1.2761379354017919</v>
      </c>
    </row>
    <row r="738" spans="1:10" x14ac:dyDescent="0.25">
      <c r="A738" s="1">
        <f>Desgloce!A737</f>
        <v>731</v>
      </c>
      <c r="B738" s="14">
        <f>VLOOKUP(Tabla1[[#This Row],[No]],Tabla7[],7,FALSE)</f>
        <v>99.8</v>
      </c>
      <c r="C738" s="24">
        <v>98.946946662965004</v>
      </c>
      <c r="D738" s="15">
        <f>(B738-C738)/B738*100</f>
        <v>0.85476286276051394</v>
      </c>
      <c r="E738" s="16" t="str">
        <f>IF(Tabla1[[#This Row],[% Error1]]&gt;$E$1,Tabla1[[#This Row],[No]],IF(Tabla1[[#This Row],[% Error1]]&lt;-$E$1,Tabla1[[#This Row],[No]],""))</f>
        <v/>
      </c>
      <c r="F738" s="16" t="str">
        <f>IF(Tabla1[[#This Row],[ID]]="","",VLOOKUP(Tabla1[[#This Row],[ID]],Tabla7[],2,FALSE))</f>
        <v/>
      </c>
      <c r="G738" s="14" t="str">
        <f>IF(Tabla1[[#This Row],[ID]]="","",VLOOKUP(Tabla1[[#This Row],[ID]],Tabla7[],36,FALSE))</f>
        <v/>
      </c>
      <c r="H738" s="16" t="str">
        <f>IF(Tabla1[[#This Row],[ID]]="","",VLOOKUP(Tabla1[[#This Row],[ID]],Tabla7[],4,FALSE))</f>
        <v/>
      </c>
      <c r="I738" s="16" t="str">
        <f>IF(Tabla1[[#This Row],[ID]]="","",VLOOKUP(Tabla1[[#This Row],[ID]],Tabla1[],4,FALSE))</f>
        <v/>
      </c>
      <c r="J738" s="16">
        <f>Tabla1[[#This Row],[CN Literatura]]-Tabla1[[#This Row],[CN Predicted]]</f>
        <v>0.85305333703499286</v>
      </c>
    </row>
    <row r="739" spans="1:10" x14ac:dyDescent="0.25">
      <c r="A739" s="1">
        <f>Desgloce!A738</f>
        <v>733</v>
      </c>
      <c r="B739" s="14">
        <f>VLOOKUP(Tabla1[[#This Row],[No]],Tabla7[],7,FALSE)</f>
        <v>100</v>
      </c>
      <c r="C739" s="24">
        <f>VLOOKUP(Tabla1[[#This Row],[No]],Tabla7[],8,FALSE)</f>
        <v>0</v>
      </c>
      <c r="D739" s="15">
        <f>(B739-C739)/B739*100</f>
        <v>100</v>
      </c>
      <c r="E739" s="14">
        <f>IF(Tabla1[[#This Row],[% Error1]]&gt;$E$1,Tabla1[[#This Row],[No]],IF(Tabla1[[#This Row],[% Error1]]&lt;-$E$1,Tabla1[[#This Row],[No]],""))</f>
        <v>733</v>
      </c>
      <c r="F739" s="14" t="str">
        <f>IF(Tabla1[[#This Row],[ID]]="","",VLOOKUP(Tabla1[[#This Row],[ID]],Tabla7[],2,FALSE))</f>
        <v>CCCCCCCCCCCC(=O)OC(COC(=O)CCCCCCCCCCC)COC(=O)CCCCCCCCCCC</v>
      </c>
      <c r="G739" s="14" t="str">
        <f>IF(Tabla1[[#This Row],[ID]]="","",VLOOKUP(Tabla1[[#This Row],[ID]],Tabla7[],36,FALSE))</f>
        <v>Validation</v>
      </c>
      <c r="H739" s="14" t="str">
        <f>IF(Tabla1[[#This Row],[ID]]="","",VLOOKUP(Tabla1[[#This Row],[ID]],Tabla7[],4,FALSE))</f>
        <v>Ester</v>
      </c>
      <c r="I739" s="16">
        <f>IF(Tabla1[[#This Row],[ID]]="","",VLOOKUP(Tabla1[[#This Row],[ID]],Tabla1[],4,FALSE))</f>
        <v>100</v>
      </c>
      <c r="J739" s="16">
        <f>Tabla1[[#This Row],[CN Literatura]]-Tabla1[[#This Row],[CN Predicted]]</f>
        <v>100</v>
      </c>
    </row>
  </sheetData>
  <mergeCells count="2">
    <mergeCell ref="C1:D1"/>
    <mergeCell ref="F1:G1"/>
  </mergeCells>
  <phoneticPr fontId="5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0E205-985B-4923-9C57-3C0152FA690F}">
  <dimension ref="B2:L72"/>
  <sheetViews>
    <sheetView topLeftCell="B3" workbookViewId="0">
      <selection activeCell="L8" sqref="L8"/>
    </sheetView>
  </sheetViews>
  <sheetFormatPr baseColWidth="10" defaultRowHeight="15" x14ac:dyDescent="0.25"/>
  <cols>
    <col min="3" max="3" width="39.5703125" bestFit="1" customWidth="1"/>
    <col min="5" max="5" width="15.140625" bestFit="1" customWidth="1"/>
    <col min="6" max="6" width="12.7109375" bestFit="1" customWidth="1"/>
    <col min="8" max="8" width="16.140625" bestFit="1" customWidth="1"/>
  </cols>
  <sheetData>
    <row r="2" spans="2:12" ht="15.75" thickBot="1" x14ac:dyDescent="0.3"/>
    <row r="3" spans="2:12" ht="15.75" thickBot="1" x14ac:dyDescent="0.3">
      <c r="B3" s="39" t="s">
        <v>9</v>
      </c>
      <c r="C3" s="49" t="s">
        <v>22</v>
      </c>
      <c r="D3" s="49" t="s">
        <v>23</v>
      </c>
      <c r="E3" s="49" t="s">
        <v>24</v>
      </c>
      <c r="F3" s="49" t="s">
        <v>25</v>
      </c>
      <c r="G3" s="39" t="s">
        <v>26</v>
      </c>
      <c r="H3" s="39" t="s">
        <v>27</v>
      </c>
      <c r="I3" s="39" t="s">
        <v>28</v>
      </c>
    </row>
    <row r="4" spans="2:12" x14ac:dyDescent="0.25">
      <c r="B4" s="6" t="s">
        <v>13</v>
      </c>
      <c r="C4" s="6">
        <v>102</v>
      </c>
      <c r="D4" s="6">
        <v>71</v>
      </c>
      <c r="E4" s="6">
        <v>10</v>
      </c>
      <c r="F4" s="6">
        <v>21</v>
      </c>
      <c r="G4" s="6">
        <v>102</v>
      </c>
      <c r="H4" s="6">
        <v>165</v>
      </c>
      <c r="I4" s="6">
        <v>266</v>
      </c>
    </row>
    <row r="5" spans="2:12" ht="15.75" thickBot="1" x14ac:dyDescent="0.3"/>
    <row r="6" spans="2:12" ht="15.75" thickBot="1" x14ac:dyDescent="0.3">
      <c r="B6" s="51" t="s">
        <v>6</v>
      </c>
      <c r="C6" s="39" t="s">
        <v>915</v>
      </c>
      <c r="D6" s="39" t="s">
        <v>1254</v>
      </c>
      <c r="E6" s="39" t="s">
        <v>2193</v>
      </c>
      <c r="F6" s="39" t="s">
        <v>2194</v>
      </c>
      <c r="G6" s="39" t="s">
        <v>31</v>
      </c>
      <c r="H6" s="39" t="s">
        <v>32</v>
      </c>
      <c r="I6" s="39" t="s">
        <v>37</v>
      </c>
      <c r="K6" s="52" t="s">
        <v>2195</v>
      </c>
      <c r="L6" s="52"/>
    </row>
    <row r="7" spans="2:12" x14ac:dyDescent="0.25">
      <c r="B7">
        <v>9</v>
      </c>
      <c r="C7">
        <v>2</v>
      </c>
      <c r="D7">
        <v>9.7002181061580206</v>
      </c>
      <c r="E7">
        <v>9</v>
      </c>
      <c r="F7" t="s">
        <v>651</v>
      </c>
      <c r="G7" t="s">
        <v>25</v>
      </c>
      <c r="H7" t="s">
        <v>13</v>
      </c>
      <c r="I7">
        <v>-385.01090530790106</v>
      </c>
      <c r="K7" t="s">
        <v>31</v>
      </c>
      <c r="L7" t="s">
        <v>2196</v>
      </c>
    </row>
    <row r="8" spans="2:12" x14ac:dyDescent="0.25">
      <c r="B8">
        <v>13</v>
      </c>
      <c r="C8">
        <v>3</v>
      </c>
      <c r="D8">
        <v>1.2914873517046399</v>
      </c>
      <c r="E8">
        <v>13</v>
      </c>
      <c r="F8" t="s">
        <v>670</v>
      </c>
      <c r="G8" t="s">
        <v>25</v>
      </c>
      <c r="H8" t="s">
        <v>13</v>
      </c>
      <c r="I8">
        <v>56.950421609845336</v>
      </c>
      <c r="K8" t="s">
        <v>33</v>
      </c>
      <c r="L8">
        <f>COUNTIF($G$7:$G$86,K8)</f>
        <v>40</v>
      </c>
    </row>
    <row r="9" spans="2:12" x14ac:dyDescent="0.25">
      <c r="B9">
        <v>26</v>
      </c>
      <c r="C9">
        <v>6</v>
      </c>
      <c r="D9">
        <v>8.9233408083525401</v>
      </c>
      <c r="E9">
        <v>26</v>
      </c>
      <c r="F9" t="s">
        <v>1878</v>
      </c>
      <c r="G9" t="s">
        <v>25</v>
      </c>
      <c r="H9" t="s">
        <v>13</v>
      </c>
      <c r="I9">
        <v>-48.722346805875667</v>
      </c>
      <c r="K9" t="s">
        <v>34</v>
      </c>
      <c r="L9">
        <f t="shared" ref="L9:L10" si="0">COUNTIF($G$7:$G$86,K9)</f>
        <v>9</v>
      </c>
    </row>
    <row r="10" spans="2:12" x14ac:dyDescent="0.25">
      <c r="B10">
        <v>34</v>
      </c>
      <c r="C10">
        <v>6.3</v>
      </c>
      <c r="D10">
        <v>10.4734502627644</v>
      </c>
      <c r="E10">
        <v>34</v>
      </c>
      <c r="F10" t="s">
        <v>1865</v>
      </c>
      <c r="G10" t="s">
        <v>25</v>
      </c>
      <c r="H10" t="s">
        <v>13</v>
      </c>
      <c r="I10">
        <v>-66.245242266101585</v>
      </c>
      <c r="K10" t="s">
        <v>25</v>
      </c>
      <c r="L10">
        <f t="shared" si="0"/>
        <v>17</v>
      </c>
    </row>
    <row r="11" spans="2:12" x14ac:dyDescent="0.25">
      <c r="B11">
        <v>46</v>
      </c>
      <c r="C11">
        <v>7.6</v>
      </c>
      <c r="D11">
        <v>3.1768230408659899</v>
      </c>
      <c r="E11">
        <v>46</v>
      </c>
      <c r="F11" t="s">
        <v>1887</v>
      </c>
      <c r="G11" t="s">
        <v>25</v>
      </c>
      <c r="H11" t="s">
        <v>13</v>
      </c>
      <c r="I11">
        <v>58.199696830710657</v>
      </c>
    </row>
    <row r="12" spans="2:12" x14ac:dyDescent="0.25">
      <c r="B12">
        <v>49</v>
      </c>
      <c r="C12">
        <v>8</v>
      </c>
      <c r="D12">
        <v>3.6333416664510798</v>
      </c>
      <c r="E12">
        <v>49</v>
      </c>
      <c r="F12" t="s">
        <v>827</v>
      </c>
      <c r="G12" t="s">
        <v>25</v>
      </c>
      <c r="H12" t="s">
        <v>13</v>
      </c>
      <c r="I12">
        <v>54.583229169361502</v>
      </c>
    </row>
    <row r="13" spans="2:12" x14ac:dyDescent="0.25">
      <c r="B13">
        <v>64</v>
      </c>
      <c r="C13">
        <v>8.9</v>
      </c>
      <c r="D13">
        <v>4.6200206534048203</v>
      </c>
      <c r="E13">
        <v>64</v>
      </c>
      <c r="F13" t="s">
        <v>667</v>
      </c>
      <c r="G13" t="s">
        <v>25</v>
      </c>
      <c r="H13" t="s">
        <v>13</v>
      </c>
      <c r="I13">
        <v>48.089655579721125</v>
      </c>
    </row>
    <row r="14" spans="2:12" x14ac:dyDescent="0.25">
      <c r="B14">
        <v>68</v>
      </c>
      <c r="C14">
        <v>9</v>
      </c>
      <c r="D14">
        <v>4.0155028971640601</v>
      </c>
      <c r="E14">
        <v>68</v>
      </c>
      <c r="F14" t="s">
        <v>872</v>
      </c>
      <c r="G14" t="s">
        <v>25</v>
      </c>
      <c r="H14" t="s">
        <v>13</v>
      </c>
      <c r="I14">
        <v>55.383301142621555</v>
      </c>
    </row>
    <row r="15" spans="2:12" x14ac:dyDescent="0.25">
      <c r="B15">
        <v>148</v>
      </c>
      <c r="C15">
        <v>18</v>
      </c>
      <c r="D15">
        <v>26.211231576776001</v>
      </c>
      <c r="E15">
        <v>148</v>
      </c>
      <c r="F15" t="s">
        <v>878</v>
      </c>
      <c r="G15" t="s">
        <v>25</v>
      </c>
      <c r="H15" t="s">
        <v>13</v>
      </c>
      <c r="I15">
        <v>-45.617953204311121</v>
      </c>
    </row>
    <row r="16" spans="2:12" x14ac:dyDescent="0.25">
      <c r="B16">
        <v>153</v>
      </c>
      <c r="C16">
        <v>18</v>
      </c>
      <c r="D16">
        <v>27.478064738542599</v>
      </c>
      <c r="E16">
        <v>153</v>
      </c>
      <c r="F16" t="s">
        <v>828</v>
      </c>
      <c r="G16" t="s">
        <v>25</v>
      </c>
      <c r="H16" t="s">
        <v>13</v>
      </c>
      <c r="I16">
        <v>-52.65591521412555</v>
      </c>
    </row>
    <row r="17" spans="2:9" x14ac:dyDescent="0.25">
      <c r="B17">
        <v>157</v>
      </c>
      <c r="C17">
        <v>18</v>
      </c>
      <c r="D17">
        <v>20.842614771887401</v>
      </c>
      <c r="E17">
        <v>157</v>
      </c>
      <c r="F17" t="s">
        <v>1885</v>
      </c>
      <c r="G17" t="s">
        <v>25</v>
      </c>
      <c r="H17" t="s">
        <v>13</v>
      </c>
      <c r="I17">
        <v>-15.79230428826334</v>
      </c>
    </row>
    <row r="18" spans="2:9" x14ac:dyDescent="0.25">
      <c r="B18">
        <v>236</v>
      </c>
      <c r="C18">
        <v>23</v>
      </c>
      <c r="D18">
        <v>16.227016498180198</v>
      </c>
      <c r="E18">
        <v>236</v>
      </c>
      <c r="F18" t="s">
        <v>865</v>
      </c>
      <c r="G18" t="s">
        <v>25</v>
      </c>
      <c r="H18" t="s">
        <v>13</v>
      </c>
      <c r="I18">
        <v>29.447754355738269</v>
      </c>
    </row>
    <row r="19" spans="2:9" x14ac:dyDescent="0.25">
      <c r="B19">
        <v>238</v>
      </c>
      <c r="C19">
        <v>23</v>
      </c>
      <c r="D19">
        <v>17.085626809199098</v>
      </c>
      <c r="E19">
        <v>238</v>
      </c>
      <c r="F19" t="s">
        <v>1893</v>
      </c>
      <c r="G19" t="s">
        <v>25</v>
      </c>
      <c r="H19" t="s">
        <v>13</v>
      </c>
      <c r="I19">
        <v>25.714666046960446</v>
      </c>
    </row>
    <row r="20" spans="2:9" x14ac:dyDescent="0.25">
      <c r="B20">
        <v>366</v>
      </c>
      <c r="C20">
        <v>35</v>
      </c>
      <c r="D20">
        <v>31.154083913072601</v>
      </c>
      <c r="E20">
        <v>366</v>
      </c>
      <c r="F20" t="s">
        <v>663</v>
      </c>
      <c r="G20" t="s">
        <v>25</v>
      </c>
      <c r="H20" t="s">
        <v>13</v>
      </c>
      <c r="I20">
        <v>10.988331676935427</v>
      </c>
    </row>
    <row r="21" spans="2:9" x14ac:dyDescent="0.25">
      <c r="B21">
        <v>417</v>
      </c>
      <c r="C21">
        <v>39.79</v>
      </c>
      <c r="D21">
        <v>-3.4439445375114399</v>
      </c>
      <c r="E21">
        <v>417</v>
      </c>
      <c r="F21" t="s">
        <v>660</v>
      </c>
      <c r="G21" t="s">
        <v>25</v>
      </c>
      <c r="H21" t="s">
        <v>13</v>
      </c>
      <c r="I21">
        <v>108.65530167758592</v>
      </c>
    </row>
    <row r="22" spans="2:9" x14ac:dyDescent="0.25">
      <c r="B22">
        <v>541</v>
      </c>
      <c r="C22">
        <v>51</v>
      </c>
      <c r="D22">
        <v>40.123390564611697</v>
      </c>
      <c r="E22">
        <v>541</v>
      </c>
      <c r="F22" t="s">
        <v>662</v>
      </c>
      <c r="G22" t="s">
        <v>25</v>
      </c>
      <c r="H22" t="s">
        <v>13</v>
      </c>
      <c r="I22">
        <v>21.326685167428046</v>
      </c>
    </row>
    <row r="23" spans="2:9" x14ac:dyDescent="0.25">
      <c r="B23">
        <v>543</v>
      </c>
      <c r="C23">
        <v>51</v>
      </c>
      <c r="D23">
        <v>40.402474163173501</v>
      </c>
      <c r="E23">
        <v>543</v>
      </c>
      <c r="F23" t="s">
        <v>1281</v>
      </c>
      <c r="G23" t="s">
        <v>25</v>
      </c>
      <c r="H23" t="s">
        <v>13</v>
      </c>
      <c r="I23">
        <v>20.779462425149998</v>
      </c>
    </row>
    <row r="24" spans="2:9" x14ac:dyDescent="0.25">
      <c r="B24">
        <v>5</v>
      </c>
      <c r="C24">
        <v>1</v>
      </c>
      <c r="D24">
        <v>10.0233089930218</v>
      </c>
      <c r="E24">
        <v>5</v>
      </c>
      <c r="F24" t="s">
        <v>1274</v>
      </c>
      <c r="G24" t="s">
        <v>33</v>
      </c>
      <c r="H24" t="s">
        <v>13</v>
      </c>
      <c r="I24">
        <v>-902.33089930218</v>
      </c>
    </row>
    <row r="25" spans="2:9" x14ac:dyDescent="0.25">
      <c r="B25">
        <v>6</v>
      </c>
      <c r="C25">
        <v>1</v>
      </c>
      <c r="D25">
        <v>3.1528035380278299</v>
      </c>
      <c r="E25">
        <v>6</v>
      </c>
      <c r="F25" t="s">
        <v>1275</v>
      </c>
      <c r="G25" t="s">
        <v>33</v>
      </c>
      <c r="H25" t="s">
        <v>13</v>
      </c>
      <c r="I25">
        <v>-215.280353802783</v>
      </c>
    </row>
    <row r="26" spans="2:9" x14ac:dyDescent="0.25">
      <c r="B26">
        <v>7</v>
      </c>
      <c r="C26">
        <v>1</v>
      </c>
      <c r="D26">
        <v>5.8014908191975296</v>
      </c>
      <c r="E26">
        <v>7</v>
      </c>
      <c r="F26" t="s">
        <v>1880</v>
      </c>
      <c r="G26" t="s">
        <v>33</v>
      </c>
      <c r="H26" t="s">
        <v>13</v>
      </c>
      <c r="I26">
        <v>-480.14908191975297</v>
      </c>
    </row>
    <row r="27" spans="2:9" x14ac:dyDescent="0.25">
      <c r="B27">
        <v>8</v>
      </c>
      <c r="C27">
        <v>2</v>
      </c>
      <c r="D27">
        <v>6.1940918105268903</v>
      </c>
      <c r="E27">
        <v>8</v>
      </c>
      <c r="F27" t="s">
        <v>574</v>
      </c>
      <c r="G27" t="s">
        <v>33</v>
      </c>
      <c r="H27" t="s">
        <v>13</v>
      </c>
      <c r="I27">
        <v>-209.7045905263445</v>
      </c>
    </row>
    <row r="28" spans="2:9" x14ac:dyDescent="0.25">
      <c r="B28">
        <v>10</v>
      </c>
      <c r="C28">
        <v>2</v>
      </c>
      <c r="D28">
        <v>8.3010024421890591</v>
      </c>
      <c r="E28">
        <v>10</v>
      </c>
      <c r="F28" t="s">
        <v>1883</v>
      </c>
      <c r="G28" t="s">
        <v>33</v>
      </c>
      <c r="H28" t="s">
        <v>13</v>
      </c>
      <c r="I28">
        <v>-315.05012210945296</v>
      </c>
    </row>
    <row r="29" spans="2:9" x14ac:dyDescent="0.25">
      <c r="B29">
        <v>11</v>
      </c>
      <c r="C29">
        <v>2.8</v>
      </c>
      <c r="D29">
        <v>1.1644304232609199</v>
      </c>
      <c r="E29">
        <v>11</v>
      </c>
      <c r="F29" t="s">
        <v>668</v>
      </c>
      <c r="G29" t="s">
        <v>33</v>
      </c>
      <c r="H29" t="s">
        <v>13</v>
      </c>
      <c r="I29">
        <v>58.413199169252863</v>
      </c>
    </row>
    <row r="30" spans="2:9" x14ac:dyDescent="0.25">
      <c r="B30">
        <v>14</v>
      </c>
      <c r="C30">
        <v>4</v>
      </c>
      <c r="D30">
        <v>0.958886671304093</v>
      </c>
      <c r="E30">
        <v>14</v>
      </c>
      <c r="F30" t="s">
        <v>1879</v>
      </c>
      <c r="G30" t="s">
        <v>33</v>
      </c>
      <c r="H30" t="s">
        <v>13</v>
      </c>
      <c r="I30">
        <v>76.027833217397671</v>
      </c>
    </row>
    <row r="31" spans="2:9" x14ac:dyDescent="0.25">
      <c r="B31">
        <v>15</v>
      </c>
      <c r="C31">
        <v>4.09</v>
      </c>
      <c r="D31">
        <v>10.9009074113485</v>
      </c>
      <c r="E31">
        <v>15</v>
      </c>
      <c r="F31" t="s">
        <v>659</v>
      </c>
      <c r="G31" t="s">
        <v>33</v>
      </c>
      <c r="H31" t="s">
        <v>13</v>
      </c>
      <c r="I31">
        <v>-166.52585357820294</v>
      </c>
    </row>
    <row r="32" spans="2:9" x14ac:dyDescent="0.25">
      <c r="B32">
        <v>21</v>
      </c>
      <c r="C32">
        <v>6</v>
      </c>
      <c r="D32">
        <v>8.7077828155162198</v>
      </c>
      <c r="E32">
        <v>21</v>
      </c>
      <c r="F32" t="s">
        <v>653</v>
      </c>
      <c r="G32" t="s">
        <v>33</v>
      </c>
      <c r="H32" t="s">
        <v>13</v>
      </c>
      <c r="I32">
        <v>-45.129713591936998</v>
      </c>
    </row>
    <row r="33" spans="2:9" x14ac:dyDescent="0.25">
      <c r="B33">
        <v>23</v>
      </c>
      <c r="C33">
        <v>6</v>
      </c>
      <c r="D33">
        <v>8.7077828155162198</v>
      </c>
      <c r="E33">
        <v>23</v>
      </c>
      <c r="F33" t="s">
        <v>1286</v>
      </c>
      <c r="G33" t="s">
        <v>33</v>
      </c>
      <c r="H33" t="s">
        <v>13</v>
      </c>
      <c r="I33">
        <v>-45.129713591936998</v>
      </c>
    </row>
    <row r="34" spans="2:9" x14ac:dyDescent="0.25">
      <c r="B34">
        <v>33</v>
      </c>
      <c r="C34">
        <v>6.2</v>
      </c>
      <c r="D34">
        <v>7.3474392861164599</v>
      </c>
      <c r="E34">
        <v>33</v>
      </c>
      <c r="F34" t="s">
        <v>1992</v>
      </c>
      <c r="G34" t="s">
        <v>33</v>
      </c>
      <c r="H34" t="s">
        <v>13</v>
      </c>
      <c r="I34">
        <v>-18.507085259942897</v>
      </c>
    </row>
    <row r="35" spans="2:9" x14ac:dyDescent="0.25">
      <c r="B35">
        <v>39</v>
      </c>
      <c r="C35">
        <v>7</v>
      </c>
      <c r="D35">
        <v>7.9251210373041197</v>
      </c>
      <c r="E35">
        <v>39</v>
      </c>
      <c r="F35" t="s">
        <v>650</v>
      </c>
      <c r="G35" t="s">
        <v>33</v>
      </c>
      <c r="H35" t="s">
        <v>13</v>
      </c>
      <c r="I35">
        <v>-13.216014818630281</v>
      </c>
    </row>
    <row r="36" spans="2:9" x14ac:dyDescent="0.25">
      <c r="B36">
        <v>40</v>
      </c>
      <c r="C36">
        <v>7</v>
      </c>
      <c r="D36">
        <v>7.8388610922268303</v>
      </c>
      <c r="E36">
        <v>40</v>
      </c>
      <c r="F36" t="s">
        <v>1287</v>
      </c>
      <c r="G36" t="s">
        <v>33</v>
      </c>
      <c r="H36" t="s">
        <v>13</v>
      </c>
      <c r="I36">
        <v>-11.983729888954718</v>
      </c>
    </row>
    <row r="37" spans="2:9" x14ac:dyDescent="0.25">
      <c r="B37">
        <v>41</v>
      </c>
      <c r="C37">
        <v>7</v>
      </c>
      <c r="D37">
        <v>7.8388610922268303</v>
      </c>
      <c r="E37">
        <v>41</v>
      </c>
      <c r="F37" t="s">
        <v>1289</v>
      </c>
      <c r="G37" t="s">
        <v>33</v>
      </c>
      <c r="H37" t="s">
        <v>13</v>
      </c>
      <c r="I37">
        <v>-11.983729888954718</v>
      </c>
    </row>
    <row r="38" spans="2:9" x14ac:dyDescent="0.25">
      <c r="B38">
        <v>42</v>
      </c>
      <c r="C38">
        <v>7</v>
      </c>
      <c r="D38">
        <v>5.8458932985564704</v>
      </c>
      <c r="E38">
        <v>42</v>
      </c>
      <c r="F38" t="s">
        <v>1996</v>
      </c>
      <c r="G38" t="s">
        <v>33</v>
      </c>
      <c r="H38" t="s">
        <v>13</v>
      </c>
      <c r="I38">
        <v>16.487238592050421</v>
      </c>
    </row>
    <row r="39" spans="2:9" x14ac:dyDescent="0.25">
      <c r="B39">
        <v>48</v>
      </c>
      <c r="C39">
        <v>8</v>
      </c>
      <c r="D39">
        <v>13.4936983472048</v>
      </c>
      <c r="E39">
        <v>48</v>
      </c>
      <c r="F39" t="s">
        <v>879</v>
      </c>
      <c r="G39" t="s">
        <v>33</v>
      </c>
      <c r="H39" t="s">
        <v>13</v>
      </c>
      <c r="I39">
        <v>-68.671229340060009</v>
      </c>
    </row>
    <row r="40" spans="2:9" x14ac:dyDescent="0.25">
      <c r="B40">
        <v>50</v>
      </c>
      <c r="C40">
        <v>8</v>
      </c>
      <c r="D40">
        <v>1.80928133506149</v>
      </c>
      <c r="E40">
        <v>50</v>
      </c>
      <c r="F40" t="s">
        <v>1273</v>
      </c>
      <c r="G40" t="s">
        <v>33</v>
      </c>
      <c r="H40" t="s">
        <v>13</v>
      </c>
      <c r="I40">
        <v>77.38398331173137</v>
      </c>
    </row>
    <row r="41" spans="2:9" x14ac:dyDescent="0.25">
      <c r="B41">
        <v>51</v>
      </c>
      <c r="C41">
        <v>8</v>
      </c>
      <c r="D41">
        <v>2.3104299007704601</v>
      </c>
      <c r="E41">
        <v>51</v>
      </c>
      <c r="F41" t="s">
        <v>1873</v>
      </c>
      <c r="G41" t="s">
        <v>33</v>
      </c>
      <c r="H41" t="s">
        <v>13</v>
      </c>
      <c r="I41">
        <v>71.119626240369243</v>
      </c>
    </row>
    <row r="42" spans="2:9" x14ac:dyDescent="0.25">
      <c r="B42">
        <v>54</v>
      </c>
      <c r="C42">
        <v>8.1</v>
      </c>
      <c r="D42">
        <v>7.0467122711653598</v>
      </c>
      <c r="E42">
        <v>54</v>
      </c>
      <c r="F42" t="s">
        <v>1889</v>
      </c>
      <c r="G42" t="s">
        <v>33</v>
      </c>
      <c r="H42" t="s">
        <v>13</v>
      </c>
      <c r="I42">
        <v>13.003552207835058</v>
      </c>
    </row>
    <row r="43" spans="2:9" x14ac:dyDescent="0.25">
      <c r="B43">
        <v>56</v>
      </c>
      <c r="C43">
        <v>8.3000000000000007</v>
      </c>
      <c r="D43">
        <v>5.9640414061333402</v>
      </c>
      <c r="E43">
        <v>56</v>
      </c>
      <c r="F43" t="s">
        <v>1998</v>
      </c>
      <c r="G43" t="s">
        <v>33</v>
      </c>
      <c r="H43" t="s">
        <v>13</v>
      </c>
      <c r="I43">
        <v>28.144079444176629</v>
      </c>
    </row>
    <row r="44" spans="2:9" x14ac:dyDescent="0.25">
      <c r="B44">
        <v>61</v>
      </c>
      <c r="C44">
        <v>8.6</v>
      </c>
      <c r="D44">
        <v>7.1395829040071996</v>
      </c>
      <c r="E44">
        <v>61</v>
      </c>
      <c r="F44" t="s">
        <v>1868</v>
      </c>
      <c r="G44" t="s">
        <v>33</v>
      </c>
      <c r="H44" t="s">
        <v>13</v>
      </c>
      <c r="I44">
        <v>16.981594139451165</v>
      </c>
    </row>
    <row r="45" spans="2:9" x14ac:dyDescent="0.25">
      <c r="B45">
        <v>63</v>
      </c>
      <c r="C45">
        <v>8.9</v>
      </c>
      <c r="D45">
        <v>10.7359589340815</v>
      </c>
      <c r="E45">
        <v>63</v>
      </c>
      <c r="F45" t="s">
        <v>658</v>
      </c>
      <c r="G45" t="s">
        <v>33</v>
      </c>
      <c r="H45" t="s">
        <v>13</v>
      </c>
      <c r="I45">
        <v>-20.628752068331462</v>
      </c>
    </row>
    <row r="46" spans="2:9" x14ac:dyDescent="0.25">
      <c r="B46">
        <v>66</v>
      </c>
      <c r="C46">
        <v>9</v>
      </c>
      <c r="D46">
        <v>18.306154368742298</v>
      </c>
      <c r="E46">
        <v>66</v>
      </c>
      <c r="F46" t="s">
        <v>665</v>
      </c>
      <c r="G46" t="s">
        <v>33</v>
      </c>
      <c r="H46" t="s">
        <v>13</v>
      </c>
      <c r="I46">
        <v>-103.40171520824777</v>
      </c>
    </row>
    <row r="47" spans="2:9" x14ac:dyDescent="0.25">
      <c r="B47">
        <v>82</v>
      </c>
      <c r="C47">
        <v>10</v>
      </c>
      <c r="D47">
        <v>0.91176268699765495</v>
      </c>
      <c r="E47">
        <v>82</v>
      </c>
      <c r="F47" t="s">
        <v>906</v>
      </c>
      <c r="G47" t="s">
        <v>33</v>
      </c>
      <c r="H47" t="s">
        <v>13</v>
      </c>
      <c r="I47">
        <v>90.882373130023453</v>
      </c>
    </row>
    <row r="48" spans="2:9" x14ac:dyDescent="0.25">
      <c r="B48">
        <v>84</v>
      </c>
      <c r="C48">
        <v>10.1</v>
      </c>
      <c r="D48">
        <v>4.2625392212190798</v>
      </c>
      <c r="E48">
        <v>84</v>
      </c>
      <c r="F48" t="s">
        <v>1871</v>
      </c>
      <c r="G48" t="s">
        <v>33</v>
      </c>
      <c r="H48" t="s">
        <v>13</v>
      </c>
      <c r="I48">
        <v>57.796641374068514</v>
      </c>
    </row>
    <row r="49" spans="2:9" x14ac:dyDescent="0.25">
      <c r="B49">
        <v>101</v>
      </c>
      <c r="C49">
        <v>12.9</v>
      </c>
      <c r="D49">
        <v>16.423666270378899</v>
      </c>
      <c r="E49">
        <v>101</v>
      </c>
      <c r="F49" t="s">
        <v>1881</v>
      </c>
      <c r="G49" t="s">
        <v>33</v>
      </c>
      <c r="H49" t="s">
        <v>13</v>
      </c>
      <c r="I49">
        <v>-27.315242406037971</v>
      </c>
    </row>
    <row r="50" spans="2:9" x14ac:dyDescent="0.25">
      <c r="B50">
        <v>106</v>
      </c>
      <c r="C50">
        <v>13</v>
      </c>
      <c r="D50">
        <v>16.083340757339801</v>
      </c>
      <c r="E50">
        <v>106</v>
      </c>
      <c r="F50" t="s">
        <v>871</v>
      </c>
      <c r="G50" t="s">
        <v>33</v>
      </c>
      <c r="H50" t="s">
        <v>13</v>
      </c>
      <c r="I50">
        <v>-23.718005825690781</v>
      </c>
    </row>
    <row r="51" spans="2:9" x14ac:dyDescent="0.25">
      <c r="B51">
        <v>120</v>
      </c>
      <c r="C51">
        <v>15</v>
      </c>
      <c r="D51">
        <v>5.8648281430353402</v>
      </c>
      <c r="E51">
        <v>120</v>
      </c>
      <c r="F51" t="s">
        <v>877</v>
      </c>
      <c r="G51" t="s">
        <v>33</v>
      </c>
      <c r="H51" t="s">
        <v>13</v>
      </c>
      <c r="I51">
        <v>60.90114571309774</v>
      </c>
    </row>
    <row r="52" spans="2:9" x14ac:dyDescent="0.25">
      <c r="B52">
        <v>139</v>
      </c>
      <c r="C52">
        <v>17</v>
      </c>
      <c r="D52">
        <v>12.1849632481394</v>
      </c>
      <c r="E52">
        <v>139</v>
      </c>
      <c r="F52" t="s">
        <v>867</v>
      </c>
      <c r="G52" t="s">
        <v>33</v>
      </c>
      <c r="H52" t="s">
        <v>13</v>
      </c>
      <c r="I52">
        <v>28.32374559918</v>
      </c>
    </row>
    <row r="53" spans="2:9" x14ac:dyDescent="0.25">
      <c r="B53">
        <v>149</v>
      </c>
      <c r="C53">
        <v>18</v>
      </c>
      <c r="D53">
        <v>16.028941663044499</v>
      </c>
      <c r="E53">
        <v>149</v>
      </c>
      <c r="F53" t="s">
        <v>661</v>
      </c>
      <c r="G53" t="s">
        <v>33</v>
      </c>
      <c r="H53" t="s">
        <v>13</v>
      </c>
      <c r="I53">
        <v>10.950324094197228</v>
      </c>
    </row>
    <row r="54" spans="2:9" x14ac:dyDescent="0.25">
      <c r="B54">
        <v>189</v>
      </c>
      <c r="C54">
        <v>20</v>
      </c>
      <c r="D54">
        <v>22.189082444412598</v>
      </c>
      <c r="E54">
        <v>189</v>
      </c>
      <c r="F54" t="s">
        <v>1285</v>
      </c>
      <c r="G54" t="s">
        <v>33</v>
      </c>
      <c r="H54" t="s">
        <v>13</v>
      </c>
      <c r="I54">
        <v>-10.945412222062991</v>
      </c>
    </row>
    <row r="55" spans="2:9" x14ac:dyDescent="0.25">
      <c r="B55">
        <v>207</v>
      </c>
      <c r="C55">
        <v>21</v>
      </c>
      <c r="D55">
        <v>11.5864429169727</v>
      </c>
      <c r="E55">
        <v>207</v>
      </c>
      <c r="F55" t="s">
        <v>910</v>
      </c>
      <c r="G55" t="s">
        <v>33</v>
      </c>
      <c r="H55" t="s">
        <v>13</v>
      </c>
      <c r="I55">
        <v>44.826462300129997</v>
      </c>
    </row>
    <row r="56" spans="2:9" x14ac:dyDescent="0.25">
      <c r="B56">
        <v>229</v>
      </c>
      <c r="C56">
        <v>22</v>
      </c>
      <c r="D56">
        <v>17.366276745075201</v>
      </c>
      <c r="E56">
        <v>229</v>
      </c>
      <c r="F56" t="s">
        <v>1874</v>
      </c>
      <c r="G56" t="s">
        <v>33</v>
      </c>
      <c r="H56" t="s">
        <v>13</v>
      </c>
      <c r="I56">
        <v>21.062378431476361</v>
      </c>
    </row>
    <row r="57" spans="2:9" x14ac:dyDescent="0.25">
      <c r="B57">
        <v>237</v>
      </c>
      <c r="C57">
        <v>23</v>
      </c>
      <c r="D57">
        <v>16.227016498180198</v>
      </c>
      <c r="E57">
        <v>237</v>
      </c>
      <c r="F57" t="s">
        <v>1268</v>
      </c>
      <c r="G57" t="s">
        <v>33</v>
      </c>
      <c r="H57" t="s">
        <v>13</v>
      </c>
      <c r="I57">
        <v>29.447754355738269</v>
      </c>
    </row>
    <row r="58" spans="2:9" x14ac:dyDescent="0.25">
      <c r="B58">
        <v>351</v>
      </c>
      <c r="C58">
        <v>33</v>
      </c>
      <c r="D58">
        <v>29.414955778990699</v>
      </c>
      <c r="E58">
        <v>351</v>
      </c>
      <c r="F58" t="s">
        <v>1276</v>
      </c>
      <c r="G58" t="s">
        <v>33</v>
      </c>
      <c r="H58" t="s">
        <v>13</v>
      </c>
      <c r="I58">
        <v>10.863770366694853</v>
      </c>
    </row>
    <row r="59" spans="2:9" x14ac:dyDescent="0.25">
      <c r="B59">
        <v>352</v>
      </c>
      <c r="C59">
        <v>33</v>
      </c>
      <c r="D59">
        <v>28.039827379120801</v>
      </c>
      <c r="E59">
        <v>352</v>
      </c>
      <c r="F59" t="s">
        <v>1279</v>
      </c>
      <c r="G59" t="s">
        <v>33</v>
      </c>
      <c r="H59" t="s">
        <v>13</v>
      </c>
      <c r="I59">
        <v>15.030826123876359</v>
      </c>
    </row>
    <row r="60" spans="2:9" x14ac:dyDescent="0.25">
      <c r="B60">
        <v>401</v>
      </c>
      <c r="C60">
        <v>39</v>
      </c>
      <c r="D60">
        <v>45.296504323165301</v>
      </c>
      <c r="E60">
        <v>401</v>
      </c>
      <c r="F60" t="s">
        <v>874</v>
      </c>
      <c r="G60" t="s">
        <v>33</v>
      </c>
      <c r="H60" t="s">
        <v>13</v>
      </c>
      <c r="I60">
        <v>-16.14488287991103</v>
      </c>
    </row>
    <row r="61" spans="2:9" x14ac:dyDescent="0.25">
      <c r="B61">
        <v>403</v>
      </c>
      <c r="C61">
        <v>39</v>
      </c>
      <c r="D61">
        <v>45.837634900424398</v>
      </c>
      <c r="E61">
        <v>403</v>
      </c>
      <c r="F61" t="s">
        <v>1284</v>
      </c>
      <c r="G61" t="s">
        <v>33</v>
      </c>
      <c r="H61" t="s">
        <v>13</v>
      </c>
      <c r="I61">
        <v>-17.53239718057538</v>
      </c>
    </row>
    <row r="62" spans="2:9" x14ac:dyDescent="0.25">
      <c r="B62">
        <v>531</v>
      </c>
      <c r="C62">
        <v>50</v>
      </c>
      <c r="D62">
        <v>43.472932646481297</v>
      </c>
      <c r="E62">
        <v>531</v>
      </c>
      <c r="F62" t="s">
        <v>1892</v>
      </c>
      <c r="G62" t="s">
        <v>33</v>
      </c>
      <c r="H62" t="s">
        <v>13</v>
      </c>
      <c r="I62">
        <v>13.054134707037408</v>
      </c>
    </row>
    <row r="63" spans="2:9" x14ac:dyDescent="0.25">
      <c r="B63">
        <v>585</v>
      </c>
      <c r="C63">
        <v>58</v>
      </c>
      <c r="D63">
        <v>42.350515464634697</v>
      </c>
      <c r="E63">
        <v>585</v>
      </c>
      <c r="F63" t="s">
        <v>656</v>
      </c>
      <c r="G63" t="s">
        <v>33</v>
      </c>
      <c r="H63" t="s">
        <v>13</v>
      </c>
      <c r="I63">
        <v>26.981869888560865</v>
      </c>
    </row>
    <row r="64" spans="2:9" x14ac:dyDescent="0.25">
      <c r="B64">
        <v>24</v>
      </c>
      <c r="C64">
        <v>6</v>
      </c>
      <c r="D64">
        <v>8.4234493085856208</v>
      </c>
      <c r="E64">
        <v>24</v>
      </c>
      <c r="F64" t="s">
        <v>1288</v>
      </c>
      <c r="G64" t="s">
        <v>34</v>
      </c>
      <c r="H64" t="s">
        <v>13</v>
      </c>
      <c r="I64">
        <v>-40.390821809760347</v>
      </c>
    </row>
    <row r="65" spans="2:9" x14ac:dyDescent="0.25">
      <c r="B65">
        <v>25</v>
      </c>
      <c r="C65">
        <v>6</v>
      </c>
      <c r="D65">
        <v>6.9688469844995504</v>
      </c>
      <c r="E65">
        <v>25</v>
      </c>
      <c r="F65" t="s">
        <v>1860</v>
      </c>
      <c r="G65" t="s">
        <v>34</v>
      </c>
      <c r="H65" t="s">
        <v>13</v>
      </c>
      <c r="I65">
        <v>-16.147449741659173</v>
      </c>
    </row>
    <row r="66" spans="2:9" x14ac:dyDescent="0.25">
      <c r="B66">
        <v>27</v>
      </c>
      <c r="C66">
        <v>6</v>
      </c>
      <c r="D66">
        <v>11.8179937404849</v>
      </c>
      <c r="E66">
        <v>27</v>
      </c>
      <c r="F66" t="s">
        <v>1884</v>
      </c>
      <c r="G66" t="s">
        <v>34</v>
      </c>
      <c r="H66" t="s">
        <v>13</v>
      </c>
      <c r="I66">
        <v>-96.966562341414999</v>
      </c>
    </row>
    <row r="67" spans="2:9" x14ac:dyDescent="0.25">
      <c r="B67">
        <v>35</v>
      </c>
      <c r="C67">
        <v>6.4</v>
      </c>
      <c r="D67">
        <v>11.5170546422566</v>
      </c>
      <c r="E67">
        <v>35</v>
      </c>
      <c r="F67" t="s">
        <v>1862</v>
      </c>
      <c r="G67" t="s">
        <v>34</v>
      </c>
      <c r="H67" t="s">
        <v>13</v>
      </c>
      <c r="I67">
        <v>-79.953978785259366</v>
      </c>
    </row>
    <row r="68" spans="2:9" x14ac:dyDescent="0.25">
      <c r="B68">
        <v>52</v>
      </c>
      <c r="C68">
        <v>8</v>
      </c>
      <c r="D68">
        <v>11.1210783062674</v>
      </c>
      <c r="E68">
        <v>52</v>
      </c>
      <c r="F68" t="s">
        <v>1886</v>
      </c>
      <c r="G68" t="s">
        <v>34</v>
      </c>
      <c r="H68" t="s">
        <v>13</v>
      </c>
      <c r="I68">
        <v>-39.0134788283425</v>
      </c>
    </row>
    <row r="69" spans="2:9" x14ac:dyDescent="0.25">
      <c r="B69">
        <v>133</v>
      </c>
      <c r="C69">
        <v>16</v>
      </c>
      <c r="D69">
        <v>14.036187147202201</v>
      </c>
      <c r="E69">
        <v>133</v>
      </c>
      <c r="F69" t="s">
        <v>1870</v>
      </c>
      <c r="G69" t="s">
        <v>34</v>
      </c>
      <c r="H69" t="s">
        <v>13</v>
      </c>
      <c r="I69">
        <v>12.273830329986247</v>
      </c>
    </row>
    <row r="70" spans="2:9" x14ac:dyDescent="0.25">
      <c r="B70">
        <v>140</v>
      </c>
      <c r="C70">
        <v>17</v>
      </c>
      <c r="D70">
        <v>19.8108755879928</v>
      </c>
      <c r="E70">
        <v>140</v>
      </c>
      <c r="F70" t="s">
        <v>880</v>
      </c>
      <c r="G70" t="s">
        <v>34</v>
      </c>
      <c r="H70" t="s">
        <v>13</v>
      </c>
      <c r="I70">
        <v>-16.534562282310592</v>
      </c>
    </row>
    <row r="71" spans="2:9" x14ac:dyDescent="0.25">
      <c r="B71">
        <v>152</v>
      </c>
      <c r="C71">
        <v>18</v>
      </c>
      <c r="D71">
        <v>15.6172482249896</v>
      </c>
      <c r="E71">
        <v>152</v>
      </c>
      <c r="F71" t="s">
        <v>875</v>
      </c>
      <c r="G71" t="s">
        <v>34</v>
      </c>
      <c r="H71" t="s">
        <v>13</v>
      </c>
      <c r="I71">
        <v>13.237509861168887</v>
      </c>
    </row>
    <row r="72" spans="2:9" x14ac:dyDescent="0.25">
      <c r="B72">
        <v>441</v>
      </c>
      <c r="C72">
        <v>42</v>
      </c>
      <c r="D72">
        <v>35.572354429750398</v>
      </c>
      <c r="E72">
        <v>441</v>
      </c>
      <c r="F72" t="s">
        <v>1282</v>
      </c>
      <c r="G72" t="s">
        <v>34</v>
      </c>
      <c r="H72" t="s">
        <v>13</v>
      </c>
      <c r="I72">
        <v>15.303918024403815</v>
      </c>
    </row>
  </sheetData>
  <mergeCells count="1">
    <mergeCell ref="K6:L6"/>
  </mergeCells>
  <conditionalFormatting sqref="B4">
    <cfRule type="duplicateValues" dxfId="0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CEC5A-F5FF-4206-A06D-B6456C854FF1}">
  <sheetPr codeName="Hoja2"/>
  <dimension ref="A1:A2"/>
  <sheetViews>
    <sheetView workbookViewId="0"/>
  </sheetViews>
  <sheetFormatPr baseColWidth="10" defaultRowHeight="15" x14ac:dyDescent="0.25"/>
  <cols>
    <col min="1" max="1" width="32.7109375" customWidth="1"/>
  </cols>
  <sheetData>
    <row r="1" spans="1:1" ht="26.25" x14ac:dyDescent="0.25">
      <c r="A1" s="34" t="s">
        <v>1935</v>
      </c>
    </row>
    <row r="2" spans="1:1" ht="52.5" thickBot="1" x14ac:dyDescent="0.3">
      <c r="A2" s="35" t="s">
        <v>1936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Desgloce</vt:lpstr>
      <vt:lpstr>Random</vt:lpstr>
      <vt:lpstr>Resultados</vt:lpstr>
      <vt:lpstr>Analisis Aromaticos</vt:lpstr>
      <vt:lpstr>LICSS Programs</vt:lpstr>
      <vt:lpstr>logmiu</vt:lpstr>
      <vt:lpstr>Desgloce!Smiles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Martinez Hernandez</dc:creator>
  <cp:lastModifiedBy>Cristopher</cp:lastModifiedBy>
  <dcterms:created xsi:type="dcterms:W3CDTF">2019-07-09T18:11:48Z</dcterms:created>
  <dcterms:modified xsi:type="dcterms:W3CDTF">2020-12-13T06:12:11Z</dcterms:modified>
</cp:coreProperties>
</file>